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Data anytics\Burger Camp\"/>
    </mc:Choice>
  </mc:AlternateContent>
  <xr:revisionPtr revIDLastSave="0" documentId="13_ncr:1_{DB097598-F9D3-4369-9D8A-BC784EF10DDC}" xr6:coauthVersionLast="47" xr6:coauthVersionMax="47" xr10:uidLastSave="{00000000-0000-0000-0000-000000000000}"/>
  <bookViews>
    <workbookView xWindow="-120" yWindow="-120" windowWidth="20730" windowHeight="11040" activeTab="5" xr2:uid="{00000000-000D-0000-FFFF-FFFF00000000}"/>
  </bookViews>
  <sheets>
    <sheet name="About" sheetId="10" r:id="rId1"/>
    <sheet name="Waiter" sheetId="9" r:id="rId2"/>
    <sheet name="Products" sheetId="8" r:id="rId3"/>
    <sheet name="Pivot Table" sheetId="7" r:id="rId4"/>
    <sheet name="Clean Data" sheetId="6" r:id="rId5"/>
    <sheet name="Dashboard" sheetId="4" r:id="rId6"/>
    <sheet name="Burger camp data" sheetId="1" r:id="rId7"/>
  </sheets>
  <definedNames>
    <definedName name="ExternalData_2" localSheetId="4" hidden="1">'Clean Data'!$A$1:$N$2001</definedName>
    <definedName name="NativeTimeline_Date">#N/A</definedName>
    <definedName name="Slicer_Item">#N/A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0" i="7" l="1"/>
  <c r="K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0611B0-E1B8-456A-89B7-A0B9DEC7B714}" keepAlive="1" name="Query - Clean Data" description="Connection to the 'Clean Data' query in the workbook." type="5" refreshedVersion="7" background="1" saveData="1">
    <dbPr connection="Provider=Microsoft.Mashup.OleDb.1;Data Source=$Workbook$;Location=&quot;Clean Data&quot;;Extended Properties=&quot;&quot;" command="SELECT * FROM [Clean Data]"/>
  </connection>
  <connection id="2" xr16:uid="{A6C44B0D-A264-49FD-9BB1-6E46B814F9C6}"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3" xr16:uid="{15A55513-215A-4907-BC31-420FDF67AB6F}" keepAlive="1" name="Query - Table1_2" description="Connection to the 'Table1_2' query in the workbook." type="5" refreshedVersion="7"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<sst xmlns="http://schemas.openxmlformats.org/spreadsheetml/2006/main" count="30047" uniqueCount="2809">
  <si>
    <t>OrderID</t>
  </si>
  <si>
    <t>Date</t>
  </si>
  <si>
    <t>Time</t>
  </si>
  <si>
    <t>Restaurant</t>
  </si>
  <si>
    <t>CustomerName</t>
  </si>
  <si>
    <t>BirthYear</t>
  </si>
  <si>
    <t>BirthMonth</t>
  </si>
  <si>
    <t>BirthDay</t>
  </si>
  <si>
    <t>Item</t>
  </si>
  <si>
    <t>Price</t>
  </si>
  <si>
    <t>Quantity</t>
  </si>
  <si>
    <t>Total</t>
  </si>
  <si>
    <t>PaymentMethod</t>
  </si>
  <si>
    <t>ServedBy</t>
  </si>
  <si>
    <t>Notes</t>
  </si>
  <si>
    <t>BC20000</t>
  </si>
  <si>
    <t>Burger Camp, Pune</t>
  </si>
  <si>
    <t>Mubin Kulkarni</t>
  </si>
  <si>
    <t>French Fries</t>
  </si>
  <si>
    <t>Card</t>
  </si>
  <si>
    <t>Govind</t>
  </si>
  <si>
    <t>No onion</t>
  </si>
  <si>
    <t>BC20001</t>
  </si>
  <si>
    <t>Rahul Shaikh</t>
  </si>
  <si>
    <t>Cheese Burger</t>
  </si>
  <si>
    <t xml:space="preserve">cash </t>
  </si>
  <si>
    <t>Sana</t>
  </si>
  <si>
    <t>Spicy</t>
  </si>
  <si>
    <t>BC20002</t>
  </si>
  <si>
    <t>Aisha Kulkarni</t>
  </si>
  <si>
    <t>Crispy Paneer Burger</t>
  </si>
  <si>
    <t>upi</t>
  </si>
  <si>
    <t>Simran</t>
  </si>
  <si>
    <t>Less salt</t>
  </si>
  <si>
    <t>BC20003</t>
  </si>
  <si>
    <t>Sneha Patil</t>
  </si>
  <si>
    <t>Crispy Panner</t>
  </si>
  <si>
    <t>Imran</t>
  </si>
  <si>
    <t>BC20004</t>
  </si>
  <si>
    <t>Riya Patil</t>
  </si>
  <si>
    <t>KitKat Shake</t>
  </si>
  <si>
    <t>UPI</t>
  </si>
  <si>
    <t>BC20005</t>
  </si>
  <si>
    <t>Aug 29, 2025</t>
  </si>
  <si>
    <t>Aisha Joshi</t>
  </si>
  <si>
    <t>Double-Paty</t>
  </si>
  <si>
    <t>â‚¹286.61</t>
  </si>
  <si>
    <t>Sheetal</t>
  </si>
  <si>
    <t>Custmer complaned</t>
  </si>
  <si>
    <t>BC20006</t>
  </si>
  <si>
    <t>Zara More</t>
  </si>
  <si>
    <t>BC20007</t>
  </si>
  <si>
    <t>Mubin Joshi</t>
  </si>
  <si>
    <t>Ice Tea</t>
  </si>
  <si>
    <t>Cash</t>
  </si>
  <si>
    <t>Rohan</t>
  </si>
  <si>
    <t>Servd late</t>
  </si>
  <si>
    <t>BC20008</t>
  </si>
  <si>
    <t>Dec 20, 2024</t>
  </si>
  <si>
    <t>Sneha Khan</t>
  </si>
  <si>
    <t>Chiken Grill</t>
  </si>
  <si>
    <t>Neetu</t>
  </si>
  <si>
    <t>BC20009</t>
  </si>
  <si>
    <t>Rahul Joshi</t>
  </si>
  <si>
    <t>CARD</t>
  </si>
  <si>
    <t>BC20010</t>
  </si>
  <si>
    <t>Aarav Khan</t>
  </si>
  <si>
    <t>Wallet</t>
  </si>
  <si>
    <t>BC20011</t>
  </si>
  <si>
    <t>Sep 03, 2025</t>
  </si>
  <si>
    <t xml:space="preserve"> Sneha Patil </t>
  </si>
  <si>
    <t>BC20012</t>
  </si>
  <si>
    <t xml:space="preserve"> Kiran Kulkarni </t>
  </si>
  <si>
    <t>Coke</t>
  </si>
  <si>
    <t>repeat customer</t>
  </si>
  <si>
    <t>BC20013</t>
  </si>
  <si>
    <t>Aisha Naik</t>
  </si>
  <si>
    <t>Veg Delight</t>
  </si>
  <si>
    <t>BC20014</t>
  </si>
  <si>
    <t>Kiran Gore</t>
  </si>
  <si>
    <t>BC20015</t>
  </si>
  <si>
    <t>Mar 13, 2025</t>
  </si>
  <si>
    <t>Pooja Patil</t>
  </si>
  <si>
    <t>BC20016</t>
  </si>
  <si>
    <t>Riya Deshmukh</t>
  </si>
  <si>
    <t>Cold Cofee</t>
  </si>
  <si>
    <t>â‚¹164.76</t>
  </si>
  <si>
    <t>BC20017</t>
  </si>
  <si>
    <t>Pooja Khan</t>
  </si>
  <si>
    <t>Parth</t>
  </si>
  <si>
    <t>BC20018</t>
  </si>
  <si>
    <t>Mar 30, 2025</t>
  </si>
  <si>
    <t>Farhan Joshi</t>
  </si>
  <si>
    <t>Veggie Delight Burger</t>
  </si>
  <si>
    <t>BC20019</t>
  </si>
  <si>
    <t>Zaid Joshi</t>
  </si>
  <si>
    <t>198.2833458513925,00</t>
  </si>
  <si>
    <t>BC20020</t>
  </si>
  <si>
    <t>Pooja More</t>
  </si>
  <si>
    <t>BC20021</t>
  </si>
  <si>
    <t>Feb 26, 2025</t>
  </si>
  <si>
    <t>Aisha More</t>
  </si>
  <si>
    <t>BC20022</t>
  </si>
  <si>
    <t xml:space="preserve"> Riya Shinde </t>
  </si>
  <si>
    <t>Chicken Grill Burger</t>
  </si>
  <si>
    <t>Extra cheese</t>
  </si>
  <si>
    <t>BC20023</t>
  </si>
  <si>
    <t>Zaid Gore</t>
  </si>
  <si>
    <t>BC20024</t>
  </si>
  <si>
    <t>Kiran Joshi</t>
  </si>
  <si>
    <t>Peri Peri Fries</t>
  </si>
  <si>
    <t>BC20025</t>
  </si>
  <si>
    <t xml:space="preserve"> Aisha Shinde </t>
  </si>
  <si>
    <t>BC20026</t>
  </si>
  <si>
    <t>BC20027</t>
  </si>
  <si>
    <t xml:space="preserve"> Aisha Patil </t>
  </si>
  <si>
    <t>Clasik Burger</t>
  </si>
  <si>
    <t>BC20028</t>
  </si>
  <si>
    <t>Anil Gore</t>
  </si>
  <si>
    <t>BC20029</t>
  </si>
  <si>
    <t xml:space="preserve"> Mubin Kulkarni </t>
  </si>
  <si>
    <t>BC20030</t>
  </si>
  <si>
    <t>Mar 17, 2025</t>
  </si>
  <si>
    <t>Mubin More</t>
  </si>
  <si>
    <t>BC20031</t>
  </si>
  <si>
    <t>Anil Deshmukh</t>
  </si>
  <si>
    <t>Frnch Fries</t>
  </si>
  <si>
    <t>BC20032</t>
  </si>
  <si>
    <t>Kiran Patil</t>
  </si>
  <si>
    <t>Oreo Shake</t>
  </si>
  <si>
    <t>BC20033</t>
  </si>
  <si>
    <t>Aisha Deshmukh</t>
  </si>
  <si>
    <t>BC20034</t>
  </si>
  <si>
    <t>Riya Kulkarni</t>
  </si>
  <si>
    <t>BC20035</t>
  </si>
  <si>
    <t>BC20036</t>
  </si>
  <si>
    <t>Anil Khan</t>
  </si>
  <si>
    <t>BC20037</t>
  </si>
  <si>
    <t>Zara Kulkarni</t>
  </si>
  <si>
    <t>BC20038</t>
  </si>
  <si>
    <t>Rahul Khan</t>
  </si>
  <si>
    <t>Cold Coffee</t>
  </si>
  <si>
    <t>BC20039</t>
  </si>
  <si>
    <t>BC20040</t>
  </si>
  <si>
    <t>Kiran Deshmukh</t>
  </si>
  <si>
    <t>CheezBurger</t>
  </si>
  <si>
    <t>BC20041</t>
  </si>
  <si>
    <t>Farhan Shaikh</t>
  </si>
  <si>
    <t>â‚¹114.91</t>
  </si>
  <si>
    <t>BC20042</t>
  </si>
  <si>
    <t>Jan 14, 2025</t>
  </si>
  <si>
    <t>Aisha Shinde</t>
  </si>
  <si>
    <t>BC20043</t>
  </si>
  <si>
    <t>Feb 06, 2025</t>
  </si>
  <si>
    <t>Zara Khan</t>
  </si>
  <si>
    <t>BC20044</t>
  </si>
  <si>
    <t>BC20045</t>
  </si>
  <si>
    <t>Oct 22, 2025</t>
  </si>
  <si>
    <t>Anil Kulkarni</t>
  </si>
  <si>
    <t>BC20046</t>
  </si>
  <si>
    <t>Oct 03, 2025</t>
  </si>
  <si>
    <t>Zara Patil</t>
  </si>
  <si>
    <t>BC20047</t>
  </si>
  <si>
    <t>Pooja Shinde</t>
  </si>
  <si>
    <t>Double Patty Burger</t>
  </si>
  <si>
    <t>BC20048</t>
  </si>
  <si>
    <t>Anil More</t>
  </si>
  <si>
    <t>BC20049</t>
  </si>
  <si>
    <t>Jan 16, 2025</t>
  </si>
  <si>
    <t>Rahul Gore</t>
  </si>
  <si>
    <t>BC20050</t>
  </si>
  <si>
    <t>â‚¹219.81</t>
  </si>
  <si>
    <t>BC20051</t>
  </si>
  <si>
    <t>Farhan Naik</t>
  </si>
  <si>
    <t>BC20052</t>
  </si>
  <si>
    <t>Jul 07, 2025</t>
  </si>
  <si>
    <t>BC20053</t>
  </si>
  <si>
    <t>Sep 26, 2025</t>
  </si>
  <si>
    <t>BBQ Chicken Burger</t>
  </si>
  <si>
    <t>BC20054</t>
  </si>
  <si>
    <t>Dec 28, 2024</t>
  </si>
  <si>
    <t>Kiran Shinde</t>
  </si>
  <si>
    <t>BC20055</t>
  </si>
  <si>
    <t>Jul 24, 2025</t>
  </si>
  <si>
    <t>BC20056</t>
  </si>
  <si>
    <t>BC20057</t>
  </si>
  <si>
    <t>Nov 06, 2025</t>
  </si>
  <si>
    <t>Pooja Deshmukh</t>
  </si>
  <si>
    <t>BC20058</t>
  </si>
  <si>
    <t>Rahul More</t>
  </si>
  <si>
    <t>BC20059</t>
  </si>
  <si>
    <t>Zaid Kulkarni</t>
  </si>
  <si>
    <t>BC20060</t>
  </si>
  <si>
    <t>BC20061</t>
  </si>
  <si>
    <t>Zaid Patil</t>
  </si>
  <si>
    <t>BC20062</t>
  </si>
  <si>
    <t>â‚¹87.59</t>
  </si>
  <si>
    <t>BC20063</t>
  </si>
  <si>
    <t>Zara Joshi</t>
  </si>
  <si>
    <t>Classic Burger</t>
  </si>
  <si>
    <t>BC20064</t>
  </si>
  <si>
    <t>Aarav Deshmukh</t>
  </si>
  <si>
    <t>BBQ Chkn</t>
  </si>
  <si>
    <t>BC20065</t>
  </si>
  <si>
    <t>Zaid Deshmukh</t>
  </si>
  <si>
    <t>BC20066</t>
  </si>
  <si>
    <t>Farhan Gore</t>
  </si>
  <si>
    <t>BC20067</t>
  </si>
  <si>
    <t>Pooja Shaikh</t>
  </si>
  <si>
    <t>BC20068</t>
  </si>
  <si>
    <t>BC20069</t>
  </si>
  <si>
    <t>Mubin Khan</t>
  </si>
  <si>
    <t>BC20070</t>
  </si>
  <si>
    <t>Oreo Shek</t>
  </si>
  <si>
    <t>BC20071</t>
  </si>
  <si>
    <t>BC20072</t>
  </si>
  <si>
    <t>BC20073</t>
  </si>
  <si>
    <t>Mar 01, 2025</t>
  </si>
  <si>
    <t>Rahul Shinde</t>
  </si>
  <si>
    <t>BC20074</t>
  </si>
  <si>
    <t xml:space="preserve"> Zara More </t>
  </si>
  <si>
    <t>BC20075</t>
  </si>
  <si>
    <t>Farhan Deshmukh</t>
  </si>
  <si>
    <t>BC20076</t>
  </si>
  <si>
    <t>Mar 09, 2025</t>
  </si>
  <si>
    <t>Kiran Naik</t>
  </si>
  <si>
    <t>BC20077</t>
  </si>
  <si>
    <t>Zara Deshmukh</t>
  </si>
  <si>
    <t>BC20078</t>
  </si>
  <si>
    <t>Mubin Patil</t>
  </si>
  <si>
    <t>200.1086834587936,00</t>
  </si>
  <si>
    <t>BC20079</t>
  </si>
  <si>
    <t>Zaid Naik</t>
  </si>
  <si>
    <t>â‚¹232.26</t>
  </si>
  <si>
    <t>BC20080</t>
  </si>
  <si>
    <t>BC20081</t>
  </si>
  <si>
    <t>BC20082</t>
  </si>
  <si>
    <t>Rahul Kulkarni</t>
  </si>
  <si>
    <t>BC20083</t>
  </si>
  <si>
    <t>BC20084</t>
  </si>
  <si>
    <t>Pooja Kulkarni</t>
  </si>
  <si>
    <t>BC20085</t>
  </si>
  <si>
    <t>BC20086</t>
  </si>
  <si>
    <t>Brownie</t>
  </si>
  <si>
    <t>BC20087</t>
  </si>
  <si>
    <t>BC20088</t>
  </si>
  <si>
    <t>Mubin Shaikh</t>
  </si>
  <si>
    <t>BC20089</t>
  </si>
  <si>
    <t>kiran khan</t>
  </si>
  <si>
    <t>BC20090</t>
  </si>
  <si>
    <t>BC20091</t>
  </si>
  <si>
    <t>BC20092</t>
  </si>
  <si>
    <t>Aarav Joshi</t>
  </si>
  <si>
    <t>Rs 190.38</t>
  </si>
  <si>
    <t>BC20093</t>
  </si>
  <si>
    <t>Jun 12, 2025</t>
  </si>
  <si>
    <t>Kiran Kulkarni</t>
  </si>
  <si>
    <t>BC20094</t>
  </si>
  <si>
    <t>Aisha Khan</t>
  </si>
  <si>
    <t>PeriPeri Fry</t>
  </si>
  <si>
    <t>BC20095</t>
  </si>
  <si>
    <t>riya kulkarni</t>
  </si>
  <si>
    <t>BC20096</t>
  </si>
  <si>
    <t>Aug 12, 2025</t>
  </si>
  <si>
    <t>Anil Shinde</t>
  </si>
  <si>
    <t>89.79400907427706,00</t>
  </si>
  <si>
    <t>BC20097</t>
  </si>
  <si>
    <t>Zaid More</t>
  </si>
  <si>
    <t>BC20098</t>
  </si>
  <si>
    <t>BC20099</t>
  </si>
  <si>
    <t>BC20100</t>
  </si>
  <si>
    <t>May 09, 2025</t>
  </si>
  <si>
    <t>BC20101</t>
  </si>
  <si>
    <t>Nov 21, 2025</t>
  </si>
  <si>
    <t xml:space="preserve"> Farhan Deshmukh </t>
  </si>
  <si>
    <t>BC20102</t>
  </si>
  <si>
    <t>â‚¹167.92</t>
  </si>
  <si>
    <t>Rs 167.92</t>
  </si>
  <si>
    <t>BC20103</t>
  </si>
  <si>
    <t>Aisha Patil</t>
  </si>
  <si>
    <t>BC20104</t>
  </si>
  <si>
    <t>Aisha Gore</t>
  </si>
  <si>
    <t>BC20105</t>
  </si>
  <si>
    <t>BC20106</t>
  </si>
  <si>
    <t>BC20107</t>
  </si>
  <si>
    <t>BC20108</t>
  </si>
  <si>
    <t>Dec 22, 2024</t>
  </si>
  <si>
    <t>BC20109</t>
  </si>
  <si>
    <t>Dec 25, 2024</t>
  </si>
  <si>
    <t xml:space="preserve"> Rahul More </t>
  </si>
  <si>
    <t>BC20110</t>
  </si>
  <si>
    <t>Feb 02, 2025</t>
  </si>
  <si>
    <t>aisha joshi</t>
  </si>
  <si>
    <t>BC20111</t>
  </si>
  <si>
    <t>BC20112</t>
  </si>
  <si>
    <t>Aisha Shaikh</t>
  </si>
  <si>
    <t>BC20113</t>
  </si>
  <si>
    <t>Jun 01, 2025</t>
  </si>
  <si>
    <t>BC20114</t>
  </si>
  <si>
    <t>Anil Naik</t>
  </si>
  <si>
    <t>BC20115</t>
  </si>
  <si>
    <t>BC20116</t>
  </si>
  <si>
    <t>Feb 21, 2025</t>
  </si>
  <si>
    <t>BC20117</t>
  </si>
  <si>
    <t>BC20118</t>
  </si>
  <si>
    <t>rahul gore</t>
  </si>
  <si>
    <t>BC20119</t>
  </si>
  <si>
    <t>Pooja Joshi</t>
  </si>
  <si>
    <t>BC20120</t>
  </si>
  <si>
    <t>Apr 01, 2025</t>
  </si>
  <si>
    <t>BC20121</t>
  </si>
  <si>
    <t>Nov 09, 2025</t>
  </si>
  <si>
    <t>BC20122</t>
  </si>
  <si>
    <t>BC20123</t>
  </si>
  <si>
    <t>Mar 21, 2025</t>
  </si>
  <si>
    <t>BC20124</t>
  </si>
  <si>
    <t>BC20125</t>
  </si>
  <si>
    <t>BC20126</t>
  </si>
  <si>
    <t>BC20127</t>
  </si>
  <si>
    <t>Sep 04, 2025</t>
  </si>
  <si>
    <t>BC20128</t>
  </si>
  <si>
    <t>BC20129</t>
  </si>
  <si>
    <t>mubin deshmukh</t>
  </si>
  <si>
    <t>BC20130</t>
  </si>
  <si>
    <t>Mubin Shinde</t>
  </si>
  <si>
    <t>BC20131</t>
  </si>
  <si>
    <t>BC20132</t>
  </si>
  <si>
    <t>BC20133</t>
  </si>
  <si>
    <t>Sneha Deshmukh</t>
  </si>
  <si>
    <t>BC20134</t>
  </si>
  <si>
    <t>Anil Joshi</t>
  </si>
  <si>
    <t>BC20135</t>
  </si>
  <si>
    <t>Zara Shinde</t>
  </si>
  <si>
    <t>BC20136</t>
  </si>
  <si>
    <t>Aarav Gore</t>
  </si>
  <si>
    <t>BC20137</t>
  </si>
  <si>
    <t>â‚¹160.89</t>
  </si>
  <si>
    <t>BC20138</t>
  </si>
  <si>
    <t>Rahul Deshmukh</t>
  </si>
  <si>
    <t>BC20139</t>
  </si>
  <si>
    <t>aarav joshi</t>
  </si>
  <si>
    <t>BC20140</t>
  </si>
  <si>
    <t>BC20141</t>
  </si>
  <si>
    <t>Nov 21, 2024</t>
  </si>
  <si>
    <t>BC20142</t>
  </si>
  <si>
    <t>BC20143</t>
  </si>
  <si>
    <t>Kiran Khan</t>
  </si>
  <si>
    <t>â‚¹159.80</t>
  </si>
  <si>
    <t>BC20144</t>
  </si>
  <si>
    <t>anil joshi</t>
  </si>
  <si>
    <t>BC20145</t>
  </si>
  <si>
    <t>Aarav Naik</t>
  </si>
  <si>
    <t>BC20146</t>
  </si>
  <si>
    <t xml:space="preserve"> Zaid Shinde </t>
  </si>
  <si>
    <t>BC20147</t>
  </si>
  <si>
    <t>BC20148</t>
  </si>
  <si>
    <t>Jul 13, 2025</t>
  </si>
  <si>
    <t>BC20149</t>
  </si>
  <si>
    <t>Sneha More</t>
  </si>
  <si>
    <t>BC20150</t>
  </si>
  <si>
    <t>Zara Gore</t>
  </si>
  <si>
    <t>BC20151</t>
  </si>
  <si>
    <t>Rs 590.88</t>
  </si>
  <si>
    <t>BC20152</t>
  </si>
  <si>
    <t>BC20153</t>
  </si>
  <si>
    <t xml:space="preserve"> Anil Patil </t>
  </si>
  <si>
    <t>â‚¹102.47</t>
  </si>
  <si>
    <t>BC20154</t>
  </si>
  <si>
    <t>Rs 79.52</t>
  </si>
  <si>
    <t>BC20155</t>
  </si>
  <si>
    <t>Riya Shaikh</t>
  </si>
  <si>
    <t>BC20156</t>
  </si>
  <si>
    <t>BC20157</t>
  </si>
  <si>
    <t>Nov 25, 2024</t>
  </si>
  <si>
    <t>BC20158</t>
  </si>
  <si>
    <t>BC20159</t>
  </si>
  <si>
    <t>May 04, 2025</t>
  </si>
  <si>
    <t>Rahul Patil</t>
  </si>
  <si>
    <t>BC20160</t>
  </si>
  <si>
    <t>Farhan Kulkarni</t>
  </si>
  <si>
    <t>BC20161</t>
  </si>
  <si>
    <t>Nov 01, 2025</t>
  </si>
  <si>
    <t>BC20162</t>
  </si>
  <si>
    <t>riya shinde</t>
  </si>
  <si>
    <t>BC20163</t>
  </si>
  <si>
    <t>BC20164</t>
  </si>
  <si>
    <t>Jun 30, 2025</t>
  </si>
  <si>
    <t>Pooja Gore</t>
  </si>
  <si>
    <t>BC20165</t>
  </si>
  <si>
    <t>Anil Patil</t>
  </si>
  <si>
    <t>BC20166</t>
  </si>
  <si>
    <t>BC20167</t>
  </si>
  <si>
    <t>Oct 19, 2025</t>
  </si>
  <si>
    <t>108.89080462736348,00</t>
  </si>
  <si>
    <t>BC20168</t>
  </si>
  <si>
    <t>BC20169</t>
  </si>
  <si>
    <t>BC20170</t>
  </si>
  <si>
    <t>Sneha Kulkarni</t>
  </si>
  <si>
    <t>BC20171</t>
  </si>
  <si>
    <t>â‚¹157.62</t>
  </si>
  <si>
    <t>BC20172</t>
  </si>
  <si>
    <t>BC20173</t>
  </si>
  <si>
    <t>BC20174</t>
  </si>
  <si>
    <t>Nov 27, 2024</t>
  </si>
  <si>
    <t>BC20175</t>
  </si>
  <si>
    <t>Aarav Shaikh</t>
  </si>
  <si>
    <t>BC20176</t>
  </si>
  <si>
    <t>BC20177</t>
  </si>
  <si>
    <t xml:space="preserve"> Zaid Gore </t>
  </si>
  <si>
    <t>BC20178</t>
  </si>
  <si>
    <t>BC20179</t>
  </si>
  <si>
    <t>Riya Shinde</t>
  </si>
  <si>
    <t>290.32562270912183,00</t>
  </si>
  <si>
    <t>BC20180</t>
  </si>
  <si>
    <t>BC20181</t>
  </si>
  <si>
    <t>BC20182</t>
  </si>
  <si>
    <t>BC20183</t>
  </si>
  <si>
    <t>Aug 28, 2025</t>
  </si>
  <si>
    <t>BC20184</t>
  </si>
  <si>
    <t>BC20185</t>
  </si>
  <si>
    <t>Mubin Naik</t>
  </si>
  <si>
    <t>Rs 290.47</t>
  </si>
  <si>
    <t>BC20186</t>
  </si>
  <si>
    <t>Jan 03, 2025</t>
  </si>
  <si>
    <t>BC20187</t>
  </si>
  <si>
    <t>Riya More</t>
  </si>
  <si>
    <t>BC20188</t>
  </si>
  <si>
    <t>aisha gore</t>
  </si>
  <si>
    <t>BC20189</t>
  </si>
  <si>
    <t>BC20190</t>
  </si>
  <si>
    <t>BC20191</t>
  </si>
  <si>
    <t>BC20192</t>
  </si>
  <si>
    <t>BC20193</t>
  </si>
  <si>
    <t>BC20194</t>
  </si>
  <si>
    <t>Riya Naik</t>
  </si>
  <si>
    <t>Rs 419.84</t>
  </si>
  <si>
    <t>BC20195</t>
  </si>
  <si>
    <t>BC20196</t>
  </si>
  <si>
    <t>BC20197</t>
  </si>
  <si>
    <t>BC20198</t>
  </si>
  <si>
    <t>BC20199</t>
  </si>
  <si>
    <t>BC20200</t>
  </si>
  <si>
    <t>BC20201</t>
  </si>
  <si>
    <t>BC20202</t>
  </si>
  <si>
    <t>BC20203</t>
  </si>
  <si>
    <t>BC20204</t>
  </si>
  <si>
    <t xml:space="preserve"> Riya Kulkarni </t>
  </si>
  <si>
    <t>â‚¹119.34</t>
  </si>
  <si>
    <t>BC20205</t>
  </si>
  <si>
    <t>Sep 20, 2025</t>
  </si>
  <si>
    <t>BC20206</t>
  </si>
  <si>
    <t>Farhan More</t>
  </si>
  <si>
    <t>BC20207</t>
  </si>
  <si>
    <t>BC20208</t>
  </si>
  <si>
    <t>Feb 04, 2025</t>
  </si>
  <si>
    <t>BC20209</t>
  </si>
  <si>
    <t>BC20210</t>
  </si>
  <si>
    <t>BC20211</t>
  </si>
  <si>
    <t>Sneha Shaikh</t>
  </si>
  <si>
    <t>BC20212</t>
  </si>
  <si>
    <t>â‚¹313.74</t>
  </si>
  <si>
    <t>BC20213</t>
  </si>
  <si>
    <t xml:space="preserve"> Zaid Khan </t>
  </si>
  <si>
    <t>BC20214</t>
  </si>
  <si>
    <t>BC20215</t>
  </si>
  <si>
    <t>Dec 11, 2024</t>
  </si>
  <si>
    <t>Zara Naik</t>
  </si>
  <si>
    <t>BC20216</t>
  </si>
  <si>
    <t>BC20217</t>
  </si>
  <si>
    <t>Dec 18, 2024</t>
  </si>
  <si>
    <t>BC20218</t>
  </si>
  <si>
    <t>Sneha Naik</t>
  </si>
  <si>
    <t>BC20219</t>
  </si>
  <si>
    <t>Farhan Khan</t>
  </si>
  <si>
    <t>BC20220</t>
  </si>
  <si>
    <t>Farhan Patil</t>
  </si>
  <si>
    <t>BC20221</t>
  </si>
  <si>
    <t>BC20222</t>
  </si>
  <si>
    <t>BC20223</t>
  </si>
  <si>
    <t>BC20224</t>
  </si>
  <si>
    <t>BC20225</t>
  </si>
  <si>
    <t>BC20226</t>
  </si>
  <si>
    <t>Jan 01, 2025</t>
  </si>
  <si>
    <t>BC20227</t>
  </si>
  <si>
    <t>BC20228</t>
  </si>
  <si>
    <t>BC20229</t>
  </si>
  <si>
    <t>BC20230</t>
  </si>
  <si>
    <t>â‚¹95.84</t>
  </si>
  <si>
    <t>BC20231</t>
  </si>
  <si>
    <t>rahul more</t>
  </si>
  <si>
    <t>BC20232</t>
  </si>
  <si>
    <t>BC20233</t>
  </si>
  <si>
    <t>Sneha Joshi</t>
  </si>
  <si>
    <t>BC20234</t>
  </si>
  <si>
    <t>Kiran Shaikh</t>
  </si>
  <si>
    <t>BC20235</t>
  </si>
  <si>
    <t>Jul 02, 2025</t>
  </si>
  <si>
    <t>BC20236</t>
  </si>
  <si>
    <t>Nov 16, 2025</t>
  </si>
  <si>
    <t>BC20237</t>
  </si>
  <si>
    <t>BC20238</t>
  </si>
  <si>
    <t>BC20239</t>
  </si>
  <si>
    <t>BC20240</t>
  </si>
  <si>
    <t>BC20241</t>
  </si>
  <si>
    <t>BC20242</t>
  </si>
  <si>
    <t>Apr 06, 2025</t>
  </si>
  <si>
    <t>â‚¹116.74</t>
  </si>
  <si>
    <t>BC20243</t>
  </si>
  <si>
    <t>BC20244</t>
  </si>
  <si>
    <t>BC20245</t>
  </si>
  <si>
    <t>BC20246</t>
  </si>
  <si>
    <t>BC20247</t>
  </si>
  <si>
    <t>Aarav Kulkarni</t>
  </si>
  <si>
    <t>BC20248</t>
  </si>
  <si>
    <t>BC20249</t>
  </si>
  <si>
    <t>BC20250</t>
  </si>
  <si>
    <t>BC20251</t>
  </si>
  <si>
    <t>Aug 31, 2025</t>
  </si>
  <si>
    <t>Rs 300.51</t>
  </si>
  <si>
    <t>BC20252</t>
  </si>
  <si>
    <t>Zaid Shinde</t>
  </si>
  <si>
    <t>BC20253</t>
  </si>
  <si>
    <t xml:space="preserve"> Aarav Patil </t>
  </si>
  <si>
    <t>BC20254</t>
  </si>
  <si>
    <t xml:space="preserve"> Pooja Khan </t>
  </si>
  <si>
    <t>BC20255</t>
  </si>
  <si>
    <t>â‚¹304.48</t>
  </si>
  <si>
    <t>BC20256</t>
  </si>
  <si>
    <t>Anil Shaikh</t>
  </si>
  <si>
    <t>BC20257</t>
  </si>
  <si>
    <t>BC20258</t>
  </si>
  <si>
    <t>Dec 19, 2024</t>
  </si>
  <si>
    <t>BC20259</t>
  </si>
  <si>
    <t>BC20260</t>
  </si>
  <si>
    <t>BC20261</t>
  </si>
  <si>
    <t xml:space="preserve"> Farhan Khan </t>
  </si>
  <si>
    <t>BC20262</t>
  </si>
  <si>
    <t>BC20263</t>
  </si>
  <si>
    <t>BC20264</t>
  </si>
  <si>
    <t>BC20265</t>
  </si>
  <si>
    <t xml:space="preserve"> Mubin Shaikh </t>
  </si>
  <si>
    <t>BC20266</t>
  </si>
  <si>
    <t>BC20267</t>
  </si>
  <si>
    <t>Jun 23, 2025</t>
  </si>
  <si>
    <t>BC20268</t>
  </si>
  <si>
    <t>anil kulkarni</t>
  </si>
  <si>
    <t>BC20269</t>
  </si>
  <si>
    <t>BC20270</t>
  </si>
  <si>
    <t>Rahul Naik</t>
  </si>
  <si>
    <t>BC20271</t>
  </si>
  <si>
    <t>pooja more</t>
  </si>
  <si>
    <t>BC20272</t>
  </si>
  <si>
    <t>BC20273</t>
  </si>
  <si>
    <t>BC20274</t>
  </si>
  <si>
    <t>BC20275</t>
  </si>
  <si>
    <t>â‚¹41.77</t>
  </si>
  <si>
    <t>BC20276</t>
  </si>
  <si>
    <t>Aug 14, 2025</t>
  </si>
  <si>
    <t>mubin joshi</t>
  </si>
  <si>
    <t>BC20277</t>
  </si>
  <si>
    <t>BC20278</t>
  </si>
  <si>
    <t>May 31, 2025</t>
  </si>
  <si>
    <t>Pooja Naik</t>
  </si>
  <si>
    <t>BC20279</t>
  </si>
  <si>
    <t>BC20280</t>
  </si>
  <si>
    <t>BC20281</t>
  </si>
  <si>
    <t>â‚¹127.59</t>
  </si>
  <si>
    <t>BC20282</t>
  </si>
  <si>
    <t>Jul 21, 2025</t>
  </si>
  <si>
    <t>BC20283</t>
  </si>
  <si>
    <t>BC20284</t>
  </si>
  <si>
    <t>BC20285</t>
  </si>
  <si>
    <t>BC20286</t>
  </si>
  <si>
    <t>BC20287</t>
  </si>
  <si>
    <t>BC20288</t>
  </si>
  <si>
    <t>BC20289</t>
  </si>
  <si>
    <t>Dec 08, 2024</t>
  </si>
  <si>
    <t>BC20290</t>
  </si>
  <si>
    <t>BC20291</t>
  </si>
  <si>
    <t>BC20292</t>
  </si>
  <si>
    <t>BC20293</t>
  </si>
  <si>
    <t>BC20294</t>
  </si>
  <si>
    <t>Aarav Patil</t>
  </si>
  <si>
    <t>â‚¹115.65</t>
  </si>
  <si>
    <t>BC20295</t>
  </si>
  <si>
    <t>Nov 18, 2025</t>
  </si>
  <si>
    <t>BC20296</t>
  </si>
  <si>
    <t>BC20297</t>
  </si>
  <si>
    <t>May 20, 2025</t>
  </si>
  <si>
    <t>BC20298</t>
  </si>
  <si>
    <t>BC20299</t>
  </si>
  <si>
    <t>BC20300</t>
  </si>
  <si>
    <t>BC20301</t>
  </si>
  <si>
    <t>Mar 18, 2025</t>
  </si>
  <si>
    <t>Zaid Khan</t>
  </si>
  <si>
    <t>BC20302</t>
  </si>
  <si>
    <t>BC20303</t>
  </si>
  <si>
    <t>rahul patil</t>
  </si>
  <si>
    <t>BC20304</t>
  </si>
  <si>
    <t>BC20305</t>
  </si>
  <si>
    <t>riya naik</t>
  </si>
  <si>
    <t>BC20306</t>
  </si>
  <si>
    <t>BC20307</t>
  </si>
  <si>
    <t>sneha naik</t>
  </si>
  <si>
    <t>BC20308</t>
  </si>
  <si>
    <t>BC20309</t>
  </si>
  <si>
    <t>Dec 03, 2024</t>
  </si>
  <si>
    <t>BC20310</t>
  </si>
  <si>
    <t>Jan 13, 2025</t>
  </si>
  <si>
    <t>BC20311</t>
  </si>
  <si>
    <t>Oct 21, 2025</t>
  </si>
  <si>
    <t>â‚¹213.70</t>
  </si>
  <si>
    <t>BC20312</t>
  </si>
  <si>
    <t>BC20313</t>
  </si>
  <si>
    <t>BC20314</t>
  </si>
  <si>
    <t>BC20315</t>
  </si>
  <si>
    <t>BC20316</t>
  </si>
  <si>
    <t>BC20317</t>
  </si>
  <si>
    <t>BC20318</t>
  </si>
  <si>
    <t>May 26, 2025</t>
  </si>
  <si>
    <t>BC20319</t>
  </si>
  <si>
    <t>May 18, 2025</t>
  </si>
  <si>
    <t>Mubin Deshmukh</t>
  </si>
  <si>
    <t>BC20320</t>
  </si>
  <si>
    <t>mubin patil</t>
  </si>
  <si>
    <t>BC20321</t>
  </si>
  <si>
    <t>â‚¹116.03</t>
  </si>
  <si>
    <t>BC20322</t>
  </si>
  <si>
    <t>Riya Joshi</t>
  </si>
  <si>
    <t>BC20323</t>
  </si>
  <si>
    <t>Sep 21, 2025</t>
  </si>
  <si>
    <t>BC20324</t>
  </si>
  <si>
    <t>zaid deshmukh</t>
  </si>
  <si>
    <t>BC20325</t>
  </si>
  <si>
    <t>BC20326</t>
  </si>
  <si>
    <t>BC20327</t>
  </si>
  <si>
    <t>BC20328</t>
  </si>
  <si>
    <t>BC20329</t>
  </si>
  <si>
    <t>BC20330</t>
  </si>
  <si>
    <t>BC20331</t>
  </si>
  <si>
    <t>Aarav More</t>
  </si>
  <si>
    <t>BC20332</t>
  </si>
  <si>
    <t>BC20333</t>
  </si>
  <si>
    <t>BC20334</t>
  </si>
  <si>
    <t>Apr 13, 2025</t>
  </si>
  <si>
    <t>BC20335</t>
  </si>
  <si>
    <t>BC20336</t>
  </si>
  <si>
    <t>BC20337</t>
  </si>
  <si>
    <t>BC20338</t>
  </si>
  <si>
    <t>BC20339</t>
  </si>
  <si>
    <t>BC20340</t>
  </si>
  <si>
    <t>Oct 07, 2025</t>
  </si>
  <si>
    <t>Farhan Shinde</t>
  </si>
  <si>
    <t>94.66649722103865,00</t>
  </si>
  <si>
    <t>BC20341</t>
  </si>
  <si>
    <t>BC20342</t>
  </si>
  <si>
    <t>BC20343</t>
  </si>
  <si>
    <t>BC20344</t>
  </si>
  <si>
    <t>BC20345</t>
  </si>
  <si>
    <t>Zara Shaikh</t>
  </si>
  <si>
    <t>Rs 681.28</t>
  </si>
  <si>
    <t>BC20346</t>
  </si>
  <si>
    <t>BC20347</t>
  </si>
  <si>
    <t>BC20348</t>
  </si>
  <si>
    <t>mubin khan</t>
  </si>
  <si>
    <t>BC20349</t>
  </si>
  <si>
    <t>BC20350</t>
  </si>
  <si>
    <t>BC20351</t>
  </si>
  <si>
    <t>BC20352</t>
  </si>
  <si>
    <t>89.82784272758934,00</t>
  </si>
  <si>
    <t>BC20353</t>
  </si>
  <si>
    <t>BC20354</t>
  </si>
  <si>
    <t>BC20355</t>
  </si>
  <si>
    <t xml:space="preserve"> Kiran More </t>
  </si>
  <si>
    <t>BC20356</t>
  </si>
  <si>
    <t>BC20357</t>
  </si>
  <si>
    <t>Aug 25, 2025</t>
  </si>
  <si>
    <t>â‚¹109.04</t>
  </si>
  <si>
    <t>BC20358</t>
  </si>
  <si>
    <t>Apr 30, 2025</t>
  </si>
  <si>
    <t>BC20359</t>
  </si>
  <si>
    <t>BC20360</t>
  </si>
  <si>
    <t>BC20361</t>
  </si>
  <si>
    <t>BC20362</t>
  </si>
  <si>
    <t>BC20363</t>
  </si>
  <si>
    <t>Jul 08, 2025</t>
  </si>
  <si>
    <t>BC20364</t>
  </si>
  <si>
    <t>BC20365</t>
  </si>
  <si>
    <t>BC20366</t>
  </si>
  <si>
    <t>Aug 07, 2025</t>
  </si>
  <si>
    <t xml:space="preserve"> Mubin Shinde </t>
  </si>
  <si>
    <t>BC20367</t>
  </si>
  <si>
    <t>riya patil</t>
  </si>
  <si>
    <t>BC20368</t>
  </si>
  <si>
    <t>May 06, 2025</t>
  </si>
  <si>
    <t>BC20369</t>
  </si>
  <si>
    <t>BC20370</t>
  </si>
  <si>
    <t xml:space="preserve"> Aisha Joshi </t>
  </si>
  <si>
    <t>BC20371</t>
  </si>
  <si>
    <t>Riya Gore</t>
  </si>
  <si>
    <t>BC20372</t>
  </si>
  <si>
    <t xml:space="preserve"> Pooja Joshi </t>
  </si>
  <si>
    <t>BC20373</t>
  </si>
  <si>
    <t>BC20374</t>
  </si>
  <si>
    <t>BC20375</t>
  </si>
  <si>
    <t>BC20376</t>
  </si>
  <si>
    <t>Apr 15, 2025</t>
  </si>
  <si>
    <t>BC20377</t>
  </si>
  <si>
    <t>BC20378</t>
  </si>
  <si>
    <t>BC20379</t>
  </si>
  <si>
    <t>BC20380</t>
  </si>
  <si>
    <t>BC20381</t>
  </si>
  <si>
    <t>Mubin Gore</t>
  </si>
  <si>
    <t>BC20382</t>
  </si>
  <si>
    <t>â‚¹210.54</t>
  </si>
  <si>
    <t>BC20383</t>
  </si>
  <si>
    <t xml:space="preserve"> Anil Joshi </t>
  </si>
  <si>
    <t>BC20384</t>
  </si>
  <si>
    <t>BC20385</t>
  </si>
  <si>
    <t>BC20386</t>
  </si>
  <si>
    <t>Oct 29, 2025</t>
  </si>
  <si>
    <t>Rs 389.02</t>
  </si>
  <si>
    <t>BC20387</t>
  </si>
  <si>
    <t>Rs 549.56</t>
  </si>
  <si>
    <t>BC20388</t>
  </si>
  <si>
    <t>BC20389</t>
  </si>
  <si>
    <t>Oct 01, 2025</t>
  </si>
  <si>
    <t>BC20390</t>
  </si>
  <si>
    <t>â‚¹276.46</t>
  </si>
  <si>
    <t>BC20391</t>
  </si>
  <si>
    <t>BC20392</t>
  </si>
  <si>
    <t>BC20393</t>
  </si>
  <si>
    <t>May 03, 2025</t>
  </si>
  <si>
    <t>BC20394</t>
  </si>
  <si>
    <t>BC20395</t>
  </si>
  <si>
    <t>Jul 16, 2025</t>
  </si>
  <si>
    <t>zaid naik</t>
  </si>
  <si>
    <t>â‚¹39.78</t>
  </si>
  <si>
    <t>BC20396</t>
  </si>
  <si>
    <t>Sep 29, 2025</t>
  </si>
  <si>
    <t>BC20397</t>
  </si>
  <si>
    <t>BC20398</t>
  </si>
  <si>
    <t>Aug 09, 2025</t>
  </si>
  <si>
    <t>BC20399</t>
  </si>
  <si>
    <t>Rs 224.56</t>
  </si>
  <si>
    <t>BC20400</t>
  </si>
  <si>
    <t>BC20401</t>
  </si>
  <si>
    <t>BC20402</t>
  </si>
  <si>
    <t>BC20403</t>
  </si>
  <si>
    <t>Jun 17, 2025</t>
  </si>
  <si>
    <t>BC20404</t>
  </si>
  <si>
    <t>BC20405</t>
  </si>
  <si>
    <t>BC20406</t>
  </si>
  <si>
    <t>BC20407</t>
  </si>
  <si>
    <t>BC20408</t>
  </si>
  <si>
    <t>BC20409</t>
  </si>
  <si>
    <t>Jan 04, 2025</t>
  </si>
  <si>
    <t>198.1319461593509,00</t>
  </si>
  <si>
    <t>BC20410</t>
  </si>
  <si>
    <t>BC20411</t>
  </si>
  <si>
    <t>Jun 03, 2025</t>
  </si>
  <si>
    <t>BC20412</t>
  </si>
  <si>
    <t>Apr 28, 2025</t>
  </si>
  <si>
    <t>BC20413</t>
  </si>
  <si>
    <t>Sneha Shinde</t>
  </si>
  <si>
    <t>BC20414</t>
  </si>
  <si>
    <t>BC20415</t>
  </si>
  <si>
    <t>BC20416</t>
  </si>
  <si>
    <t>BC20417</t>
  </si>
  <si>
    <t>BC20418</t>
  </si>
  <si>
    <t>Sneha Gore</t>
  </si>
  <si>
    <t>BC20419</t>
  </si>
  <si>
    <t>BC20420</t>
  </si>
  <si>
    <t>BC20421</t>
  </si>
  <si>
    <t>BC20422</t>
  </si>
  <si>
    <t>BC20423</t>
  </si>
  <si>
    <t>Aarav Shinde</t>
  </si>
  <si>
    <t>BC20424</t>
  </si>
  <si>
    <t>BC20425</t>
  </si>
  <si>
    <t>BC20426</t>
  </si>
  <si>
    <t>BC20427</t>
  </si>
  <si>
    <t>BC20428</t>
  </si>
  <si>
    <t>BC20429</t>
  </si>
  <si>
    <t>Dec 06, 2024</t>
  </si>
  <si>
    <t>BC20430</t>
  </si>
  <si>
    <t>BC20431</t>
  </si>
  <si>
    <t>BC20432</t>
  </si>
  <si>
    <t>BC20433</t>
  </si>
  <si>
    <t>BC20434</t>
  </si>
  <si>
    <t xml:space="preserve"> Aisha Shaikh </t>
  </si>
  <si>
    <t>BC20435</t>
  </si>
  <si>
    <t>Jun 18, 2025</t>
  </si>
  <si>
    <t xml:space="preserve"> Riya More </t>
  </si>
  <si>
    <t>BC20436</t>
  </si>
  <si>
    <t xml:space="preserve"> Riya Patil </t>
  </si>
  <si>
    <t>BC20437</t>
  </si>
  <si>
    <t>BC20438</t>
  </si>
  <si>
    <t>aarav gore</t>
  </si>
  <si>
    <t>BC20439</t>
  </si>
  <si>
    <t>BC20440</t>
  </si>
  <si>
    <t>BC20441</t>
  </si>
  <si>
    <t>BC20442</t>
  </si>
  <si>
    <t>BC20443</t>
  </si>
  <si>
    <t>Jan 29, 2025</t>
  </si>
  <si>
    <t>BC20444</t>
  </si>
  <si>
    <t>Nov 29, 2024</t>
  </si>
  <si>
    <t>Rs 151.25</t>
  </si>
  <si>
    <t>BC20445</t>
  </si>
  <si>
    <t>BC20446</t>
  </si>
  <si>
    <t>BC20447</t>
  </si>
  <si>
    <t>BC20448</t>
  </si>
  <si>
    <t>BC20449</t>
  </si>
  <si>
    <t>Rs 435.76</t>
  </si>
  <si>
    <t>BC20450</t>
  </si>
  <si>
    <t>BC20451</t>
  </si>
  <si>
    <t>BC20452</t>
  </si>
  <si>
    <t>Oct 11, 2025</t>
  </si>
  <si>
    <t>â‚¹136.19</t>
  </si>
  <si>
    <t>BC20453</t>
  </si>
  <si>
    <t>BC20454</t>
  </si>
  <si>
    <t>BC20455</t>
  </si>
  <si>
    <t>Mar 02, 2025</t>
  </si>
  <si>
    <t>BC20456</t>
  </si>
  <si>
    <t>BC20457</t>
  </si>
  <si>
    <t>â‚¹210.01</t>
  </si>
  <si>
    <t>BC20458</t>
  </si>
  <si>
    <t>BC20459</t>
  </si>
  <si>
    <t>BC20460</t>
  </si>
  <si>
    <t>BC20461</t>
  </si>
  <si>
    <t>BC20462</t>
  </si>
  <si>
    <t>BC20463</t>
  </si>
  <si>
    <t>BC20464</t>
  </si>
  <si>
    <t>BC20465</t>
  </si>
  <si>
    <t>BC20466</t>
  </si>
  <si>
    <t>BC20467</t>
  </si>
  <si>
    <t>BC20468</t>
  </si>
  <si>
    <t>Jul 27, 2025</t>
  </si>
  <si>
    <t>sneha deshmukh</t>
  </si>
  <si>
    <t>BC20469</t>
  </si>
  <si>
    <t>BC20470</t>
  </si>
  <si>
    <t>BC20471</t>
  </si>
  <si>
    <t>BC20472</t>
  </si>
  <si>
    <t>BC20473</t>
  </si>
  <si>
    <t>BC20474</t>
  </si>
  <si>
    <t>BC20475</t>
  </si>
  <si>
    <t>BC20476</t>
  </si>
  <si>
    <t>BC20477</t>
  </si>
  <si>
    <t>Jan 08, 2025</t>
  </si>
  <si>
    <t>BC20478</t>
  </si>
  <si>
    <t>May 15, 2025</t>
  </si>
  <si>
    <t>BC20479</t>
  </si>
  <si>
    <t>May 24, 2025</t>
  </si>
  <si>
    <t>BC20480</t>
  </si>
  <si>
    <t>Apr 20, 2025</t>
  </si>
  <si>
    <t>BC20481</t>
  </si>
  <si>
    <t>Riya Khan</t>
  </si>
  <si>
    <t>BC20482</t>
  </si>
  <si>
    <t>BC20483</t>
  </si>
  <si>
    <t xml:space="preserve"> Farhan More </t>
  </si>
  <si>
    <t>â‚¹92.00</t>
  </si>
  <si>
    <t>BC20484</t>
  </si>
  <si>
    <t>BC20485</t>
  </si>
  <si>
    <t>BC20486</t>
  </si>
  <si>
    <t>BC20487</t>
  </si>
  <si>
    <t>BC20488</t>
  </si>
  <si>
    <t>BC20489</t>
  </si>
  <si>
    <t>BC20490</t>
  </si>
  <si>
    <t>BC20491</t>
  </si>
  <si>
    <t>BC20492</t>
  </si>
  <si>
    <t>BC20493</t>
  </si>
  <si>
    <t>BC20494</t>
  </si>
  <si>
    <t>anil shinde</t>
  </si>
  <si>
    <t>BC20495</t>
  </si>
  <si>
    <t xml:space="preserve"> Rahul Kulkarni </t>
  </si>
  <si>
    <t>BC20496</t>
  </si>
  <si>
    <t>BC20497</t>
  </si>
  <si>
    <t>May 12, 2025</t>
  </si>
  <si>
    <t>BC20498</t>
  </si>
  <si>
    <t>BC20499</t>
  </si>
  <si>
    <t>BC20500</t>
  </si>
  <si>
    <t>BC20501</t>
  </si>
  <si>
    <t>Oct 23, 2025</t>
  </si>
  <si>
    <t>Zaid Shaikh</t>
  </si>
  <si>
    <t>BC20502</t>
  </si>
  <si>
    <t xml:space="preserve"> Rahul Joshi </t>
  </si>
  <si>
    <t>BC20503</t>
  </si>
  <si>
    <t>BC20504</t>
  </si>
  <si>
    <t>BC20505</t>
  </si>
  <si>
    <t>BC20506</t>
  </si>
  <si>
    <t>â‚¹175.42</t>
  </si>
  <si>
    <t>Rs 350.84</t>
  </si>
  <si>
    <t>BC20507</t>
  </si>
  <si>
    <t>Apr 26, 2025</t>
  </si>
  <si>
    <t>BC20508</t>
  </si>
  <si>
    <t>BC20509</t>
  </si>
  <si>
    <t>BC20510</t>
  </si>
  <si>
    <t>BC20511</t>
  </si>
  <si>
    <t>BC20512</t>
  </si>
  <si>
    <t>BC20513</t>
  </si>
  <si>
    <t>BC20514</t>
  </si>
  <si>
    <t>BC20515</t>
  </si>
  <si>
    <t>BC20516</t>
  </si>
  <si>
    <t>Mar 24, 2025</t>
  </si>
  <si>
    <t>BC20517</t>
  </si>
  <si>
    <t>BC20518</t>
  </si>
  <si>
    <t>BC20519</t>
  </si>
  <si>
    <t>BC20520</t>
  </si>
  <si>
    <t>BC20521</t>
  </si>
  <si>
    <t>BC20522</t>
  </si>
  <si>
    <t>BC20523</t>
  </si>
  <si>
    <t>BC20524</t>
  </si>
  <si>
    <t>BC20525</t>
  </si>
  <si>
    <t>150.4528330854356,00</t>
  </si>
  <si>
    <t>BC20526</t>
  </si>
  <si>
    <t>Aug 30, 2025</t>
  </si>
  <si>
    <t>BC20527</t>
  </si>
  <si>
    <t>BC20528</t>
  </si>
  <si>
    <t>BC20529</t>
  </si>
  <si>
    <t>BC20530</t>
  </si>
  <si>
    <t>farhan khan</t>
  </si>
  <si>
    <t>BC20531</t>
  </si>
  <si>
    <t>BC20532</t>
  </si>
  <si>
    <t>BC20533</t>
  </si>
  <si>
    <t>anil gore</t>
  </si>
  <si>
    <t>BC20534</t>
  </si>
  <si>
    <t>BC20535</t>
  </si>
  <si>
    <t>May 13, 2025</t>
  </si>
  <si>
    <t>BC20536</t>
  </si>
  <si>
    <t>BC20537</t>
  </si>
  <si>
    <t>BC20538</t>
  </si>
  <si>
    <t>Aug 26, 2025</t>
  </si>
  <si>
    <t>BC20539</t>
  </si>
  <si>
    <t>BC20540</t>
  </si>
  <si>
    <t>BC20541</t>
  </si>
  <si>
    <t>BC20542</t>
  </si>
  <si>
    <t>BC20543</t>
  </si>
  <si>
    <t>Aug 16, 2025</t>
  </si>
  <si>
    <t>BC20544</t>
  </si>
  <si>
    <t>Jan 30, 2025</t>
  </si>
  <si>
    <t>BC20545</t>
  </si>
  <si>
    <t>BC20546</t>
  </si>
  <si>
    <t>Apr 25, 2025</t>
  </si>
  <si>
    <t>BC20547</t>
  </si>
  <si>
    <t>BC20548</t>
  </si>
  <si>
    <t>BC20549</t>
  </si>
  <si>
    <t>BC20550</t>
  </si>
  <si>
    <t>BC20551</t>
  </si>
  <si>
    <t>BC20552</t>
  </si>
  <si>
    <t>BC20553</t>
  </si>
  <si>
    <t>Nov 23, 2024</t>
  </si>
  <si>
    <t>BC20554</t>
  </si>
  <si>
    <t>BC20555</t>
  </si>
  <si>
    <t>zaid patil</t>
  </si>
  <si>
    <t>â‚¹215.56</t>
  </si>
  <si>
    <t>BC20556</t>
  </si>
  <si>
    <t>BC20557</t>
  </si>
  <si>
    <t>100.04804018447749,00</t>
  </si>
  <si>
    <t>BC20558</t>
  </si>
  <si>
    <t>BC20559</t>
  </si>
  <si>
    <t>BC20560</t>
  </si>
  <si>
    <t>BC20561</t>
  </si>
  <si>
    <t>aisha more</t>
  </si>
  <si>
    <t>BC20562</t>
  </si>
  <si>
    <t xml:space="preserve"> Anil Gore </t>
  </si>
  <si>
    <t>BC20563</t>
  </si>
  <si>
    <t>BC20564</t>
  </si>
  <si>
    <t>BC20565</t>
  </si>
  <si>
    <t>BC20566</t>
  </si>
  <si>
    <t>Sep 05, 2025</t>
  </si>
  <si>
    <t>BC20567</t>
  </si>
  <si>
    <t>May 21, 2025</t>
  </si>
  <si>
    <t>â‚¹261.61</t>
  </si>
  <si>
    <t>BC20568</t>
  </si>
  <si>
    <t>BC20569</t>
  </si>
  <si>
    <t>BC20570</t>
  </si>
  <si>
    <t>BC20571</t>
  </si>
  <si>
    <t>BC20572</t>
  </si>
  <si>
    <t>BC20573</t>
  </si>
  <si>
    <t>farhan gore</t>
  </si>
  <si>
    <t>BC20574</t>
  </si>
  <si>
    <t>BC20575</t>
  </si>
  <si>
    <t>BC20576</t>
  </si>
  <si>
    <t>BC20577</t>
  </si>
  <si>
    <t>BC20578</t>
  </si>
  <si>
    <t>BC20579</t>
  </si>
  <si>
    <t>BC20580</t>
  </si>
  <si>
    <t>BC20581</t>
  </si>
  <si>
    <t>Aug 10, 2025</t>
  </si>
  <si>
    <t>BC20582</t>
  </si>
  <si>
    <t>BC20583</t>
  </si>
  <si>
    <t>Nov 10, 2025</t>
  </si>
  <si>
    <t>BC20584</t>
  </si>
  <si>
    <t>BC20585</t>
  </si>
  <si>
    <t>BC20586</t>
  </si>
  <si>
    <t>Sep 07, 2025</t>
  </si>
  <si>
    <t>â‚¹112.36</t>
  </si>
  <si>
    <t>BC20587</t>
  </si>
  <si>
    <t>â‚¹305.93</t>
  </si>
  <si>
    <t>BC20588</t>
  </si>
  <si>
    <t>BC20589</t>
  </si>
  <si>
    <t>BC20590</t>
  </si>
  <si>
    <t>BC20591</t>
  </si>
  <si>
    <t>BC20592</t>
  </si>
  <si>
    <t>BC20593</t>
  </si>
  <si>
    <t>BC20594</t>
  </si>
  <si>
    <t>BC20595</t>
  </si>
  <si>
    <t>BC20596</t>
  </si>
  <si>
    <t>BC20597</t>
  </si>
  <si>
    <t>Rs 197.32</t>
  </si>
  <si>
    <t>BC20598</t>
  </si>
  <si>
    <t>zara naik</t>
  </si>
  <si>
    <t>BC20599</t>
  </si>
  <si>
    <t>BC20600</t>
  </si>
  <si>
    <t>BC20601</t>
  </si>
  <si>
    <t>BC20602</t>
  </si>
  <si>
    <t>BC20603</t>
  </si>
  <si>
    <t>kiran patil</t>
  </si>
  <si>
    <t>BC20604</t>
  </si>
  <si>
    <t>BC20605</t>
  </si>
  <si>
    <t>sneha patil</t>
  </si>
  <si>
    <t>BC20606</t>
  </si>
  <si>
    <t>BC20607</t>
  </si>
  <si>
    <t>Jul 12, 2025</t>
  </si>
  <si>
    <t>BC20608</t>
  </si>
  <si>
    <t>zaid more</t>
  </si>
  <si>
    <t>BC20609</t>
  </si>
  <si>
    <t>Jul 04, 2025</t>
  </si>
  <si>
    <t>BC20610</t>
  </si>
  <si>
    <t>BC20611</t>
  </si>
  <si>
    <t>BC20612</t>
  </si>
  <si>
    <t>BC20613</t>
  </si>
  <si>
    <t>BC20614</t>
  </si>
  <si>
    <t>BC20615</t>
  </si>
  <si>
    <t>BC20616</t>
  </si>
  <si>
    <t>Rs 191.66</t>
  </si>
  <si>
    <t>BC20617</t>
  </si>
  <si>
    <t>BC20618</t>
  </si>
  <si>
    <t>BC20619</t>
  </si>
  <si>
    <t>BC20620</t>
  </si>
  <si>
    <t>â‚¹249.73</t>
  </si>
  <si>
    <t>BC20621</t>
  </si>
  <si>
    <t>BC20622</t>
  </si>
  <si>
    <t>BC20623</t>
  </si>
  <si>
    <t>BC20624</t>
  </si>
  <si>
    <t>BC20625</t>
  </si>
  <si>
    <t>BC20626</t>
  </si>
  <si>
    <t>Jun 06, 2025</t>
  </si>
  <si>
    <t>BC20627</t>
  </si>
  <si>
    <t>BC20628</t>
  </si>
  <si>
    <t>BC20629</t>
  </si>
  <si>
    <t>BC20630</t>
  </si>
  <si>
    <t>245.03824727960142,00</t>
  </si>
  <si>
    <t>BC20631</t>
  </si>
  <si>
    <t>BC20632</t>
  </si>
  <si>
    <t>BC20633</t>
  </si>
  <si>
    <t>BC20634</t>
  </si>
  <si>
    <t>BC20635</t>
  </si>
  <si>
    <t>BC20636</t>
  </si>
  <si>
    <t>BC20637</t>
  </si>
  <si>
    <t>BC20638</t>
  </si>
  <si>
    <t>BC20639</t>
  </si>
  <si>
    <t>BC20640</t>
  </si>
  <si>
    <t>BC20641</t>
  </si>
  <si>
    <t>BC20642</t>
  </si>
  <si>
    <t>BC20643</t>
  </si>
  <si>
    <t>BC20644</t>
  </si>
  <si>
    <t>â‚¹304.24</t>
  </si>
  <si>
    <t>BC20645</t>
  </si>
  <si>
    <t xml:space="preserve"> Zaid Joshi </t>
  </si>
  <si>
    <t>BC20646</t>
  </si>
  <si>
    <t>BC20647</t>
  </si>
  <si>
    <t>â‚¹217.92</t>
  </si>
  <si>
    <t>BC20648</t>
  </si>
  <si>
    <t>Dec 29, 2024</t>
  </si>
  <si>
    <t>â‚¹316.80</t>
  </si>
  <si>
    <t>BC20649</t>
  </si>
  <si>
    <t>BC20650</t>
  </si>
  <si>
    <t>BC20651</t>
  </si>
  <si>
    <t>BC20652</t>
  </si>
  <si>
    <t>BC20653</t>
  </si>
  <si>
    <t>Jun 08, 2025</t>
  </si>
  <si>
    <t>farhan joshi</t>
  </si>
  <si>
    <t>BC20654</t>
  </si>
  <si>
    <t>Oct 10, 2025</t>
  </si>
  <si>
    <t>BC20655</t>
  </si>
  <si>
    <t>BC20656</t>
  </si>
  <si>
    <t>zara khan</t>
  </si>
  <si>
    <t>BC20657</t>
  </si>
  <si>
    <t>BC20658</t>
  </si>
  <si>
    <t>BC20659</t>
  </si>
  <si>
    <t>BC20660</t>
  </si>
  <si>
    <t>BC20661</t>
  </si>
  <si>
    <t>BC20662</t>
  </si>
  <si>
    <t>May 29, 2025</t>
  </si>
  <si>
    <t>BC20663</t>
  </si>
  <si>
    <t>Rs 249.7</t>
  </si>
  <si>
    <t>BC20664</t>
  </si>
  <si>
    <t>231.19219818154053,00</t>
  </si>
  <si>
    <t>BC20665</t>
  </si>
  <si>
    <t>BC20666</t>
  </si>
  <si>
    <t>Mar 12, 2025</t>
  </si>
  <si>
    <t xml:space="preserve"> riya gore </t>
  </si>
  <si>
    <t>BC20667</t>
  </si>
  <si>
    <t>BC20668</t>
  </si>
  <si>
    <t>farhan shaikh</t>
  </si>
  <si>
    <t>BC20669</t>
  </si>
  <si>
    <t>Sep 11, 2025</t>
  </si>
  <si>
    <t>BC20670</t>
  </si>
  <si>
    <t>Dec 01, 2024</t>
  </si>
  <si>
    <t>BC20671</t>
  </si>
  <si>
    <t>BC20672</t>
  </si>
  <si>
    <t>BC20673</t>
  </si>
  <si>
    <t>104.66282090114767,00</t>
  </si>
  <si>
    <t>BC20674</t>
  </si>
  <si>
    <t>Jun 09, 2025</t>
  </si>
  <si>
    <t>BC20675</t>
  </si>
  <si>
    <t>BC20676</t>
  </si>
  <si>
    <t>BC20677</t>
  </si>
  <si>
    <t>BC20678</t>
  </si>
  <si>
    <t>â‚¹135.37</t>
  </si>
  <si>
    <t>BC20679</t>
  </si>
  <si>
    <t>BC20680</t>
  </si>
  <si>
    <t>â‚¹294.56</t>
  </si>
  <si>
    <t>BC20681</t>
  </si>
  <si>
    <t>BC20682</t>
  </si>
  <si>
    <t>BC20683</t>
  </si>
  <si>
    <t>anil khan</t>
  </si>
  <si>
    <t>BC20684</t>
  </si>
  <si>
    <t>BC20685</t>
  </si>
  <si>
    <t>BC20686</t>
  </si>
  <si>
    <t>aisha deshmukh</t>
  </si>
  <si>
    <t>BC20687</t>
  </si>
  <si>
    <t>BC20688</t>
  </si>
  <si>
    <t>BC20689</t>
  </si>
  <si>
    <t>BC20690</t>
  </si>
  <si>
    <t>BC20691</t>
  </si>
  <si>
    <t>BC20692</t>
  </si>
  <si>
    <t>BC20693</t>
  </si>
  <si>
    <t>BC20694</t>
  </si>
  <si>
    <t>BC20695</t>
  </si>
  <si>
    <t>BC20696</t>
  </si>
  <si>
    <t>BC20697</t>
  </si>
  <si>
    <t>BC20698</t>
  </si>
  <si>
    <t>BC20699</t>
  </si>
  <si>
    <t>Aug 27, 2025</t>
  </si>
  <si>
    <t>BC20700</t>
  </si>
  <si>
    <t>Dec 09, 2024</t>
  </si>
  <si>
    <t>BC20701</t>
  </si>
  <si>
    <t>BC20702</t>
  </si>
  <si>
    <t>BC20703</t>
  </si>
  <si>
    <t>BC20704</t>
  </si>
  <si>
    <t>BC20705</t>
  </si>
  <si>
    <t>BC20706</t>
  </si>
  <si>
    <t>BC20707</t>
  </si>
  <si>
    <t>BC20708</t>
  </si>
  <si>
    <t>BC20709</t>
  </si>
  <si>
    <t>BC20710</t>
  </si>
  <si>
    <t xml:space="preserve"> Sneha Gore </t>
  </si>
  <si>
    <t>BC20711</t>
  </si>
  <si>
    <t>Mar 25, 2025</t>
  </si>
  <si>
    <t>BC20712</t>
  </si>
  <si>
    <t>BC20713</t>
  </si>
  <si>
    <t>BC20714</t>
  </si>
  <si>
    <t>Apr 24, 2025</t>
  </si>
  <si>
    <t>BC20715</t>
  </si>
  <si>
    <t>Nov 14, 2025</t>
  </si>
  <si>
    <t>BC20716</t>
  </si>
  <si>
    <t>BC20717</t>
  </si>
  <si>
    <t>Feb 28, 2025</t>
  </si>
  <si>
    <t>BC20718</t>
  </si>
  <si>
    <t>BC20719</t>
  </si>
  <si>
    <t>BC20720</t>
  </si>
  <si>
    <t>Jun 28, 2025</t>
  </si>
  <si>
    <t>BC20721</t>
  </si>
  <si>
    <t>BC20722</t>
  </si>
  <si>
    <t xml:space="preserve"> Zara Khan </t>
  </si>
  <si>
    <t>BC20723</t>
  </si>
  <si>
    <t>BC20724</t>
  </si>
  <si>
    <t>BC20725</t>
  </si>
  <si>
    <t>Jul 10, 2025</t>
  </si>
  <si>
    <t>BC20726</t>
  </si>
  <si>
    <t>Oct 18, 2025</t>
  </si>
  <si>
    <t>BC20727</t>
  </si>
  <si>
    <t>BC20728</t>
  </si>
  <si>
    <t>pooja joshi</t>
  </si>
  <si>
    <t>BC20729</t>
  </si>
  <si>
    <t>â‚¹94.66</t>
  </si>
  <si>
    <t>BC20730</t>
  </si>
  <si>
    <t>BC20731</t>
  </si>
  <si>
    <t>BC20732</t>
  </si>
  <si>
    <t>May 11, 2025</t>
  </si>
  <si>
    <t>356.0424336968687,00</t>
  </si>
  <si>
    <t>BC20733</t>
  </si>
  <si>
    <t>130.75762645885922,00</t>
  </si>
  <si>
    <t>BC20734</t>
  </si>
  <si>
    <t>Sep 08, 2025</t>
  </si>
  <si>
    <t>BC20735</t>
  </si>
  <si>
    <t>Jun 07, 2025</t>
  </si>
  <si>
    <t>BC20736</t>
  </si>
  <si>
    <t>May 30, 2025</t>
  </si>
  <si>
    <t>BC20737</t>
  </si>
  <si>
    <t>BC20738</t>
  </si>
  <si>
    <t>zara patil</t>
  </si>
  <si>
    <t>BC20739</t>
  </si>
  <si>
    <t>BC20740</t>
  </si>
  <si>
    <t>Dec 17, 2024</t>
  </si>
  <si>
    <t>pooja shinde</t>
  </si>
  <si>
    <t>BC20741</t>
  </si>
  <si>
    <t>BC20742</t>
  </si>
  <si>
    <t>Rs 251.84</t>
  </si>
  <si>
    <t>BC20743</t>
  </si>
  <si>
    <t>BC20744</t>
  </si>
  <si>
    <t>BC20745</t>
  </si>
  <si>
    <t>BC20746</t>
  </si>
  <si>
    <t>Jan 17, 2025</t>
  </si>
  <si>
    <t>BC20747</t>
  </si>
  <si>
    <t>BC20748</t>
  </si>
  <si>
    <t>BC20749</t>
  </si>
  <si>
    <t>BC20750</t>
  </si>
  <si>
    <t>BC20751</t>
  </si>
  <si>
    <t>BC20752</t>
  </si>
  <si>
    <t>BC20753</t>
  </si>
  <si>
    <t>Apr 23, 2025</t>
  </si>
  <si>
    <t>â‚¹211.37</t>
  </si>
  <si>
    <t>BC20754</t>
  </si>
  <si>
    <t>BC20755</t>
  </si>
  <si>
    <t>Apr 02, 2025</t>
  </si>
  <si>
    <t>BC20756</t>
  </si>
  <si>
    <t>BC20757</t>
  </si>
  <si>
    <t>BC20758</t>
  </si>
  <si>
    <t>â‚¹52.61</t>
  </si>
  <si>
    <t>BC20759</t>
  </si>
  <si>
    <t>BC20760</t>
  </si>
  <si>
    <t>193.27342789668836,00</t>
  </si>
  <si>
    <t>BC20761</t>
  </si>
  <si>
    <t>BC20762</t>
  </si>
  <si>
    <t>BC20763</t>
  </si>
  <si>
    <t>237.48451321497376,00</t>
  </si>
  <si>
    <t>BC20764</t>
  </si>
  <si>
    <t>May 22, 2025</t>
  </si>
  <si>
    <t>BC20765</t>
  </si>
  <si>
    <t>BC20766</t>
  </si>
  <si>
    <t>BC20767</t>
  </si>
  <si>
    <t>BC20768</t>
  </si>
  <si>
    <t>BC20769</t>
  </si>
  <si>
    <t>Jul 14, 2025</t>
  </si>
  <si>
    <t xml:space="preserve"> Mubin More </t>
  </si>
  <si>
    <t>BC20770</t>
  </si>
  <si>
    <t>BC20771</t>
  </si>
  <si>
    <t>BC20772</t>
  </si>
  <si>
    <t>BC20773</t>
  </si>
  <si>
    <t>BC20774</t>
  </si>
  <si>
    <t>BC20775</t>
  </si>
  <si>
    <t>BC20776</t>
  </si>
  <si>
    <t>Sep 15, 2025</t>
  </si>
  <si>
    <t>BC20777</t>
  </si>
  <si>
    <t>BC20778</t>
  </si>
  <si>
    <t>BC20779</t>
  </si>
  <si>
    <t>BC20780</t>
  </si>
  <si>
    <t>BC20781</t>
  </si>
  <si>
    <t>BC20782</t>
  </si>
  <si>
    <t>Jan 31, 2025</t>
  </si>
  <si>
    <t>Rs 405.06</t>
  </si>
  <si>
    <t>BC20783</t>
  </si>
  <si>
    <t>BC20784</t>
  </si>
  <si>
    <t>Jan 18, 2025</t>
  </si>
  <si>
    <t>BC20785</t>
  </si>
  <si>
    <t>BC20786</t>
  </si>
  <si>
    <t>zaid khan</t>
  </si>
  <si>
    <t>BC20787</t>
  </si>
  <si>
    <t>BC20788</t>
  </si>
  <si>
    <t>BC20789</t>
  </si>
  <si>
    <t>BC20790</t>
  </si>
  <si>
    <t>BC20791</t>
  </si>
  <si>
    <t>BC20792</t>
  </si>
  <si>
    <t>BC20793</t>
  </si>
  <si>
    <t>BC20794</t>
  </si>
  <si>
    <t>BC20795</t>
  </si>
  <si>
    <t>BC20796</t>
  </si>
  <si>
    <t>Dec 27, 2024</t>
  </si>
  <si>
    <t>BC20797</t>
  </si>
  <si>
    <t>BC20798</t>
  </si>
  <si>
    <t>BC20799</t>
  </si>
  <si>
    <t>Dec 31, 2024</t>
  </si>
  <si>
    <t>BC20800</t>
  </si>
  <si>
    <t>Feb 18, 2025</t>
  </si>
  <si>
    <t>BC20801</t>
  </si>
  <si>
    <t>BC20802</t>
  </si>
  <si>
    <t>BC20803</t>
  </si>
  <si>
    <t>BC20804</t>
  </si>
  <si>
    <t>BC20805</t>
  </si>
  <si>
    <t>BC20806</t>
  </si>
  <si>
    <t>Mar 14, 2025</t>
  </si>
  <si>
    <t xml:space="preserve"> Aisha Deshmukh </t>
  </si>
  <si>
    <t>81.93851416940171,00</t>
  </si>
  <si>
    <t>BC20807</t>
  </si>
  <si>
    <t>Sep 28, 2025</t>
  </si>
  <si>
    <t>Rs 265.72</t>
  </si>
  <si>
    <t>BC20808</t>
  </si>
  <si>
    <t>BC20809</t>
  </si>
  <si>
    <t>BC20810</t>
  </si>
  <si>
    <t>BC20811</t>
  </si>
  <si>
    <t>Sep 19, 2025</t>
  </si>
  <si>
    <t>â‚¹178.65</t>
  </si>
  <si>
    <t>BC20812</t>
  </si>
  <si>
    <t>74.5596134406694,00</t>
  </si>
  <si>
    <t>BC20813</t>
  </si>
  <si>
    <t>Mar 20, 2025</t>
  </si>
  <si>
    <t>BC20814</t>
  </si>
  <si>
    <t>BC20815</t>
  </si>
  <si>
    <t>â‚¹169.37</t>
  </si>
  <si>
    <t>BC20816</t>
  </si>
  <si>
    <t>Mar 07, 2025</t>
  </si>
  <si>
    <t>BC20817</t>
  </si>
  <si>
    <t>BC20818</t>
  </si>
  <si>
    <t>BC20819</t>
  </si>
  <si>
    <t>BC20820</t>
  </si>
  <si>
    <t>Rs 885.24</t>
  </si>
  <si>
    <t>BC20821</t>
  </si>
  <si>
    <t>BC20822</t>
  </si>
  <si>
    <t>BC20823</t>
  </si>
  <si>
    <t>BC20824</t>
  </si>
  <si>
    <t>BC20825</t>
  </si>
  <si>
    <t>â‚¹295.94</t>
  </si>
  <si>
    <t>BC20826</t>
  </si>
  <si>
    <t>BC20827</t>
  </si>
  <si>
    <t>Feb 09, 2025</t>
  </si>
  <si>
    <t>BC20828</t>
  </si>
  <si>
    <t>BC20829</t>
  </si>
  <si>
    <t>Apr 21, 2025</t>
  </si>
  <si>
    <t>BC20830</t>
  </si>
  <si>
    <t>BC20831</t>
  </si>
  <si>
    <t>aisha shaikh</t>
  </si>
  <si>
    <t>BC20832</t>
  </si>
  <si>
    <t>Jan 15, 2025</t>
  </si>
  <si>
    <t>BC20833</t>
  </si>
  <si>
    <t>aisha patil</t>
  </si>
  <si>
    <t>BC20834</t>
  </si>
  <si>
    <t>BC20835</t>
  </si>
  <si>
    <t>BC20836</t>
  </si>
  <si>
    <t>BC20837</t>
  </si>
  <si>
    <t>BC20838</t>
  </si>
  <si>
    <t>BC20839</t>
  </si>
  <si>
    <t>riya gore</t>
  </si>
  <si>
    <t>â‚¹139.53</t>
  </si>
  <si>
    <t>BC20840</t>
  </si>
  <si>
    <t>BC20841</t>
  </si>
  <si>
    <t>sneha khan</t>
  </si>
  <si>
    <t>BC20842</t>
  </si>
  <si>
    <t>BC20843</t>
  </si>
  <si>
    <t>â‚¹197.58</t>
  </si>
  <si>
    <t>BC20844</t>
  </si>
  <si>
    <t>aarav shinde</t>
  </si>
  <si>
    <t>BC20845</t>
  </si>
  <si>
    <t>BC20846</t>
  </si>
  <si>
    <t>BC20847</t>
  </si>
  <si>
    <t>BC20848</t>
  </si>
  <si>
    <t>BC20849</t>
  </si>
  <si>
    <t>BC20850</t>
  </si>
  <si>
    <t>BC20851</t>
  </si>
  <si>
    <t>BC20852</t>
  </si>
  <si>
    <t>BC20853</t>
  </si>
  <si>
    <t>aarav patil</t>
  </si>
  <si>
    <t>BC20854</t>
  </si>
  <si>
    <t>BC20855</t>
  </si>
  <si>
    <t>BC20856</t>
  </si>
  <si>
    <t>BC20857</t>
  </si>
  <si>
    <t>BC20858</t>
  </si>
  <si>
    <t>BC20859</t>
  </si>
  <si>
    <t>BC20860</t>
  </si>
  <si>
    <t>Apr 12, 2025</t>
  </si>
  <si>
    <t>BC20861</t>
  </si>
  <si>
    <t>BC20862</t>
  </si>
  <si>
    <t>BC20863</t>
  </si>
  <si>
    <t>BC20864</t>
  </si>
  <si>
    <t>BC20865</t>
  </si>
  <si>
    <t>BC20866</t>
  </si>
  <si>
    <t>BC20867</t>
  </si>
  <si>
    <t>BC20868</t>
  </si>
  <si>
    <t>BC20869</t>
  </si>
  <si>
    <t>BC20870</t>
  </si>
  <si>
    <t>Oct 16, 2025</t>
  </si>
  <si>
    <t>BC20871</t>
  </si>
  <si>
    <t>BC20872</t>
  </si>
  <si>
    <t>farhan shinde</t>
  </si>
  <si>
    <t>BC20873</t>
  </si>
  <si>
    <t>May 08, 2025</t>
  </si>
  <si>
    <t>riya khan</t>
  </si>
  <si>
    <t>BC20874</t>
  </si>
  <si>
    <t>mubin shaikh</t>
  </si>
  <si>
    <t>BC20875</t>
  </si>
  <si>
    <t>BC20876</t>
  </si>
  <si>
    <t>BC20877</t>
  </si>
  <si>
    <t>BC20878</t>
  </si>
  <si>
    <t>BC20879</t>
  </si>
  <si>
    <t>BC20880</t>
  </si>
  <si>
    <t>Jul 22, 2025</t>
  </si>
  <si>
    <t>anil patil</t>
  </si>
  <si>
    <t>BC20881</t>
  </si>
  <si>
    <t>â‚¹44.60</t>
  </si>
  <si>
    <t>BC20882</t>
  </si>
  <si>
    <t>BC20883</t>
  </si>
  <si>
    <t>BC20884</t>
  </si>
  <si>
    <t>BC20885</t>
  </si>
  <si>
    <t>BC20886</t>
  </si>
  <si>
    <t>BC20887</t>
  </si>
  <si>
    <t>BC20888</t>
  </si>
  <si>
    <t>BC20889</t>
  </si>
  <si>
    <t>BC20890</t>
  </si>
  <si>
    <t>BC20891</t>
  </si>
  <si>
    <t>BC20892</t>
  </si>
  <si>
    <t>BC20893</t>
  </si>
  <si>
    <t>Apr 04, 2025</t>
  </si>
  <si>
    <t>BC20894</t>
  </si>
  <si>
    <t>Rs 749.97</t>
  </si>
  <si>
    <t>BC20895</t>
  </si>
  <si>
    <t>BC20896</t>
  </si>
  <si>
    <t>Sep 01, 2025</t>
  </si>
  <si>
    <t>BC20897</t>
  </si>
  <si>
    <t>Aug 22, 2025</t>
  </si>
  <si>
    <t>pooja kulkarni</t>
  </si>
  <si>
    <t>BC20898</t>
  </si>
  <si>
    <t>BC20899</t>
  </si>
  <si>
    <t>BC20900</t>
  </si>
  <si>
    <t>aarav naik</t>
  </si>
  <si>
    <t>BC20901</t>
  </si>
  <si>
    <t>BC20902</t>
  </si>
  <si>
    <t>Kiran More</t>
  </si>
  <si>
    <t>BC20903</t>
  </si>
  <si>
    <t>BC20904</t>
  </si>
  <si>
    <t>BC20905</t>
  </si>
  <si>
    <t>BC20906</t>
  </si>
  <si>
    <t>BC20907</t>
  </si>
  <si>
    <t>Rs 296.49</t>
  </si>
  <si>
    <t>BC20908</t>
  </si>
  <si>
    <t>BC20909</t>
  </si>
  <si>
    <t>233.50565227193553,00</t>
  </si>
  <si>
    <t>BC20910</t>
  </si>
  <si>
    <t>BC20911</t>
  </si>
  <si>
    <t>BC20912</t>
  </si>
  <si>
    <t>BC20913</t>
  </si>
  <si>
    <t>BC20914</t>
  </si>
  <si>
    <t>BC20915</t>
  </si>
  <si>
    <t>zaid kulkarni</t>
  </si>
  <si>
    <t>BC20916</t>
  </si>
  <si>
    <t>BC20917</t>
  </si>
  <si>
    <t>Sep 23, 2025</t>
  </si>
  <si>
    <t>BC20918</t>
  </si>
  <si>
    <t>BC20919</t>
  </si>
  <si>
    <t>BC20920</t>
  </si>
  <si>
    <t>BC20921</t>
  </si>
  <si>
    <t>BC20922</t>
  </si>
  <si>
    <t>BC20923</t>
  </si>
  <si>
    <t>BC20924</t>
  </si>
  <si>
    <t>BC20925</t>
  </si>
  <si>
    <t>BC20926</t>
  </si>
  <si>
    <t>BC20927</t>
  </si>
  <si>
    <t>BC20928</t>
  </si>
  <si>
    <t xml:space="preserve"> rahul kulkarni </t>
  </si>
  <si>
    <t>BC20929</t>
  </si>
  <si>
    <t>BC20930</t>
  </si>
  <si>
    <t>aarav deshmukh</t>
  </si>
  <si>
    <t>186.52199908628506,00</t>
  </si>
  <si>
    <t>BC20931</t>
  </si>
  <si>
    <t>BC20932</t>
  </si>
  <si>
    <t>BC20933</t>
  </si>
  <si>
    <t>BC20934</t>
  </si>
  <si>
    <t>BC20935</t>
  </si>
  <si>
    <t>114.56711529195367,00</t>
  </si>
  <si>
    <t>BC20936</t>
  </si>
  <si>
    <t>Rs 174.18</t>
  </si>
  <si>
    <t>BC20937</t>
  </si>
  <si>
    <t>BC20938</t>
  </si>
  <si>
    <t>BC20939</t>
  </si>
  <si>
    <t>pooja naik</t>
  </si>
  <si>
    <t>BC20940</t>
  </si>
  <si>
    <t>BC20941</t>
  </si>
  <si>
    <t>BC20942</t>
  </si>
  <si>
    <t>Feb 07, 2025</t>
  </si>
  <si>
    <t>BC20943</t>
  </si>
  <si>
    <t>BC20944</t>
  </si>
  <si>
    <t>BC20945</t>
  </si>
  <si>
    <t>BC20946</t>
  </si>
  <si>
    <t>BC20947</t>
  </si>
  <si>
    <t>BC20948</t>
  </si>
  <si>
    <t>BC20949</t>
  </si>
  <si>
    <t>BC20950</t>
  </si>
  <si>
    <t>Rs 75.32</t>
  </si>
  <si>
    <t>BC20951</t>
  </si>
  <si>
    <t>Feb 05, 2025</t>
  </si>
  <si>
    <t>BC20952</t>
  </si>
  <si>
    <t>â‚¹111.80</t>
  </si>
  <si>
    <t>BC20953</t>
  </si>
  <si>
    <t>BC20954</t>
  </si>
  <si>
    <t>BC20955</t>
  </si>
  <si>
    <t>Rs 460.96</t>
  </si>
  <si>
    <t>BC20956</t>
  </si>
  <si>
    <t>BC20957</t>
  </si>
  <si>
    <t>BC20958</t>
  </si>
  <si>
    <t>BC20959</t>
  </si>
  <si>
    <t>BC20960</t>
  </si>
  <si>
    <t>BC20961</t>
  </si>
  <si>
    <t>BC20962</t>
  </si>
  <si>
    <t>May 07, 2025</t>
  </si>
  <si>
    <t>BC20963</t>
  </si>
  <si>
    <t>BC20964</t>
  </si>
  <si>
    <t>BC20965</t>
  </si>
  <si>
    <t>BC20966</t>
  </si>
  <si>
    <t xml:space="preserve"> Aarav Gore </t>
  </si>
  <si>
    <t>BC20967</t>
  </si>
  <si>
    <t>BC20968</t>
  </si>
  <si>
    <t>BC20969</t>
  </si>
  <si>
    <t>BC20970</t>
  </si>
  <si>
    <t>BC20971</t>
  </si>
  <si>
    <t xml:space="preserve"> Sneha Joshi </t>
  </si>
  <si>
    <t>BC20972</t>
  </si>
  <si>
    <t>Rs 611.36</t>
  </si>
  <si>
    <t>BC20973</t>
  </si>
  <si>
    <t>BC20974</t>
  </si>
  <si>
    <t>BC20975</t>
  </si>
  <si>
    <t xml:space="preserve"> Pooja Naik </t>
  </si>
  <si>
    <t>BC20976</t>
  </si>
  <si>
    <t>â‚¹105.67</t>
  </si>
  <si>
    <t>BC20977</t>
  </si>
  <si>
    <t>BC20978</t>
  </si>
  <si>
    <t>BC20979</t>
  </si>
  <si>
    <t xml:space="preserve"> aisha gore </t>
  </si>
  <si>
    <t>BC20980</t>
  </si>
  <si>
    <t>BC20981</t>
  </si>
  <si>
    <t>Mar 15, 2025</t>
  </si>
  <si>
    <t>Rs 151.83</t>
  </si>
  <si>
    <t>BC20982</t>
  </si>
  <si>
    <t xml:space="preserve"> Aisha Kulkarni </t>
  </si>
  <si>
    <t>BC20983</t>
  </si>
  <si>
    <t>BC20984</t>
  </si>
  <si>
    <t>BC20985</t>
  </si>
  <si>
    <t>BC20986</t>
  </si>
  <si>
    <t>BC20987</t>
  </si>
  <si>
    <t>BC20988</t>
  </si>
  <si>
    <t>BC20989</t>
  </si>
  <si>
    <t>BC20990</t>
  </si>
  <si>
    <t>BC20991</t>
  </si>
  <si>
    <t>BC20992</t>
  </si>
  <si>
    <t>BC20993</t>
  </si>
  <si>
    <t>BC20994</t>
  </si>
  <si>
    <t>BC20995</t>
  </si>
  <si>
    <t>BC20996</t>
  </si>
  <si>
    <t>Jun 11, 2025</t>
  </si>
  <si>
    <t xml:space="preserve"> Kiran Deshmukh </t>
  </si>
  <si>
    <t>BC20997</t>
  </si>
  <si>
    <t>BC20998</t>
  </si>
  <si>
    <t>Dec 30, 2024</t>
  </si>
  <si>
    <t>BC20999</t>
  </si>
  <si>
    <t>BC21000</t>
  </si>
  <si>
    <t>BC21001</t>
  </si>
  <si>
    <t>BC21002</t>
  </si>
  <si>
    <t>BC21003</t>
  </si>
  <si>
    <t>Feb 24, 2025</t>
  </si>
  <si>
    <t>BC21004</t>
  </si>
  <si>
    <t>BC21005</t>
  </si>
  <si>
    <t>BC21006</t>
  </si>
  <si>
    <t>BC21007</t>
  </si>
  <si>
    <t>BC21008</t>
  </si>
  <si>
    <t>Oct 17, 2025</t>
  </si>
  <si>
    <t>zaid gore</t>
  </si>
  <si>
    <t>BC21009</t>
  </si>
  <si>
    <t>BC21010</t>
  </si>
  <si>
    <t>BC21011</t>
  </si>
  <si>
    <t>Jun 04, 2025</t>
  </si>
  <si>
    <t>BC21012</t>
  </si>
  <si>
    <t>BC21013</t>
  </si>
  <si>
    <t>BC21014</t>
  </si>
  <si>
    <t>Oct 24, 2025</t>
  </si>
  <si>
    <t>BC21015</t>
  </si>
  <si>
    <t>Mar 04, 2025</t>
  </si>
  <si>
    <t>BC21016</t>
  </si>
  <si>
    <t xml:space="preserve"> Mubin Gore </t>
  </si>
  <si>
    <t>BC21017</t>
  </si>
  <si>
    <t>BC21018</t>
  </si>
  <si>
    <t>BC21019</t>
  </si>
  <si>
    <t>riya more</t>
  </si>
  <si>
    <t>BC21020</t>
  </si>
  <si>
    <t>BC21021</t>
  </si>
  <si>
    <t>BC21022</t>
  </si>
  <si>
    <t>BC21023</t>
  </si>
  <si>
    <t>BC21024</t>
  </si>
  <si>
    <t>BC21025</t>
  </si>
  <si>
    <t>â‚¹119.62</t>
  </si>
  <si>
    <t>BC21026</t>
  </si>
  <si>
    <t>BC21027</t>
  </si>
  <si>
    <t>BC21028</t>
  </si>
  <si>
    <t>BC21029</t>
  </si>
  <si>
    <t>BC21030</t>
  </si>
  <si>
    <t>BC21031</t>
  </si>
  <si>
    <t>BC21032</t>
  </si>
  <si>
    <t>BC21033</t>
  </si>
  <si>
    <t>BC21034</t>
  </si>
  <si>
    <t>â‚¹95.10</t>
  </si>
  <si>
    <t>BC21035</t>
  </si>
  <si>
    <t>BC21036</t>
  </si>
  <si>
    <t>Jul 17, 2025</t>
  </si>
  <si>
    <t>BC21037</t>
  </si>
  <si>
    <t xml:space="preserve"> Farhan Gore </t>
  </si>
  <si>
    <t>BC21038</t>
  </si>
  <si>
    <t>BC21039</t>
  </si>
  <si>
    <t>BC21040</t>
  </si>
  <si>
    <t>BC21041</t>
  </si>
  <si>
    <t>BC21042</t>
  </si>
  <si>
    <t>BC21043</t>
  </si>
  <si>
    <t>â‚¹49.35</t>
  </si>
  <si>
    <t>BC21044</t>
  </si>
  <si>
    <t>BC21045</t>
  </si>
  <si>
    <t>Apr 16, 2025</t>
  </si>
  <si>
    <t>BC21046</t>
  </si>
  <si>
    <t>BC21047</t>
  </si>
  <si>
    <t>244.96350996788485,00</t>
  </si>
  <si>
    <t>BC21048</t>
  </si>
  <si>
    <t>mubin shinde</t>
  </si>
  <si>
    <t>â‚¹162.18</t>
  </si>
  <si>
    <t>BC21049</t>
  </si>
  <si>
    <t xml:space="preserve"> Rahul Shinde </t>
  </si>
  <si>
    <t>BC21050</t>
  </si>
  <si>
    <t>BC21051</t>
  </si>
  <si>
    <t>Nov 15, 2025</t>
  </si>
  <si>
    <t>BC21052</t>
  </si>
  <si>
    <t>BC21053</t>
  </si>
  <si>
    <t>BC21054</t>
  </si>
  <si>
    <t>riya deshmukh</t>
  </si>
  <si>
    <t>BC21055</t>
  </si>
  <si>
    <t>farhan kulkarni</t>
  </si>
  <si>
    <t>BC21056</t>
  </si>
  <si>
    <t>BC21057</t>
  </si>
  <si>
    <t>BC21058</t>
  </si>
  <si>
    <t>238.5000612232513,00</t>
  </si>
  <si>
    <t>BC21059</t>
  </si>
  <si>
    <t>Apr 09, 2025</t>
  </si>
  <si>
    <t>BC21060</t>
  </si>
  <si>
    <t>Aug 23, 2025</t>
  </si>
  <si>
    <t>BC21061</t>
  </si>
  <si>
    <t>BC21062</t>
  </si>
  <si>
    <t>BC21063</t>
  </si>
  <si>
    <t>BC21064</t>
  </si>
  <si>
    <t>BC21065</t>
  </si>
  <si>
    <t>BC21066</t>
  </si>
  <si>
    <t>BC21067</t>
  </si>
  <si>
    <t>Nov 22, 2024</t>
  </si>
  <si>
    <t>BC21068</t>
  </si>
  <si>
    <t>Oct 26, 2025</t>
  </si>
  <si>
    <t>BC21069</t>
  </si>
  <si>
    <t>BC21070</t>
  </si>
  <si>
    <t>BC21071</t>
  </si>
  <si>
    <t>BC21072</t>
  </si>
  <si>
    <t>BC21073</t>
  </si>
  <si>
    <t>BC21074</t>
  </si>
  <si>
    <t>BC21075</t>
  </si>
  <si>
    <t>Aug 02, 2025</t>
  </si>
  <si>
    <t>BC21076</t>
  </si>
  <si>
    <t xml:space="preserve"> Pooja Patil </t>
  </si>
  <si>
    <t>BC21077</t>
  </si>
  <si>
    <t>BC21078</t>
  </si>
  <si>
    <t>BC21079</t>
  </si>
  <si>
    <t>BC21080</t>
  </si>
  <si>
    <t>BC21081</t>
  </si>
  <si>
    <t>â‚¹111.97</t>
  </si>
  <si>
    <t>Rs 223.94</t>
  </si>
  <si>
    <t>BC21082</t>
  </si>
  <si>
    <t>Aug 01, 2025</t>
  </si>
  <si>
    <t>BC21083</t>
  </si>
  <si>
    <t>BC21084</t>
  </si>
  <si>
    <t>â‚¹89.81</t>
  </si>
  <si>
    <t>BC21085</t>
  </si>
  <si>
    <t>BC21086</t>
  </si>
  <si>
    <t>BC21087</t>
  </si>
  <si>
    <t>BC21088</t>
  </si>
  <si>
    <t>â‚¹50.24</t>
  </si>
  <si>
    <t>BC21089</t>
  </si>
  <si>
    <t>BC21090</t>
  </si>
  <si>
    <t>BC21091</t>
  </si>
  <si>
    <t>BC21092</t>
  </si>
  <si>
    <t>â‚¹202.34</t>
  </si>
  <si>
    <t>BC21093</t>
  </si>
  <si>
    <t>BC21094</t>
  </si>
  <si>
    <t>BC21095</t>
  </si>
  <si>
    <t>Jan 10, 2025</t>
  </si>
  <si>
    <t>BC21096</t>
  </si>
  <si>
    <t>BC21097</t>
  </si>
  <si>
    <t>BC21098</t>
  </si>
  <si>
    <t>Rs 202.44</t>
  </si>
  <si>
    <t>BC21099</t>
  </si>
  <si>
    <t>Jan 27, 2025</t>
  </si>
  <si>
    <t>BC21100</t>
  </si>
  <si>
    <t>BC21101</t>
  </si>
  <si>
    <t>BC21102</t>
  </si>
  <si>
    <t>BC21103</t>
  </si>
  <si>
    <t>Jan 02, 2025</t>
  </si>
  <si>
    <t>BC21104</t>
  </si>
  <si>
    <t>BC21105</t>
  </si>
  <si>
    <t>BC21106</t>
  </si>
  <si>
    <t>BC21107</t>
  </si>
  <si>
    <t>BC21108</t>
  </si>
  <si>
    <t>BC21109</t>
  </si>
  <si>
    <t>BC21110</t>
  </si>
  <si>
    <t>Jan 25, 2025</t>
  </si>
  <si>
    <t>BC21111</t>
  </si>
  <si>
    <t>BC21112</t>
  </si>
  <si>
    <t>BC21113</t>
  </si>
  <si>
    <t>BC21114</t>
  </si>
  <si>
    <t>BC21115</t>
  </si>
  <si>
    <t>BC21116</t>
  </si>
  <si>
    <t>May 01, 2025</t>
  </si>
  <si>
    <t>BC21117</t>
  </si>
  <si>
    <t>Jul 09, 2025</t>
  </si>
  <si>
    <t>BC21118</t>
  </si>
  <si>
    <t>BC21119</t>
  </si>
  <si>
    <t>BC21120</t>
  </si>
  <si>
    <t>Rs 235.36</t>
  </si>
  <si>
    <t>BC21121</t>
  </si>
  <si>
    <t>BC21122</t>
  </si>
  <si>
    <t>BC21123</t>
  </si>
  <si>
    <t xml:space="preserve"> Mubin Patil </t>
  </si>
  <si>
    <t>BC21124</t>
  </si>
  <si>
    <t>BC21125</t>
  </si>
  <si>
    <t>Mar 29, 2025</t>
  </si>
  <si>
    <t>BC21126</t>
  </si>
  <si>
    <t>BC21127</t>
  </si>
  <si>
    <t>BC21128</t>
  </si>
  <si>
    <t>BC21129</t>
  </si>
  <si>
    <t>BC21130</t>
  </si>
  <si>
    <t>BC21131</t>
  </si>
  <si>
    <t>BC21132</t>
  </si>
  <si>
    <t>BC21133</t>
  </si>
  <si>
    <t>BC21134</t>
  </si>
  <si>
    <t>Apr 14, 2025</t>
  </si>
  <si>
    <t>BC21135</t>
  </si>
  <si>
    <t>BC21136</t>
  </si>
  <si>
    <t>BC21137</t>
  </si>
  <si>
    <t>BC21138</t>
  </si>
  <si>
    <t>BC21139</t>
  </si>
  <si>
    <t xml:space="preserve"> Sneha Shaikh </t>
  </si>
  <si>
    <t>BC21140</t>
  </si>
  <si>
    <t>BC21141</t>
  </si>
  <si>
    <t>BC21142</t>
  </si>
  <si>
    <t>kiran joshi</t>
  </si>
  <si>
    <t>BC21143</t>
  </si>
  <si>
    <t>â‚¹237.61</t>
  </si>
  <si>
    <t>BC21144</t>
  </si>
  <si>
    <t>BC21145</t>
  </si>
  <si>
    <t>BC21146</t>
  </si>
  <si>
    <t>BC21147</t>
  </si>
  <si>
    <t>BC21148</t>
  </si>
  <si>
    <t>anil more</t>
  </si>
  <si>
    <t>BC21149</t>
  </si>
  <si>
    <t>BC21150</t>
  </si>
  <si>
    <t>BC21151</t>
  </si>
  <si>
    <t>BC21152</t>
  </si>
  <si>
    <t>BC21153</t>
  </si>
  <si>
    <t>farhan patil</t>
  </si>
  <si>
    <t>BC21154</t>
  </si>
  <si>
    <t>BC21155</t>
  </si>
  <si>
    <t>â‚¹226.25</t>
  </si>
  <si>
    <t>BC21156</t>
  </si>
  <si>
    <t>BC21157</t>
  </si>
  <si>
    <t>BC21158</t>
  </si>
  <si>
    <t>BC21159</t>
  </si>
  <si>
    <t>â‚¹108.16</t>
  </si>
  <si>
    <t>BC21160</t>
  </si>
  <si>
    <t>â‚¹225.47</t>
  </si>
  <si>
    <t>BC21161</t>
  </si>
  <si>
    <t>BC21162</t>
  </si>
  <si>
    <t>BC21163</t>
  </si>
  <si>
    <t>BC21164</t>
  </si>
  <si>
    <t>BC21165</t>
  </si>
  <si>
    <t>Oct 28, 2025</t>
  </si>
  <si>
    <t>BC21166</t>
  </si>
  <si>
    <t>BC21167</t>
  </si>
  <si>
    <t>Sep 27, 2025</t>
  </si>
  <si>
    <t>Rs 78.49</t>
  </si>
  <si>
    <t>BC21168</t>
  </si>
  <si>
    <t>BC21169</t>
  </si>
  <si>
    <t>BC21170</t>
  </si>
  <si>
    <t>BC21171</t>
  </si>
  <si>
    <t>BC21172</t>
  </si>
  <si>
    <t>BC21173</t>
  </si>
  <si>
    <t>BC21174</t>
  </si>
  <si>
    <t>BC21175</t>
  </si>
  <si>
    <t>BC21176</t>
  </si>
  <si>
    <t>BC21177</t>
  </si>
  <si>
    <t>BC21178</t>
  </si>
  <si>
    <t>BC21179</t>
  </si>
  <si>
    <t>Nov 20, 2025</t>
  </si>
  <si>
    <t>BC21180</t>
  </si>
  <si>
    <t>BC21181</t>
  </si>
  <si>
    <t>BC21182</t>
  </si>
  <si>
    <t>BC21183</t>
  </si>
  <si>
    <t xml:space="preserve"> Sneha Shinde </t>
  </si>
  <si>
    <t>BC21184</t>
  </si>
  <si>
    <t>BC21185</t>
  </si>
  <si>
    <t>BC21186</t>
  </si>
  <si>
    <t>BC21187</t>
  </si>
  <si>
    <t>BC21188</t>
  </si>
  <si>
    <t>BC21189</t>
  </si>
  <si>
    <t>BC21190</t>
  </si>
  <si>
    <t>BC21191</t>
  </si>
  <si>
    <t>Jan 09, 2025</t>
  </si>
  <si>
    <t xml:space="preserve"> Zaid More </t>
  </si>
  <si>
    <t>â‚¹280.68</t>
  </si>
  <si>
    <t>BC21192</t>
  </si>
  <si>
    <t>BC21193</t>
  </si>
  <si>
    <t>BC21194</t>
  </si>
  <si>
    <t>BC21195</t>
  </si>
  <si>
    <t>BC21196</t>
  </si>
  <si>
    <t>BC21197</t>
  </si>
  <si>
    <t>BC21198</t>
  </si>
  <si>
    <t>BC21199</t>
  </si>
  <si>
    <t>BC21200</t>
  </si>
  <si>
    <t>BC21201</t>
  </si>
  <si>
    <t>Feb 20, 2025</t>
  </si>
  <si>
    <t>BC21202</t>
  </si>
  <si>
    <t>BC21203</t>
  </si>
  <si>
    <t>BC21204</t>
  </si>
  <si>
    <t>BC21205</t>
  </si>
  <si>
    <t>BC21206</t>
  </si>
  <si>
    <t>BC21207</t>
  </si>
  <si>
    <t>May 14, 2025</t>
  </si>
  <si>
    <t>231.32008967608982,00</t>
  </si>
  <si>
    <t>BC21208</t>
  </si>
  <si>
    <t>Feb 13, 2025</t>
  </si>
  <si>
    <t>mubin kulkarni</t>
  </si>
  <si>
    <t>BC21209</t>
  </si>
  <si>
    <t>BC21210</t>
  </si>
  <si>
    <t>BC21211</t>
  </si>
  <si>
    <t>BC21212</t>
  </si>
  <si>
    <t>BC21213</t>
  </si>
  <si>
    <t>BC21214</t>
  </si>
  <si>
    <t>BC21215</t>
  </si>
  <si>
    <t>BC21216</t>
  </si>
  <si>
    <t>BC21217</t>
  </si>
  <si>
    <t>BC21218</t>
  </si>
  <si>
    <t>Aug 05, 2025</t>
  </si>
  <si>
    <t>BC21219</t>
  </si>
  <si>
    <t>Oct 31, 2025</t>
  </si>
  <si>
    <t>BC21220</t>
  </si>
  <si>
    <t>266.46933525880166,00</t>
  </si>
  <si>
    <t>BC21221</t>
  </si>
  <si>
    <t>BC21222</t>
  </si>
  <si>
    <t>BC21223</t>
  </si>
  <si>
    <t xml:space="preserve"> Farhan Joshi </t>
  </si>
  <si>
    <t>BC21224</t>
  </si>
  <si>
    <t>BC21225</t>
  </si>
  <si>
    <t>Aug 06, 2025</t>
  </si>
  <si>
    <t>BC21226</t>
  </si>
  <si>
    <t>BC21227</t>
  </si>
  <si>
    <t>BC21228</t>
  </si>
  <si>
    <t>BC21229</t>
  </si>
  <si>
    <t>BC21230</t>
  </si>
  <si>
    <t>BC21231</t>
  </si>
  <si>
    <t>BC21232</t>
  </si>
  <si>
    <t>BC21233</t>
  </si>
  <si>
    <t>BC21234</t>
  </si>
  <si>
    <t>BC21235</t>
  </si>
  <si>
    <t>BC21236</t>
  </si>
  <si>
    <t>BC21237</t>
  </si>
  <si>
    <t>BC21238</t>
  </si>
  <si>
    <t>Mar 08, 2025</t>
  </si>
  <si>
    <t>BC21239</t>
  </si>
  <si>
    <t>BC21240</t>
  </si>
  <si>
    <t>BC21241</t>
  </si>
  <si>
    <t>BC21242</t>
  </si>
  <si>
    <t>BC21243</t>
  </si>
  <si>
    <t>BC21244</t>
  </si>
  <si>
    <t>Rs 819.72</t>
  </si>
  <si>
    <t>BC21245</t>
  </si>
  <si>
    <t>â‚¹196.70</t>
  </si>
  <si>
    <t>BC21246</t>
  </si>
  <si>
    <t>BC21247</t>
  </si>
  <si>
    <t>â‚¹133.13</t>
  </si>
  <si>
    <t>BC21248</t>
  </si>
  <si>
    <t>BC21249</t>
  </si>
  <si>
    <t>BC21250</t>
  </si>
  <si>
    <t>BC21251</t>
  </si>
  <si>
    <t>sneha shinde</t>
  </si>
  <si>
    <t>BC21252</t>
  </si>
  <si>
    <t>BC21253</t>
  </si>
  <si>
    <t>BC21254</t>
  </si>
  <si>
    <t>BC21255</t>
  </si>
  <si>
    <t>BC21256</t>
  </si>
  <si>
    <t>BC21257</t>
  </si>
  <si>
    <t>BC21258</t>
  </si>
  <si>
    <t>BC21259</t>
  </si>
  <si>
    <t>BC21260</t>
  </si>
  <si>
    <t>BC21261</t>
  </si>
  <si>
    <t>BC21262</t>
  </si>
  <si>
    <t>BC21263</t>
  </si>
  <si>
    <t>Jun 29, 2025</t>
  </si>
  <si>
    <t>Rs 332.42</t>
  </si>
  <si>
    <t>BC21264</t>
  </si>
  <si>
    <t>aisha shinde</t>
  </si>
  <si>
    <t>BC21265</t>
  </si>
  <si>
    <t>Mar 27, 2025</t>
  </si>
  <si>
    <t>BC21266</t>
  </si>
  <si>
    <t>BC21267</t>
  </si>
  <si>
    <t>BC21268</t>
  </si>
  <si>
    <t>BC21269</t>
  </si>
  <si>
    <t>BC21270</t>
  </si>
  <si>
    <t>BC21271</t>
  </si>
  <si>
    <t>BC21272</t>
  </si>
  <si>
    <t>BC21273</t>
  </si>
  <si>
    <t>BC21274</t>
  </si>
  <si>
    <t>BC21275</t>
  </si>
  <si>
    <t>BC21276</t>
  </si>
  <si>
    <t>BC21277</t>
  </si>
  <si>
    <t>BC21278</t>
  </si>
  <si>
    <t>BC21279</t>
  </si>
  <si>
    <t>BC21280</t>
  </si>
  <si>
    <t>BC21281</t>
  </si>
  <si>
    <t>BC21282</t>
  </si>
  <si>
    <t>BC21283</t>
  </si>
  <si>
    <t>Rs 246.4</t>
  </si>
  <si>
    <t>BC21284</t>
  </si>
  <si>
    <t>BC21285</t>
  </si>
  <si>
    <t>Rs 189.95</t>
  </si>
  <si>
    <t>BC21286</t>
  </si>
  <si>
    <t>Jul 25, 2025</t>
  </si>
  <si>
    <t>BC21287</t>
  </si>
  <si>
    <t>BC21288</t>
  </si>
  <si>
    <t>BC21289</t>
  </si>
  <si>
    <t>BC21290</t>
  </si>
  <si>
    <t>BC21291</t>
  </si>
  <si>
    <t>BC21292</t>
  </si>
  <si>
    <t>BC21293</t>
  </si>
  <si>
    <t>BC21294</t>
  </si>
  <si>
    <t>Apr 03, 2025</t>
  </si>
  <si>
    <t>BC21295</t>
  </si>
  <si>
    <t>BC21296</t>
  </si>
  <si>
    <t>BC21297</t>
  </si>
  <si>
    <t>BC21298</t>
  </si>
  <si>
    <t>BC21299</t>
  </si>
  <si>
    <t>BC21300</t>
  </si>
  <si>
    <t>BC21301</t>
  </si>
  <si>
    <t>BC21302</t>
  </si>
  <si>
    <t>BC21303</t>
  </si>
  <si>
    <t>BC21304</t>
  </si>
  <si>
    <t>BC21305</t>
  </si>
  <si>
    <t>BC21306</t>
  </si>
  <si>
    <t>â‚¹188.16</t>
  </si>
  <si>
    <t>Rs 188.16</t>
  </si>
  <si>
    <t>BC21307</t>
  </si>
  <si>
    <t>BC21308</t>
  </si>
  <si>
    <t>BC21309</t>
  </si>
  <si>
    <t>BC21310</t>
  </si>
  <si>
    <t>BC21311</t>
  </si>
  <si>
    <t>BC21312</t>
  </si>
  <si>
    <t>BC21313</t>
  </si>
  <si>
    <t>BC21314</t>
  </si>
  <si>
    <t>Feb 17, 2025</t>
  </si>
  <si>
    <t>BC21315</t>
  </si>
  <si>
    <t>BC21316</t>
  </si>
  <si>
    <t>BC21317</t>
  </si>
  <si>
    <t>BC21318</t>
  </si>
  <si>
    <t>BC21319</t>
  </si>
  <si>
    <t>BC21320</t>
  </si>
  <si>
    <t>BC21321</t>
  </si>
  <si>
    <t>BC21322</t>
  </si>
  <si>
    <t>BC21323</t>
  </si>
  <si>
    <t>BC21324</t>
  </si>
  <si>
    <t>BC21325</t>
  </si>
  <si>
    <t>BC21326</t>
  </si>
  <si>
    <t>Aug 17, 2025</t>
  </si>
  <si>
    <t>BC21327</t>
  </si>
  <si>
    <t>BC21328</t>
  </si>
  <si>
    <t>BC21329</t>
  </si>
  <si>
    <t>BC21330</t>
  </si>
  <si>
    <t>Jun 13, 2025</t>
  </si>
  <si>
    <t>BC21331</t>
  </si>
  <si>
    <t>BC21332</t>
  </si>
  <si>
    <t>BC21333</t>
  </si>
  <si>
    <t>BC21334</t>
  </si>
  <si>
    <t>â‚¹246.14</t>
  </si>
  <si>
    <t>BC21335</t>
  </si>
  <si>
    <t>BC21336</t>
  </si>
  <si>
    <t>BC21337</t>
  </si>
  <si>
    <t>BC21338</t>
  </si>
  <si>
    <t>BC21339</t>
  </si>
  <si>
    <t>BC21340</t>
  </si>
  <si>
    <t>BC21341</t>
  </si>
  <si>
    <t>BC21342</t>
  </si>
  <si>
    <t>pooja khan</t>
  </si>
  <si>
    <t>â‚¹270.80</t>
  </si>
  <si>
    <t>BC21343</t>
  </si>
  <si>
    <t>BC21344</t>
  </si>
  <si>
    <t>BC21345</t>
  </si>
  <si>
    <t>BC21346</t>
  </si>
  <si>
    <t>kiran gore</t>
  </si>
  <si>
    <t>BC21347</t>
  </si>
  <si>
    <t>BC21348</t>
  </si>
  <si>
    <t>BC21349</t>
  </si>
  <si>
    <t>BC21350</t>
  </si>
  <si>
    <t>BC21351</t>
  </si>
  <si>
    <t>BC21352</t>
  </si>
  <si>
    <t>BC21353</t>
  </si>
  <si>
    <t>BC21354</t>
  </si>
  <si>
    <t>BC21355</t>
  </si>
  <si>
    <t>mubin naik</t>
  </si>
  <si>
    <t>BC21356</t>
  </si>
  <si>
    <t>â‚¹166.97</t>
  </si>
  <si>
    <t>BC21357</t>
  </si>
  <si>
    <t>BC21358</t>
  </si>
  <si>
    <t>BC21359</t>
  </si>
  <si>
    <t>BC21360</t>
  </si>
  <si>
    <t>BC21361</t>
  </si>
  <si>
    <t>BC21362</t>
  </si>
  <si>
    <t>BC21363</t>
  </si>
  <si>
    <t>BC21364</t>
  </si>
  <si>
    <t>BC21365</t>
  </si>
  <si>
    <t>BC21366</t>
  </si>
  <si>
    <t>BC21367</t>
  </si>
  <si>
    <t>BC21368</t>
  </si>
  <si>
    <t>BC21369</t>
  </si>
  <si>
    <t>BC21370</t>
  </si>
  <si>
    <t>BC21371</t>
  </si>
  <si>
    <t>BC21372</t>
  </si>
  <si>
    <t>BC21373</t>
  </si>
  <si>
    <t>BC21374</t>
  </si>
  <si>
    <t>BC21375</t>
  </si>
  <si>
    <t>BC21376</t>
  </si>
  <si>
    <t>BC21377</t>
  </si>
  <si>
    <t>BC21378</t>
  </si>
  <si>
    <t>BC21379</t>
  </si>
  <si>
    <t>BC21380</t>
  </si>
  <si>
    <t>BC21381</t>
  </si>
  <si>
    <t>BC21382</t>
  </si>
  <si>
    <t>BC21383</t>
  </si>
  <si>
    <t>BC21384</t>
  </si>
  <si>
    <t>Mar 06, 2025</t>
  </si>
  <si>
    <t>Rs 251.38</t>
  </si>
  <si>
    <t>BC21385</t>
  </si>
  <si>
    <t>â‚¹285.79</t>
  </si>
  <si>
    <t>BC21386</t>
  </si>
  <si>
    <t>220.95451798225304,00</t>
  </si>
  <si>
    <t>BC21387</t>
  </si>
  <si>
    <t>Rs 100.12</t>
  </si>
  <si>
    <t>BC21388</t>
  </si>
  <si>
    <t>BC21389</t>
  </si>
  <si>
    <t>â‚¹44.69</t>
  </si>
  <si>
    <t>BC21390</t>
  </si>
  <si>
    <t>BC21391</t>
  </si>
  <si>
    <t>BC21392</t>
  </si>
  <si>
    <t>â‚¹220.28</t>
  </si>
  <si>
    <t>BC21393</t>
  </si>
  <si>
    <t>BC21394</t>
  </si>
  <si>
    <t>BC21395</t>
  </si>
  <si>
    <t>BC21396</t>
  </si>
  <si>
    <t>BC21397</t>
  </si>
  <si>
    <t>BC21398</t>
  </si>
  <si>
    <t>BC21399</t>
  </si>
  <si>
    <t>BC21400</t>
  </si>
  <si>
    <t>BC21401</t>
  </si>
  <si>
    <t>BC21402</t>
  </si>
  <si>
    <t>BC21403</t>
  </si>
  <si>
    <t>BC21404</t>
  </si>
  <si>
    <t>Jun 05, 2025</t>
  </si>
  <si>
    <t>BC21405</t>
  </si>
  <si>
    <t>BC21406</t>
  </si>
  <si>
    <t>Rs 179.82</t>
  </si>
  <si>
    <t>BC21407</t>
  </si>
  <si>
    <t>BC21408</t>
  </si>
  <si>
    <t>Oct 04, 2025</t>
  </si>
  <si>
    <t>BC21409</t>
  </si>
  <si>
    <t xml:space="preserve"> Zaid Kulkarni </t>
  </si>
  <si>
    <t>BC21410</t>
  </si>
  <si>
    <t>BC21411</t>
  </si>
  <si>
    <t>BC21412</t>
  </si>
  <si>
    <t>BC21413</t>
  </si>
  <si>
    <t>BC21414</t>
  </si>
  <si>
    <t>BC21415</t>
  </si>
  <si>
    <t>BC21416</t>
  </si>
  <si>
    <t>BC21417</t>
  </si>
  <si>
    <t>BC21418</t>
  </si>
  <si>
    <t>BC21419</t>
  </si>
  <si>
    <t>BC21420</t>
  </si>
  <si>
    <t>BC21421</t>
  </si>
  <si>
    <t>BC21422</t>
  </si>
  <si>
    <t>BC21423</t>
  </si>
  <si>
    <t>BC21424</t>
  </si>
  <si>
    <t>BC21425</t>
  </si>
  <si>
    <t>BC21426</t>
  </si>
  <si>
    <t>BC21427</t>
  </si>
  <si>
    <t>BC21428</t>
  </si>
  <si>
    <t>â‚¹155.19</t>
  </si>
  <si>
    <t>BC21429</t>
  </si>
  <si>
    <t>â‚¹328.10</t>
  </si>
  <si>
    <t>BC21430</t>
  </si>
  <si>
    <t>BC21431</t>
  </si>
  <si>
    <t>BC21432</t>
  </si>
  <si>
    <t>BC21433</t>
  </si>
  <si>
    <t>aarav khan</t>
  </si>
  <si>
    <t>BC21434</t>
  </si>
  <si>
    <t>BC21435</t>
  </si>
  <si>
    <t>BC21436</t>
  </si>
  <si>
    <t>BC21437</t>
  </si>
  <si>
    <t>BC21438</t>
  </si>
  <si>
    <t>Mar 31, 2025</t>
  </si>
  <si>
    <t>BC21439</t>
  </si>
  <si>
    <t>Feb 12, 2025</t>
  </si>
  <si>
    <t>BC21440</t>
  </si>
  <si>
    <t>BC21441</t>
  </si>
  <si>
    <t>BC21442</t>
  </si>
  <si>
    <t>Jul 29, 2025</t>
  </si>
  <si>
    <t>BC21443</t>
  </si>
  <si>
    <t>BC21444</t>
  </si>
  <si>
    <t>Sep 12, 2025</t>
  </si>
  <si>
    <t>BC21445</t>
  </si>
  <si>
    <t>May 16, 2025</t>
  </si>
  <si>
    <t>BC21446</t>
  </si>
  <si>
    <t>Dec 23, 2024</t>
  </si>
  <si>
    <t>BC21447</t>
  </si>
  <si>
    <t>BC21448</t>
  </si>
  <si>
    <t>BC21449</t>
  </si>
  <si>
    <t>BC21450</t>
  </si>
  <si>
    <t>BC21451</t>
  </si>
  <si>
    <t>BC21452</t>
  </si>
  <si>
    <t>BC21453</t>
  </si>
  <si>
    <t>BC21454</t>
  </si>
  <si>
    <t>BC21455</t>
  </si>
  <si>
    <t>Rs 369.8</t>
  </si>
  <si>
    <t>BC21456</t>
  </si>
  <si>
    <t>197.32131217518645,00</t>
  </si>
  <si>
    <t>BC21457</t>
  </si>
  <si>
    <t>BC21458</t>
  </si>
  <si>
    <t>BC21459</t>
  </si>
  <si>
    <t>BC21460</t>
  </si>
  <si>
    <t>zara gore</t>
  </si>
  <si>
    <t>BC21461</t>
  </si>
  <si>
    <t>BC21462</t>
  </si>
  <si>
    <t>BC21463</t>
  </si>
  <si>
    <t>BC21464</t>
  </si>
  <si>
    <t>BC21465</t>
  </si>
  <si>
    <t>Mar 26, 2025</t>
  </si>
  <si>
    <t>â‚¹95.97</t>
  </si>
  <si>
    <t>BC21466</t>
  </si>
  <si>
    <t>BC21467</t>
  </si>
  <si>
    <t>zaid shinde</t>
  </si>
  <si>
    <t>228.63652733184034,00</t>
  </si>
  <si>
    <t>BC21468</t>
  </si>
  <si>
    <t>BC21469</t>
  </si>
  <si>
    <t>BC21470</t>
  </si>
  <si>
    <t>BC21471</t>
  </si>
  <si>
    <t>BC21472</t>
  </si>
  <si>
    <t>BC21473</t>
  </si>
  <si>
    <t>BC21474</t>
  </si>
  <si>
    <t>BC21475</t>
  </si>
  <si>
    <t>BC21476</t>
  </si>
  <si>
    <t>BC21477</t>
  </si>
  <si>
    <t>BC21478</t>
  </si>
  <si>
    <t>BC21479</t>
  </si>
  <si>
    <t xml:space="preserve"> Anil Naik </t>
  </si>
  <si>
    <t>BC21480</t>
  </si>
  <si>
    <t>BC21481</t>
  </si>
  <si>
    <t>Aug 18, 2025</t>
  </si>
  <si>
    <t>â‚¹46.89</t>
  </si>
  <si>
    <t>BC21482</t>
  </si>
  <si>
    <t>BC21483</t>
  </si>
  <si>
    <t>BC21484</t>
  </si>
  <si>
    <t>BC21485</t>
  </si>
  <si>
    <t>BC21486</t>
  </si>
  <si>
    <t>BC21487</t>
  </si>
  <si>
    <t>BC21488</t>
  </si>
  <si>
    <t>Rs 145.64</t>
  </si>
  <si>
    <t>BC21489</t>
  </si>
  <si>
    <t>BC21490</t>
  </si>
  <si>
    <t>Jan 26, 2025</t>
  </si>
  <si>
    <t>â‚¹122.12</t>
  </si>
  <si>
    <t>BC21491</t>
  </si>
  <si>
    <t>Dec 13, 2024</t>
  </si>
  <si>
    <t>BC21492</t>
  </si>
  <si>
    <t>Mar 28, 2025</t>
  </si>
  <si>
    <t>BC21493</t>
  </si>
  <si>
    <t>â‚¹244.09</t>
  </si>
  <si>
    <t>BC21494</t>
  </si>
  <si>
    <t>BC21495</t>
  </si>
  <si>
    <t>BC21496</t>
  </si>
  <si>
    <t>BC21497</t>
  </si>
  <si>
    <t>BC21498</t>
  </si>
  <si>
    <t>BC21499</t>
  </si>
  <si>
    <t>â‚¹158.83</t>
  </si>
  <si>
    <t>BC21500</t>
  </si>
  <si>
    <t>BC21501</t>
  </si>
  <si>
    <t>BC21502</t>
  </si>
  <si>
    <t>BC21503</t>
  </si>
  <si>
    <t>May 17, 2025</t>
  </si>
  <si>
    <t>BC21504</t>
  </si>
  <si>
    <t>BC21505</t>
  </si>
  <si>
    <t>BC21506</t>
  </si>
  <si>
    <t>BC21507</t>
  </si>
  <si>
    <t>BC21508</t>
  </si>
  <si>
    <t>BC21509</t>
  </si>
  <si>
    <t>BC21510</t>
  </si>
  <si>
    <t>BC21511</t>
  </si>
  <si>
    <t>BC21512</t>
  </si>
  <si>
    <t>BC21513</t>
  </si>
  <si>
    <t xml:space="preserve"> Riya Joshi </t>
  </si>
  <si>
    <t>BC21514</t>
  </si>
  <si>
    <t>BC21515</t>
  </si>
  <si>
    <t>Rs 226.42</t>
  </si>
  <si>
    <t>BC21516</t>
  </si>
  <si>
    <t>BC21517</t>
  </si>
  <si>
    <t>BC21518</t>
  </si>
  <si>
    <t>BC21519</t>
  </si>
  <si>
    <t>BC21520</t>
  </si>
  <si>
    <t>BC21521</t>
  </si>
  <si>
    <t>BC21522</t>
  </si>
  <si>
    <t>Dec 12, 2024</t>
  </si>
  <si>
    <t>BC21523</t>
  </si>
  <si>
    <t>BC21524</t>
  </si>
  <si>
    <t>BC21525</t>
  </si>
  <si>
    <t>Apr 18, 2025</t>
  </si>
  <si>
    <t>â‚¹139.42</t>
  </si>
  <si>
    <t>BC21526</t>
  </si>
  <si>
    <t>BC21527</t>
  </si>
  <si>
    <t>rahul shinde</t>
  </si>
  <si>
    <t>â‚¹277.18</t>
  </si>
  <si>
    <t>BC21528</t>
  </si>
  <si>
    <t>BC21529</t>
  </si>
  <si>
    <t>BC21530</t>
  </si>
  <si>
    <t>BC21531</t>
  </si>
  <si>
    <t>BC21532</t>
  </si>
  <si>
    <t>BC21533</t>
  </si>
  <si>
    <t>BC21534</t>
  </si>
  <si>
    <t>â‚¹119.21</t>
  </si>
  <si>
    <t>BC21535</t>
  </si>
  <si>
    <t>BC21536</t>
  </si>
  <si>
    <t>BC21537</t>
  </si>
  <si>
    <t>BC21538</t>
  </si>
  <si>
    <t>Rs 218.96</t>
  </si>
  <si>
    <t>BC21539</t>
  </si>
  <si>
    <t>BC21540</t>
  </si>
  <si>
    <t>BC21541</t>
  </si>
  <si>
    <t>BC21542</t>
  </si>
  <si>
    <t>BC21543</t>
  </si>
  <si>
    <t>BC21544</t>
  </si>
  <si>
    <t>BC21545</t>
  </si>
  <si>
    <t>BC21546</t>
  </si>
  <si>
    <t>BC21547</t>
  </si>
  <si>
    <t>BC21548</t>
  </si>
  <si>
    <t>BC21549</t>
  </si>
  <si>
    <t>BC21550</t>
  </si>
  <si>
    <t>BC21551</t>
  </si>
  <si>
    <t>BC21552</t>
  </si>
  <si>
    <t>Jul 28, 2025</t>
  </si>
  <si>
    <t>BC21553</t>
  </si>
  <si>
    <t>BC21554</t>
  </si>
  <si>
    <t>BC21555</t>
  </si>
  <si>
    <t>BC21556</t>
  </si>
  <si>
    <t>BC21557</t>
  </si>
  <si>
    <t>BC21558</t>
  </si>
  <si>
    <t>BC21559</t>
  </si>
  <si>
    <t>BC21560</t>
  </si>
  <si>
    <t>BC21561</t>
  </si>
  <si>
    <t>BC21562</t>
  </si>
  <si>
    <t>Oct 25, 2025</t>
  </si>
  <si>
    <t>BC21563</t>
  </si>
  <si>
    <t>BC21564</t>
  </si>
  <si>
    <t>BC21565</t>
  </si>
  <si>
    <t>Rs 199.02</t>
  </si>
  <si>
    <t>BC21566</t>
  </si>
  <si>
    <t>BC21567</t>
  </si>
  <si>
    <t>BC21568</t>
  </si>
  <si>
    <t>BC21569</t>
  </si>
  <si>
    <t>sneha kulkarni</t>
  </si>
  <si>
    <t>BC21570</t>
  </si>
  <si>
    <t>BC21571</t>
  </si>
  <si>
    <t>BC21572</t>
  </si>
  <si>
    <t xml:space="preserve"> Anil Shaikh </t>
  </si>
  <si>
    <t>BC21573</t>
  </si>
  <si>
    <t>134.16211592315102,00</t>
  </si>
  <si>
    <t>BC21574</t>
  </si>
  <si>
    <t>228.17053344611736,00</t>
  </si>
  <si>
    <t>BC21575</t>
  </si>
  <si>
    <t>BC21576</t>
  </si>
  <si>
    <t>BC21577</t>
  </si>
  <si>
    <t>BC21578</t>
  </si>
  <si>
    <t>BC21579</t>
  </si>
  <si>
    <t>BC21580</t>
  </si>
  <si>
    <t>BC21581</t>
  </si>
  <si>
    <t>Jul 15, 2025</t>
  </si>
  <si>
    <t>â‚¹228.32</t>
  </si>
  <si>
    <t>BC21582</t>
  </si>
  <si>
    <t>BC21583</t>
  </si>
  <si>
    <t>Dec 05, 2024</t>
  </si>
  <si>
    <t>BC21584</t>
  </si>
  <si>
    <t>BC21585</t>
  </si>
  <si>
    <t>BC21586</t>
  </si>
  <si>
    <t>BC21587</t>
  </si>
  <si>
    <t>BC21588</t>
  </si>
  <si>
    <t>157.09546875378282,00</t>
  </si>
  <si>
    <t>BC21589</t>
  </si>
  <si>
    <t>BC21590</t>
  </si>
  <si>
    <t>BC21591</t>
  </si>
  <si>
    <t>BC21592</t>
  </si>
  <si>
    <t>BC21593</t>
  </si>
  <si>
    <t>BC21594</t>
  </si>
  <si>
    <t>Jun 19, 2025</t>
  </si>
  <si>
    <t>BC21595</t>
  </si>
  <si>
    <t>BC21596</t>
  </si>
  <si>
    <t>BC21597</t>
  </si>
  <si>
    <t>BC21598</t>
  </si>
  <si>
    <t>BC21599</t>
  </si>
  <si>
    <t>Rs 366.45</t>
  </si>
  <si>
    <t>BC21600</t>
  </si>
  <si>
    <t>232.56044213806817,00</t>
  </si>
  <si>
    <t>BC21601</t>
  </si>
  <si>
    <t>BC21602</t>
  </si>
  <si>
    <t>BC21603</t>
  </si>
  <si>
    <t>BC21604</t>
  </si>
  <si>
    <t>BC21605</t>
  </si>
  <si>
    <t>BC21606</t>
  </si>
  <si>
    <t>BC21607</t>
  </si>
  <si>
    <t>BC21608</t>
  </si>
  <si>
    <t>BC21609</t>
  </si>
  <si>
    <t>BC21610</t>
  </si>
  <si>
    <t>BC21611</t>
  </si>
  <si>
    <t>BC21612</t>
  </si>
  <si>
    <t>BC21613</t>
  </si>
  <si>
    <t>BC21614</t>
  </si>
  <si>
    <t>rahul shaikh</t>
  </si>
  <si>
    <t>Rs 189.66</t>
  </si>
  <si>
    <t>BC21615</t>
  </si>
  <si>
    <t>Jan 12, 2025</t>
  </si>
  <si>
    <t>BC21616</t>
  </si>
  <si>
    <t>BC21617</t>
  </si>
  <si>
    <t>BC21618</t>
  </si>
  <si>
    <t>BC21619</t>
  </si>
  <si>
    <t>Jan 28, 2025</t>
  </si>
  <si>
    <t>BC21620</t>
  </si>
  <si>
    <t>BC21621</t>
  </si>
  <si>
    <t>BC21622</t>
  </si>
  <si>
    <t>BC21623</t>
  </si>
  <si>
    <t>Nov 05, 2025</t>
  </si>
  <si>
    <t>BC21624</t>
  </si>
  <si>
    <t>BC21625</t>
  </si>
  <si>
    <t>BC21626</t>
  </si>
  <si>
    <t>BC21627</t>
  </si>
  <si>
    <t>BC21628</t>
  </si>
  <si>
    <t>â‚¹332.81</t>
  </si>
  <si>
    <t>BC21629</t>
  </si>
  <si>
    <t>May 28, 2025</t>
  </si>
  <si>
    <t>BC21630</t>
  </si>
  <si>
    <t>Apr 08, 2025</t>
  </si>
  <si>
    <t>BC21631</t>
  </si>
  <si>
    <t>Rs 416.1</t>
  </si>
  <si>
    <t>BC21632</t>
  </si>
  <si>
    <t>BC21633</t>
  </si>
  <si>
    <t>BC21634</t>
  </si>
  <si>
    <t>BC21635</t>
  </si>
  <si>
    <t>BC21636</t>
  </si>
  <si>
    <t>BC21637</t>
  </si>
  <si>
    <t>BC21638</t>
  </si>
  <si>
    <t>BC21639</t>
  </si>
  <si>
    <t>BC21640</t>
  </si>
  <si>
    <t>BC21641</t>
  </si>
  <si>
    <t>BC21642</t>
  </si>
  <si>
    <t>BC21643</t>
  </si>
  <si>
    <t>BC21644</t>
  </si>
  <si>
    <t>BC21645</t>
  </si>
  <si>
    <t>BC21646</t>
  </si>
  <si>
    <t>BC21647</t>
  </si>
  <si>
    <t>Aug 19, 2025</t>
  </si>
  <si>
    <t>BC21648</t>
  </si>
  <si>
    <t>BC21649</t>
  </si>
  <si>
    <t>Jul 11, 2025</t>
  </si>
  <si>
    <t>BC21650</t>
  </si>
  <si>
    <t>BC21651</t>
  </si>
  <si>
    <t>BC21652</t>
  </si>
  <si>
    <t>â‚¹153.20</t>
  </si>
  <si>
    <t>BC21653</t>
  </si>
  <si>
    <t>BC21654</t>
  </si>
  <si>
    <t>BC21655</t>
  </si>
  <si>
    <t>BC21656</t>
  </si>
  <si>
    <t>BC21657</t>
  </si>
  <si>
    <t>BC21658</t>
  </si>
  <si>
    <t>Dec 02, 2024</t>
  </si>
  <si>
    <t>BC21659</t>
  </si>
  <si>
    <t>BC21660</t>
  </si>
  <si>
    <t>BC21661</t>
  </si>
  <si>
    <t xml:space="preserve"> Farhan Shinde </t>
  </si>
  <si>
    <t>BC21662</t>
  </si>
  <si>
    <t>BC21663</t>
  </si>
  <si>
    <t>BC21664</t>
  </si>
  <si>
    <t>BC21665</t>
  </si>
  <si>
    <t>BC21666</t>
  </si>
  <si>
    <t>BC21667</t>
  </si>
  <si>
    <t>BC21668</t>
  </si>
  <si>
    <t>BC21669</t>
  </si>
  <si>
    <t>BC21670</t>
  </si>
  <si>
    <t>BC21671</t>
  </si>
  <si>
    <t>BC21672</t>
  </si>
  <si>
    <t>BC21673</t>
  </si>
  <si>
    <t>BC21674</t>
  </si>
  <si>
    <t>BC21675</t>
  </si>
  <si>
    <t>BC21676</t>
  </si>
  <si>
    <t>BC21677</t>
  </si>
  <si>
    <t>BC21678</t>
  </si>
  <si>
    <t>BC21679</t>
  </si>
  <si>
    <t>Oct 30, 2025</t>
  </si>
  <si>
    <t>BC21680</t>
  </si>
  <si>
    <t>BC21681</t>
  </si>
  <si>
    <t>BC21682</t>
  </si>
  <si>
    <t>BC21683</t>
  </si>
  <si>
    <t>BC21684</t>
  </si>
  <si>
    <t>BC21685</t>
  </si>
  <si>
    <t>BC21686</t>
  </si>
  <si>
    <t>BC21687</t>
  </si>
  <si>
    <t>BC21688</t>
  </si>
  <si>
    <t>BC21689</t>
  </si>
  <si>
    <t>BC21690</t>
  </si>
  <si>
    <t>BC21691</t>
  </si>
  <si>
    <t>BC21692</t>
  </si>
  <si>
    <t>BC21693</t>
  </si>
  <si>
    <t>235.9532767292734,00</t>
  </si>
  <si>
    <t>BC21694</t>
  </si>
  <si>
    <t>BC21695</t>
  </si>
  <si>
    <t>BC21696</t>
  </si>
  <si>
    <t>Nov 24, 2024</t>
  </si>
  <si>
    <t>BC21697</t>
  </si>
  <si>
    <t>BC21698</t>
  </si>
  <si>
    <t>BC21699</t>
  </si>
  <si>
    <t>BC21700</t>
  </si>
  <si>
    <t>Jul 20, 2025</t>
  </si>
  <si>
    <t>BC21701</t>
  </si>
  <si>
    <t>BC21702</t>
  </si>
  <si>
    <t>BC21703</t>
  </si>
  <si>
    <t>â‚¹51.21</t>
  </si>
  <si>
    <t>BC21704</t>
  </si>
  <si>
    <t>BC21705</t>
  </si>
  <si>
    <t>BC21706</t>
  </si>
  <si>
    <t>BC21707</t>
  </si>
  <si>
    <t>BC21708</t>
  </si>
  <si>
    <t>BC21709</t>
  </si>
  <si>
    <t>BC21710</t>
  </si>
  <si>
    <t>BC21711</t>
  </si>
  <si>
    <t>BC21712</t>
  </si>
  <si>
    <t>BC21713</t>
  </si>
  <si>
    <t>zara shinde</t>
  </si>
  <si>
    <t>BC21714</t>
  </si>
  <si>
    <t>BC21715</t>
  </si>
  <si>
    <t>BC21716</t>
  </si>
  <si>
    <t>44.468445740201545,00</t>
  </si>
  <si>
    <t>BC21717</t>
  </si>
  <si>
    <t>BC21718</t>
  </si>
  <si>
    <t>290.0610129504165,00</t>
  </si>
  <si>
    <t>BC21719</t>
  </si>
  <si>
    <t>BC21720</t>
  </si>
  <si>
    <t>BC21721</t>
  </si>
  <si>
    <t>BC21722</t>
  </si>
  <si>
    <t>BC21723</t>
  </si>
  <si>
    <t>BC21724</t>
  </si>
  <si>
    <t>BC21725</t>
  </si>
  <si>
    <t>BC21726</t>
  </si>
  <si>
    <t>BC21727</t>
  </si>
  <si>
    <t>BC21728</t>
  </si>
  <si>
    <t>Apr 27, 2025</t>
  </si>
  <si>
    <t>BC21729</t>
  </si>
  <si>
    <t>BC21730</t>
  </si>
  <si>
    <t>49.12014571314419,00</t>
  </si>
  <si>
    <t>BC21731</t>
  </si>
  <si>
    <t>BC21732</t>
  </si>
  <si>
    <t>BC21733</t>
  </si>
  <si>
    <t>BC21734</t>
  </si>
  <si>
    <t>BC21735</t>
  </si>
  <si>
    <t>BC21736</t>
  </si>
  <si>
    <t>BC21737</t>
  </si>
  <si>
    <t>BC21738</t>
  </si>
  <si>
    <t>BC21739</t>
  </si>
  <si>
    <t>157.28048055410386,00</t>
  </si>
  <si>
    <t>BC21740</t>
  </si>
  <si>
    <t>BC21741</t>
  </si>
  <si>
    <t>BC21742</t>
  </si>
  <si>
    <t>BC21743</t>
  </si>
  <si>
    <t>â‚¹250.23</t>
  </si>
  <si>
    <t>BC21744</t>
  </si>
  <si>
    <t>BC21745</t>
  </si>
  <si>
    <t>Aug 03, 2025</t>
  </si>
  <si>
    <t>BC21746</t>
  </si>
  <si>
    <t>Rs 190.4</t>
  </si>
  <si>
    <t>BC21747</t>
  </si>
  <si>
    <t>BC21748</t>
  </si>
  <si>
    <t>BC21749</t>
  </si>
  <si>
    <t>BC21750</t>
  </si>
  <si>
    <t>BC21751</t>
  </si>
  <si>
    <t>BC21752</t>
  </si>
  <si>
    <t>â‚¹323.01</t>
  </si>
  <si>
    <t>BC21753</t>
  </si>
  <si>
    <t>BC21754</t>
  </si>
  <si>
    <t>BC21755</t>
  </si>
  <si>
    <t>BC21756</t>
  </si>
  <si>
    <t>Rs 990.27</t>
  </si>
  <si>
    <t>BC21757</t>
  </si>
  <si>
    <t>BC21758</t>
  </si>
  <si>
    <t>BC21759</t>
  </si>
  <si>
    <t>Rs -309.72</t>
  </si>
  <si>
    <t>BC21760</t>
  </si>
  <si>
    <t>BC21761</t>
  </si>
  <si>
    <t>BC21762</t>
  </si>
  <si>
    <t>BC21763</t>
  </si>
  <si>
    <t>BC21764</t>
  </si>
  <si>
    <t>BC21765</t>
  </si>
  <si>
    <t>BC21766</t>
  </si>
  <si>
    <t>May 10, 2025</t>
  </si>
  <si>
    <t>BC21767</t>
  </si>
  <si>
    <t>BC21768</t>
  </si>
  <si>
    <t>â‚¹323.35</t>
  </si>
  <si>
    <t>BC21769</t>
  </si>
  <si>
    <t>BC21770</t>
  </si>
  <si>
    <t>Feb 19, 2025</t>
  </si>
  <si>
    <t>BC21771</t>
  </si>
  <si>
    <t>BC21772</t>
  </si>
  <si>
    <t>BC21773</t>
  </si>
  <si>
    <t>BC21774</t>
  </si>
  <si>
    <t>BC21775</t>
  </si>
  <si>
    <t>BC21776</t>
  </si>
  <si>
    <t>BC21777</t>
  </si>
  <si>
    <t>BC21778</t>
  </si>
  <si>
    <t>BC21779</t>
  </si>
  <si>
    <t>BC21780</t>
  </si>
  <si>
    <t>BC21781</t>
  </si>
  <si>
    <t>BC21782</t>
  </si>
  <si>
    <t>BC21783</t>
  </si>
  <si>
    <t>BC21784</t>
  </si>
  <si>
    <t>BC21785</t>
  </si>
  <si>
    <t>BC21786</t>
  </si>
  <si>
    <t>BC21787</t>
  </si>
  <si>
    <t>BC21788</t>
  </si>
  <si>
    <t>BC21789</t>
  </si>
  <si>
    <t>BC21790</t>
  </si>
  <si>
    <t>45.64798289745166,00</t>
  </si>
  <si>
    <t>BC21791</t>
  </si>
  <si>
    <t>â‚¹132.01</t>
  </si>
  <si>
    <t>BC21792</t>
  </si>
  <si>
    <t>BC21793</t>
  </si>
  <si>
    <t>BC21794</t>
  </si>
  <si>
    <t>Jun 22, 2025</t>
  </si>
  <si>
    <t>BC21795</t>
  </si>
  <si>
    <t>BC21796</t>
  </si>
  <si>
    <t>BC21797</t>
  </si>
  <si>
    <t>BC21798</t>
  </si>
  <si>
    <t>BC21799</t>
  </si>
  <si>
    <t>BC21800</t>
  </si>
  <si>
    <t>BC21801</t>
  </si>
  <si>
    <t>BC21802</t>
  </si>
  <si>
    <t>zara more</t>
  </si>
  <si>
    <t>BC21803</t>
  </si>
  <si>
    <t>BC21804</t>
  </si>
  <si>
    <t>BC21805</t>
  </si>
  <si>
    <t>340.7060754660952,00</t>
  </si>
  <si>
    <t>BC21806</t>
  </si>
  <si>
    <t>BC21807</t>
  </si>
  <si>
    <t>BC21808</t>
  </si>
  <si>
    <t>â‚¹358.20</t>
  </si>
  <si>
    <t>BC21809</t>
  </si>
  <si>
    <t>BC21810</t>
  </si>
  <si>
    <t>Nov 13, 2025</t>
  </si>
  <si>
    <t>BC21811</t>
  </si>
  <si>
    <t>BC21812</t>
  </si>
  <si>
    <t>BC21813</t>
  </si>
  <si>
    <t>BC21814</t>
  </si>
  <si>
    <t>BC21815</t>
  </si>
  <si>
    <t>BC21816</t>
  </si>
  <si>
    <t>BC21817</t>
  </si>
  <si>
    <t>BC21818</t>
  </si>
  <si>
    <t>311.36115337031265,00</t>
  </si>
  <si>
    <t>BC21819</t>
  </si>
  <si>
    <t>Apr 29, 2025</t>
  </si>
  <si>
    <t>BC21820</t>
  </si>
  <si>
    <t>BC21821</t>
  </si>
  <si>
    <t>BC21822</t>
  </si>
  <si>
    <t>BC21823</t>
  </si>
  <si>
    <t>BC21824</t>
  </si>
  <si>
    <t>BC21825</t>
  </si>
  <si>
    <t>BC21826</t>
  </si>
  <si>
    <t>BC21827</t>
  </si>
  <si>
    <t>BC21828</t>
  </si>
  <si>
    <t>BC21829</t>
  </si>
  <si>
    <t>BC21830</t>
  </si>
  <si>
    <t>BC21831</t>
  </si>
  <si>
    <t>BC21832</t>
  </si>
  <si>
    <t>BC21833</t>
  </si>
  <si>
    <t>BC21834</t>
  </si>
  <si>
    <t>BC21835</t>
  </si>
  <si>
    <t>BC21836</t>
  </si>
  <si>
    <t>BC21837</t>
  </si>
  <si>
    <t>BC21838</t>
  </si>
  <si>
    <t>BC21839</t>
  </si>
  <si>
    <t>BC21840</t>
  </si>
  <si>
    <t>BC21841</t>
  </si>
  <si>
    <t>BC21842</t>
  </si>
  <si>
    <t>Rs 0.0</t>
  </si>
  <si>
    <t>BC21843</t>
  </si>
  <si>
    <t>BC21844</t>
  </si>
  <si>
    <t>BC21845</t>
  </si>
  <si>
    <t>BC21846</t>
  </si>
  <si>
    <t>Rs 191.96</t>
  </si>
  <si>
    <t>BC21847</t>
  </si>
  <si>
    <t>BC21848</t>
  </si>
  <si>
    <t>BC21849</t>
  </si>
  <si>
    <t>BC21850</t>
  </si>
  <si>
    <t>BC21851</t>
  </si>
  <si>
    <t>BC21852</t>
  </si>
  <si>
    <t>BC21853</t>
  </si>
  <si>
    <t>BC21854</t>
  </si>
  <si>
    <t xml:space="preserve"> Riya Khan </t>
  </si>
  <si>
    <t>â‚¹323.75</t>
  </si>
  <si>
    <t>BC21855</t>
  </si>
  <si>
    <t>BC21856</t>
  </si>
  <si>
    <t>BC21857</t>
  </si>
  <si>
    <t>BC21858</t>
  </si>
  <si>
    <t>BC21859</t>
  </si>
  <si>
    <t>Rs 115.58</t>
  </si>
  <si>
    <t>BC21860</t>
  </si>
  <si>
    <t>BC21861</t>
  </si>
  <si>
    <t>BC21862</t>
  </si>
  <si>
    <t>BC21863</t>
  </si>
  <si>
    <t>Apr 17, 2025</t>
  </si>
  <si>
    <t>BC21864</t>
  </si>
  <si>
    <t>BC21865</t>
  </si>
  <si>
    <t>BC21866</t>
  </si>
  <si>
    <t>BC21867</t>
  </si>
  <si>
    <t>Rs 512.16</t>
  </si>
  <si>
    <t>BC21868</t>
  </si>
  <si>
    <t>BC21869</t>
  </si>
  <si>
    <t>BC21870</t>
  </si>
  <si>
    <t>BC21871</t>
  </si>
  <si>
    <t>May 05, 2025</t>
  </si>
  <si>
    <t>BC21872</t>
  </si>
  <si>
    <t>BC21873</t>
  </si>
  <si>
    <t>157.1671091924304,00</t>
  </si>
  <si>
    <t>BC21874</t>
  </si>
  <si>
    <t>BC21875</t>
  </si>
  <si>
    <t>Rs 289.69</t>
  </si>
  <si>
    <t>BC21876</t>
  </si>
  <si>
    <t>BC21877</t>
  </si>
  <si>
    <t>BC21878</t>
  </si>
  <si>
    <t>BC21879</t>
  </si>
  <si>
    <t>BC21880</t>
  </si>
  <si>
    <t>169.77887285161938,00</t>
  </si>
  <si>
    <t>BC21881</t>
  </si>
  <si>
    <t>BC21882</t>
  </si>
  <si>
    <t>BC21883</t>
  </si>
  <si>
    <t>BC21884</t>
  </si>
  <si>
    <t>BC21885</t>
  </si>
  <si>
    <t>BC21886</t>
  </si>
  <si>
    <t>BC21887</t>
  </si>
  <si>
    <t>BC21888</t>
  </si>
  <si>
    <t>Rs 679.11</t>
  </si>
  <si>
    <t>BC21889</t>
  </si>
  <si>
    <t>BC21890</t>
  </si>
  <si>
    <t>BC21891</t>
  </si>
  <si>
    <t>BC21892</t>
  </si>
  <si>
    <t>Rs 93.94</t>
  </si>
  <si>
    <t>BC21893</t>
  </si>
  <si>
    <t>BC21894</t>
  </si>
  <si>
    <t>rahul joshi</t>
  </si>
  <si>
    <t>BC21895</t>
  </si>
  <si>
    <t>BC21896</t>
  </si>
  <si>
    <t>BC21897</t>
  </si>
  <si>
    <t>BC21898</t>
  </si>
  <si>
    <t>BC21899</t>
  </si>
  <si>
    <t>BC21900</t>
  </si>
  <si>
    <t>BC21901</t>
  </si>
  <si>
    <t>BC21902</t>
  </si>
  <si>
    <t>BC21903</t>
  </si>
  <si>
    <t>BC21904</t>
  </si>
  <si>
    <t>BC21905</t>
  </si>
  <si>
    <t>BC21906</t>
  </si>
  <si>
    <t>BC21907</t>
  </si>
  <si>
    <t>Jan 22, 2025</t>
  </si>
  <si>
    <t>BC21908</t>
  </si>
  <si>
    <t>BC21909</t>
  </si>
  <si>
    <t>sneha shaikh</t>
  </si>
  <si>
    <t>BC21910</t>
  </si>
  <si>
    <t xml:space="preserve"> Mubin Joshi </t>
  </si>
  <si>
    <t>BC21911</t>
  </si>
  <si>
    <t>BC21912</t>
  </si>
  <si>
    <t>BC21913</t>
  </si>
  <si>
    <t>BC21914</t>
  </si>
  <si>
    <t>BC21915</t>
  </si>
  <si>
    <t>BC21916</t>
  </si>
  <si>
    <t>BC21917</t>
  </si>
  <si>
    <t>BC21918</t>
  </si>
  <si>
    <t>BC21919</t>
  </si>
  <si>
    <t>Rs 209.47</t>
  </si>
  <si>
    <t>BC21920</t>
  </si>
  <si>
    <t>BC21921</t>
  </si>
  <si>
    <t xml:space="preserve"> Sneha Khan </t>
  </si>
  <si>
    <t>BC21922</t>
  </si>
  <si>
    <t>BC21923</t>
  </si>
  <si>
    <t>BC21924</t>
  </si>
  <si>
    <t>aisha naik</t>
  </si>
  <si>
    <t>BC21925</t>
  </si>
  <si>
    <t>BC21926</t>
  </si>
  <si>
    <t>BC21927</t>
  </si>
  <si>
    <t>BC21928</t>
  </si>
  <si>
    <t>BC21929</t>
  </si>
  <si>
    <t>BC21930</t>
  </si>
  <si>
    <t>BC21931</t>
  </si>
  <si>
    <t>BC21932</t>
  </si>
  <si>
    <t>BC21933</t>
  </si>
  <si>
    <t>BC21934</t>
  </si>
  <si>
    <t>BC21935</t>
  </si>
  <si>
    <t>BC21936</t>
  </si>
  <si>
    <t>BC21937</t>
  </si>
  <si>
    <t>BC21938</t>
  </si>
  <si>
    <t>BC21939</t>
  </si>
  <si>
    <t>BC21940</t>
  </si>
  <si>
    <t>BC21941</t>
  </si>
  <si>
    <t>BC21942</t>
  </si>
  <si>
    <t>Nov 03, 2025</t>
  </si>
  <si>
    <t>BC21943</t>
  </si>
  <si>
    <t xml:space="preserve"> Aarav Khan </t>
  </si>
  <si>
    <t>BC21944</t>
  </si>
  <si>
    <t>BC21945</t>
  </si>
  <si>
    <t>BC21946</t>
  </si>
  <si>
    <t>BC21947</t>
  </si>
  <si>
    <t>BC21948</t>
  </si>
  <si>
    <t>BC21949</t>
  </si>
  <si>
    <t>BC21950</t>
  </si>
  <si>
    <t>â‚¹308.02</t>
  </si>
  <si>
    <t>BC21951</t>
  </si>
  <si>
    <t>BC21952</t>
  </si>
  <si>
    <t>BC21953</t>
  </si>
  <si>
    <t>BC21954</t>
  </si>
  <si>
    <t>BC21955</t>
  </si>
  <si>
    <t>BC21956</t>
  </si>
  <si>
    <t>BC21957</t>
  </si>
  <si>
    <t>BC21958</t>
  </si>
  <si>
    <t>BC21959</t>
  </si>
  <si>
    <t>BC21960</t>
  </si>
  <si>
    <t>Apr 05, 2025</t>
  </si>
  <si>
    <t>BC21961</t>
  </si>
  <si>
    <t>BC21962</t>
  </si>
  <si>
    <t>â‚¹241.08</t>
  </si>
  <si>
    <t>BC21963</t>
  </si>
  <si>
    <t>BC21964</t>
  </si>
  <si>
    <t>Feb 10, 2025</t>
  </si>
  <si>
    <t>â‚¹188.49</t>
  </si>
  <si>
    <t>BC21965</t>
  </si>
  <si>
    <t>BC21966</t>
  </si>
  <si>
    <t>BC21967</t>
  </si>
  <si>
    <t>â‚¹200.27</t>
  </si>
  <si>
    <t>BC21968</t>
  </si>
  <si>
    <t>BC21969</t>
  </si>
  <si>
    <t>BC21970</t>
  </si>
  <si>
    <t>BC21971</t>
  </si>
  <si>
    <t>BC21972</t>
  </si>
  <si>
    <t>BC21973</t>
  </si>
  <si>
    <t>BC21974</t>
  </si>
  <si>
    <t>BC21975</t>
  </si>
  <si>
    <t>â‚¹349.38</t>
  </si>
  <si>
    <t>BC21976</t>
  </si>
  <si>
    <t>Oct 13, 2025</t>
  </si>
  <si>
    <t>BC21977</t>
  </si>
  <si>
    <t>BC21978</t>
  </si>
  <si>
    <t>pooja patil</t>
  </si>
  <si>
    <t>BC21979</t>
  </si>
  <si>
    <t>BC21980</t>
  </si>
  <si>
    <t>BC21981</t>
  </si>
  <si>
    <t>BC21982</t>
  </si>
  <si>
    <t>BC21983</t>
  </si>
  <si>
    <t>BC21984</t>
  </si>
  <si>
    <t>BC21985</t>
  </si>
  <si>
    <t>BC21986</t>
  </si>
  <si>
    <t>BC21987</t>
  </si>
  <si>
    <t>BC21988</t>
  </si>
  <si>
    <t>BC21989</t>
  </si>
  <si>
    <t>BC21990</t>
  </si>
  <si>
    <t>BC21991</t>
  </si>
  <si>
    <t>BC21992</t>
  </si>
  <si>
    <t>BC21993</t>
  </si>
  <si>
    <t>BC21994</t>
  </si>
  <si>
    <t>BC21995</t>
  </si>
  <si>
    <t>BC21996</t>
  </si>
  <si>
    <t>kiran kulkarni</t>
  </si>
  <si>
    <t>â‚¹229.47</t>
  </si>
  <si>
    <t>BC21997</t>
  </si>
  <si>
    <t>BC21998</t>
  </si>
  <si>
    <t>BC21999</t>
  </si>
  <si>
    <t>Column1</t>
  </si>
  <si>
    <t>DOB</t>
  </si>
  <si>
    <t xml:space="preserve">Cash </t>
  </si>
  <si>
    <t>Row Labels</t>
  </si>
  <si>
    <t>Sum of Quantity</t>
  </si>
  <si>
    <t>Month</t>
  </si>
  <si>
    <t>October</t>
  </si>
  <si>
    <t>May</t>
  </si>
  <si>
    <t>August</t>
  </si>
  <si>
    <t>January</t>
  </si>
  <si>
    <t>July</t>
  </si>
  <si>
    <t>December</t>
  </si>
  <si>
    <t>September</t>
  </si>
  <si>
    <t>March</t>
  </si>
  <si>
    <t>February</t>
  </si>
  <si>
    <t>June</t>
  </si>
  <si>
    <t>April</t>
  </si>
  <si>
    <t>November</t>
  </si>
  <si>
    <t>Sum of Price</t>
  </si>
  <si>
    <t>2024</t>
  </si>
  <si>
    <t>2025</t>
  </si>
  <si>
    <t>Count of Quantity</t>
  </si>
  <si>
    <t>Sum of Total</t>
  </si>
  <si>
    <t>sdd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</si>
</sst>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18" fontId="0" fillId="0" borderId="0" xfId="0" applyNumberFormat="1"/>
    <xf numFmtId="21" fontId="0" fillId="0" borderId="0" xfId="0" applyNumberFormat="1"/>
    <xf numFmtId="14" fontId="0" fillId="0" borderId="0" xfId="0" applyNumberFormat="1"/>
    <xf numFmtId="20"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F400]h:mm:ss\ AM/PM"/>
    </dxf>
    <dxf>
      <numFmt numFmtId="0" formatCode="General"/>
    </dxf>
    <dxf>
      <numFmt numFmtId="19" formatCode="dd/mm/yyyy"/>
    </dxf>
    <dxf>
      <numFmt numFmtId="0" formatCode="General"/>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6" defaultTableStyle="TableStyleMedium2" defaultPivotStyle="PivotStyleLight16">
    <tableStyle name="Slicer Style 1" pivot="0" table="0" count="2" xr9:uid="{A98FC99A-0384-4AFB-8B99-CC72C66E8D4C}"/>
    <tableStyle name="SlicerStyleDark1 2" pivot="0" table="0" count="10" xr9:uid="{23FDBC76-9BFA-45FD-BAEC-2629B2373EEA}">
      <tableStyleElement type="wholeTable" dxfId="22"/>
      <tableStyleElement type="headerRow" dxfId="21"/>
    </tableStyle>
    <tableStyle name="SlicerStyleDark1 3" pivot="0" table="0" count="10" xr9:uid="{64752AF7-7655-4D15-B107-A34C3E6C71F7}">
      <tableStyleElement type="wholeTable" dxfId="20"/>
      <tableStyleElement type="headerRow" dxfId="19"/>
    </tableStyle>
    <tableStyle name="SlicerStyleDark6 2" pivot="0" table="0" count="10" xr9:uid="{7938DCD7-CAC7-4B33-B048-6B4352877905}">
      <tableStyleElement type="wholeTable" dxfId="18"/>
      <tableStyleElement type="headerRow" dxfId="17"/>
    </tableStyle>
    <tableStyle name="SlicerStyleLight5 2" pivot="0" table="0" count="8" xr9:uid="{CB4F4D7F-E10A-460B-AE37-E3A95A67A646}">
      <tableStyleElement type="headerRow" dxfId="16"/>
    </tableStyle>
    <tableStyle name="TimeSlicerStyleDark1 2" pivot="0" table="0" count="9" xr9:uid="{5F778D29-1D49-40DB-BFF0-774D59183817}">
      <tableStyleElement type="wholeTable" dxfId="15"/>
      <tableStyleElement type="headerRow" dxfId="14"/>
    </tableStyle>
  </tableStyles>
  <colors>
    <mruColors>
      <color rgb="FFD1B6F4"/>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rgb="FF7030A0"/>
              <bgColor rgb="FF7030A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7030A0"/>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rgb="FF7030A0"/>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dxf>
        <dxf>
          <font>
            <color rgb="FF7030A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2"/>
            <x14:slicerStyleElement type="selectedItemWithNoData" dxfId="31"/>
          </x14:slicerStyleElements>
        </x14:slicerStyle>
        <x14:slicerStyle name="SlicerStyleDark1 2">
          <x14:slicerStyleElements>
            <x14:slicerStyleElement type="unselectedItemWithData" dxfId="30"/>
            <x14:slicerStyleElement type="unselectedItemWithNoData" dxfId="29"/>
            <x14:slicerStyleElement type="selectedItemWithData" dxfId="28"/>
            <x14:slicerStyleElement type="selectedItemWithNoData" dxfId="27"/>
            <x14:slicerStyleElement type="hoveredUnselectedItemWithData" dxfId="26"/>
            <x14:slicerStyleElement type="hoveredSelectedItemWithData" dxfId="25"/>
            <x14:slicerStyleElement type="hoveredUnselectedItemWithNoData" dxfId="24"/>
            <x14:slicerStyleElement type="hoveredSelectedItemWithNoData" dxfId="23"/>
          </x14:slicerStyleElements>
        </x14:slicerStyle>
        <x14:slicerStyle name="SlicerStyleDark1 3">
          <x14:slicerStyleElements>
            <x14:slicerStyleElement type="unselectedItemWithData" dxfId="22"/>
            <x14:slicerStyleElement type="unselectedItemWithNoData" dxfId="21"/>
            <x14:slicerStyleElement type="selectedItemWithData" dxfId="20"/>
            <x14:slicerStyleElement type="selectedItemWithNoData" dxfId="19"/>
            <x14:slicerStyleElement type="hoveredUnselectedItemWithData" dxfId="18"/>
            <x14:slicerStyleElement type="hoveredSelectedItemWithData" dxfId="17"/>
            <x14:slicerStyleElement type="hoveredUnselectedItemWithNoData" dxfId="16"/>
            <x14:slicerStyleElement type="hoveredSelectedItemWithNoData" dxfId="15"/>
          </x14:slicerStyleElements>
        </x14:slicerStyle>
        <x14:slicerStyle name="SlicerStyleDark6 2">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StyleLight5 2">
          <x14:slicerStyleElements>
            <x14:slicerStyleElement type="unselectedItemWithData" dxfId="6"/>
            <x14:slicerStyleElement type="unselectedItemWithNo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patternFill patternType="solid">
              <fgColor auto="1"/>
              <bgColor rgb="FF7030A0"/>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Dark1 2">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inEnd"/>
          <c:showLegendKey val="0"/>
          <c:showVal val="1"/>
          <c:showCatName val="0"/>
          <c:showSerName val="0"/>
          <c:showPercent val="0"/>
          <c:showBubbleSize val="0"/>
        </c:dLbls>
        <c:gapWidth val="227"/>
        <c:overlap val="-48"/>
        <c:axId val="1177767599"/>
        <c:axId val="1177755535"/>
      </c:barChart>
      <c:catAx>
        <c:axId val="1177767599"/>
        <c:scaling>
          <c:orientation val="minMax"/>
        </c:scaling>
        <c:delete val="1"/>
        <c:axPos val="l"/>
        <c:numFmt formatCode="General" sourceLinked="1"/>
        <c:majorTickMark val="out"/>
        <c:minorTickMark val="none"/>
        <c:tickLblPos val="nextTo"/>
        <c:crossAx val="1177755535"/>
        <c:crosses val="autoZero"/>
        <c:auto val="1"/>
        <c:lblAlgn val="ctr"/>
        <c:lblOffset val="100"/>
        <c:noMultiLvlLbl val="0"/>
      </c:catAx>
      <c:valAx>
        <c:axId val="117775553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77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inEnd"/>
          <c:showLegendKey val="0"/>
          <c:showVal val="1"/>
          <c:showCatName val="0"/>
          <c:showSerName val="0"/>
          <c:showPercent val="0"/>
          <c:showBubbleSize val="0"/>
        </c:dLbls>
        <c:gapWidth val="227"/>
        <c:overlap val="-48"/>
        <c:axId val="1177767599"/>
        <c:axId val="1177755535"/>
      </c:barChart>
      <c:catAx>
        <c:axId val="1177767599"/>
        <c:scaling>
          <c:orientation val="minMax"/>
        </c:scaling>
        <c:delete val="1"/>
        <c:axPos val="l"/>
        <c:numFmt formatCode="General" sourceLinked="1"/>
        <c:majorTickMark val="out"/>
        <c:minorTickMark val="none"/>
        <c:tickLblPos val="nextTo"/>
        <c:crossAx val="1177755535"/>
        <c:crosses val="autoZero"/>
        <c:auto val="1"/>
        <c:lblAlgn val="ctr"/>
        <c:lblOffset val="100"/>
        <c:noMultiLvlLbl val="0"/>
      </c:catAx>
      <c:valAx>
        <c:axId val="117775553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77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Table!PivotTable9</c:name>
    <c:fmtId val="32"/>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Table'!$M$16</c:f>
              <c:strCache>
                <c:ptCount val="1"/>
                <c:pt idx="0">
                  <c:v>Total</c:v>
                </c:pt>
              </c:strCache>
            </c:strRef>
          </c:tx>
          <c:spPr>
            <a:solidFill>
              <a:srgbClr val="7030A0"/>
            </a:solidFill>
            <a:ln w="9525" cap="flat" cmpd="sng" algn="ctr">
              <a:solidFill>
                <a:schemeClr val="accent1">
                  <a:shade val="95000"/>
                </a:schemeClr>
              </a:solidFill>
              <a:round/>
            </a:ln>
            <a:effectLst/>
            <a:sp3d contourW="9525">
              <a:contourClr>
                <a:schemeClr val="accent1">
                  <a:shade val="9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Table'!$L$17:$L$19</c:f>
              <c:strCache>
                <c:ptCount val="3"/>
                <c:pt idx="0">
                  <c:v>Imran</c:v>
                </c:pt>
                <c:pt idx="1">
                  <c:v>Rohan</c:v>
                </c:pt>
                <c:pt idx="2">
                  <c:v>Sana</c:v>
                </c:pt>
              </c:strCache>
            </c:strRef>
          </c:cat>
          <c:val>
            <c:numRef>
              <c:f>'Pivot Table'!$M$17:$M$19</c:f>
              <c:numCache>
                <c:formatCode>General</c:formatCode>
                <c:ptCount val="3"/>
                <c:pt idx="0">
                  <c:v>61</c:v>
                </c:pt>
                <c:pt idx="1">
                  <c:v>50</c:v>
                </c:pt>
                <c:pt idx="2">
                  <c:v>47</c:v>
                </c:pt>
              </c:numCache>
            </c:numRef>
          </c:val>
          <c:extLst>
            <c:ext xmlns:c16="http://schemas.microsoft.com/office/drawing/2014/chart" uri="{C3380CC4-5D6E-409C-BE32-E72D297353CC}">
              <c16:uniqueId val="{00000000-A330-435B-9DD2-9A21449878EB}"/>
            </c:ext>
          </c:extLst>
        </c:ser>
        <c:dLbls>
          <c:showLegendKey val="0"/>
          <c:showVal val="1"/>
          <c:showCatName val="0"/>
          <c:showSerName val="0"/>
          <c:showPercent val="0"/>
          <c:showBubbleSize val="0"/>
        </c:dLbls>
        <c:gapWidth val="150"/>
        <c:shape val="box"/>
        <c:axId val="840055872"/>
        <c:axId val="840059616"/>
        <c:axId val="0"/>
      </c:bar3DChart>
      <c:catAx>
        <c:axId val="840055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0059616"/>
        <c:crosses val="autoZero"/>
        <c:auto val="1"/>
        <c:lblAlgn val="ctr"/>
        <c:lblOffset val="100"/>
        <c:noMultiLvlLbl val="0"/>
      </c:catAx>
      <c:valAx>
        <c:axId val="840059616"/>
        <c:scaling>
          <c:orientation val="minMax"/>
        </c:scaling>
        <c:delete val="1"/>
        <c:axPos val="b"/>
        <c:numFmt formatCode="General" sourceLinked="1"/>
        <c:majorTickMark val="none"/>
        <c:minorTickMark val="none"/>
        <c:tickLblPos val="nextTo"/>
        <c:crossAx val="84005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Table!PivotTable10</c:name>
    <c:fmtId val="3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Table'!$M$22</c:f>
              <c:strCache>
                <c:ptCount val="1"/>
                <c:pt idx="0">
                  <c:v>Total</c:v>
                </c:pt>
              </c:strCache>
            </c:strRef>
          </c:tx>
          <c:spPr>
            <a:solidFill>
              <a:srgbClr val="7030A0"/>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Table'!$L$23:$L$25</c:f>
              <c:strCache>
                <c:ptCount val="3"/>
                <c:pt idx="0">
                  <c:v>Neetu</c:v>
                </c:pt>
                <c:pt idx="1">
                  <c:v>Sheetal</c:v>
                </c:pt>
                <c:pt idx="2">
                  <c:v>Simran</c:v>
                </c:pt>
              </c:strCache>
            </c:strRef>
          </c:cat>
          <c:val>
            <c:numRef>
              <c:f>'Pivot Table'!$M$23:$M$25</c:f>
              <c:numCache>
                <c:formatCode>General</c:formatCode>
                <c:ptCount val="3"/>
                <c:pt idx="0">
                  <c:v>35</c:v>
                </c:pt>
                <c:pt idx="1">
                  <c:v>28</c:v>
                </c:pt>
                <c:pt idx="2">
                  <c:v>32</c:v>
                </c:pt>
              </c:numCache>
            </c:numRef>
          </c:val>
          <c:extLst>
            <c:ext xmlns:c16="http://schemas.microsoft.com/office/drawing/2014/chart" uri="{C3380CC4-5D6E-409C-BE32-E72D297353CC}">
              <c16:uniqueId val="{00000000-79FA-4E46-99EB-D14A66EDC39C}"/>
            </c:ext>
          </c:extLst>
        </c:ser>
        <c:dLbls>
          <c:showLegendKey val="0"/>
          <c:showVal val="1"/>
          <c:showCatName val="0"/>
          <c:showSerName val="0"/>
          <c:showPercent val="0"/>
          <c:showBubbleSize val="0"/>
        </c:dLbls>
        <c:gapWidth val="150"/>
        <c:shape val="box"/>
        <c:axId val="770124496"/>
        <c:axId val="770136144"/>
        <c:axId val="0"/>
      </c:bar3DChart>
      <c:catAx>
        <c:axId val="7701244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136144"/>
        <c:crosses val="autoZero"/>
        <c:auto val="1"/>
        <c:lblAlgn val="ctr"/>
        <c:lblOffset val="100"/>
        <c:noMultiLvlLbl val="0"/>
      </c:catAx>
      <c:valAx>
        <c:axId val="770136144"/>
        <c:scaling>
          <c:orientation val="minMax"/>
        </c:scaling>
        <c:delete val="1"/>
        <c:axPos val="b"/>
        <c:numFmt formatCode="General" sourceLinked="1"/>
        <c:majorTickMark val="none"/>
        <c:minorTickMark val="none"/>
        <c:tickLblPos val="nextTo"/>
        <c:crossAx val="77012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Table!PivotTable11</c:name>
    <c:fmtId val="35"/>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Table'!$P$2</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Table'!$O$3:$O$10</c:f>
              <c:strCache>
                <c:ptCount val="8"/>
                <c:pt idx="0">
                  <c:v>Govind</c:v>
                </c:pt>
                <c:pt idx="1">
                  <c:v>Imran</c:v>
                </c:pt>
                <c:pt idx="2">
                  <c:v>Neetu</c:v>
                </c:pt>
                <c:pt idx="3">
                  <c:v>Parth</c:v>
                </c:pt>
                <c:pt idx="4">
                  <c:v>Rohan</c:v>
                </c:pt>
                <c:pt idx="5">
                  <c:v>Sana</c:v>
                </c:pt>
                <c:pt idx="6">
                  <c:v>Sheetal</c:v>
                </c:pt>
                <c:pt idx="7">
                  <c:v>Simran</c:v>
                </c:pt>
              </c:strCache>
            </c:strRef>
          </c:cat>
          <c:val>
            <c:numRef>
              <c:f>'Pivot Table'!$P$3:$P$10</c:f>
              <c:numCache>
                <c:formatCode>General</c:formatCode>
                <c:ptCount val="8"/>
                <c:pt idx="0">
                  <c:v>7940</c:v>
                </c:pt>
                <c:pt idx="1">
                  <c:v>10439</c:v>
                </c:pt>
                <c:pt idx="2">
                  <c:v>7301</c:v>
                </c:pt>
                <c:pt idx="3">
                  <c:v>8081</c:v>
                </c:pt>
                <c:pt idx="4">
                  <c:v>10801</c:v>
                </c:pt>
                <c:pt idx="5">
                  <c:v>10315</c:v>
                </c:pt>
                <c:pt idx="6">
                  <c:v>4621</c:v>
                </c:pt>
                <c:pt idx="7">
                  <c:v>5498</c:v>
                </c:pt>
              </c:numCache>
            </c:numRef>
          </c:val>
          <c:extLst>
            <c:ext xmlns:c16="http://schemas.microsoft.com/office/drawing/2014/chart" uri="{C3380CC4-5D6E-409C-BE32-E72D297353CC}">
              <c16:uniqueId val="{00000000-F794-4616-ACBE-E5FD86BE2924}"/>
            </c:ext>
          </c:extLst>
        </c:ser>
        <c:dLbls>
          <c:showLegendKey val="0"/>
          <c:showVal val="1"/>
          <c:showCatName val="0"/>
          <c:showSerName val="0"/>
          <c:showPercent val="0"/>
          <c:showBubbleSize val="0"/>
        </c:dLbls>
        <c:gapWidth val="79"/>
        <c:shape val="box"/>
        <c:axId val="770153616"/>
        <c:axId val="770149456"/>
        <c:axId val="0"/>
      </c:bar3DChart>
      <c:catAx>
        <c:axId val="77015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70149456"/>
        <c:crosses val="autoZero"/>
        <c:auto val="1"/>
        <c:lblAlgn val="ctr"/>
        <c:lblOffset val="100"/>
        <c:noMultiLvlLbl val="0"/>
      </c:catAx>
      <c:valAx>
        <c:axId val="770149456"/>
        <c:scaling>
          <c:orientation val="minMax"/>
        </c:scaling>
        <c:delete val="1"/>
        <c:axPos val="l"/>
        <c:numFmt formatCode="General" sourceLinked="1"/>
        <c:majorTickMark val="none"/>
        <c:minorTickMark val="none"/>
        <c:tickLblPos val="nextTo"/>
        <c:crossAx val="77015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inEnd"/>
          <c:showLegendKey val="0"/>
          <c:showVal val="1"/>
          <c:showCatName val="0"/>
          <c:showSerName val="0"/>
          <c:showPercent val="0"/>
          <c:showBubbleSize val="0"/>
        </c:dLbls>
        <c:gapWidth val="227"/>
        <c:overlap val="-48"/>
        <c:axId val="1177767599"/>
        <c:axId val="1177755535"/>
      </c:barChart>
      <c:catAx>
        <c:axId val="1177767599"/>
        <c:scaling>
          <c:orientation val="minMax"/>
        </c:scaling>
        <c:delete val="1"/>
        <c:axPos val="l"/>
        <c:numFmt formatCode="General" sourceLinked="1"/>
        <c:majorTickMark val="out"/>
        <c:minorTickMark val="none"/>
        <c:tickLblPos val="nextTo"/>
        <c:crossAx val="1177755535"/>
        <c:crosses val="autoZero"/>
        <c:auto val="1"/>
        <c:lblAlgn val="ctr"/>
        <c:lblOffset val="100"/>
        <c:noMultiLvlLbl val="0"/>
      </c:catAx>
      <c:valAx>
        <c:axId val="117775553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77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Table!PivotTable2</c:name>
    <c:fmtId val="27"/>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pivotFmt>
      <c:pivotFmt>
        <c:idx val="4"/>
        <c:spPr>
          <a:solidFill>
            <a:srgbClr val="7030A0"/>
          </a:solidFill>
          <a:ln>
            <a:noFill/>
          </a:ln>
          <a:effectLst/>
          <a:sp3d/>
        </c:spPr>
      </c:pivotFmt>
      <c:pivotFmt>
        <c:idx val="5"/>
        <c:spPr>
          <a:solidFill>
            <a:srgbClr val="7030A0"/>
          </a:solidFill>
          <a:ln>
            <a:noFill/>
          </a:ln>
          <a:effectLst/>
          <a:sp3d/>
        </c:spPr>
      </c:pivotFmt>
      <c:pivotFmt>
        <c:idx val="6"/>
        <c:spPr>
          <a:solidFill>
            <a:srgbClr val="7030A0"/>
          </a:solidFill>
          <a:ln>
            <a:noFill/>
          </a:ln>
          <a:effectLst/>
          <a:sp3d/>
        </c:spPr>
      </c:pivotFmt>
      <c:pivotFmt>
        <c:idx val="7"/>
        <c:spPr>
          <a:solidFill>
            <a:srgbClr val="7030A0"/>
          </a:solidFill>
          <a:ln>
            <a:noFill/>
          </a:ln>
          <a:effectLst/>
          <a:sp3d/>
        </c:spPr>
      </c:pivotFmt>
      <c:pivotFmt>
        <c:idx val="8"/>
        <c:spPr>
          <a:solidFill>
            <a:srgbClr val="7030A0"/>
          </a:solidFill>
          <a:ln>
            <a:noFill/>
          </a:ln>
          <a:effectLst/>
          <a:sp3d/>
        </c:spPr>
      </c:pivotFmt>
      <c:pivotFmt>
        <c:idx val="9"/>
        <c:spPr>
          <a:solidFill>
            <a:srgbClr val="7030A0"/>
          </a:solidFill>
          <a:ln>
            <a:noFill/>
          </a:ln>
          <a:effectLst/>
          <a:sp3d/>
        </c:spPr>
      </c:pivotFmt>
      <c:pivotFmt>
        <c:idx val="10"/>
        <c:spPr>
          <a:solidFill>
            <a:srgbClr val="7030A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14129483814523"/>
          <c:y val="9.0909090909090912E-2"/>
          <c:w val="0.74441426071741035"/>
          <c:h val="0.89814814814814814"/>
        </c:manualLayout>
      </c:layout>
      <c:bar3DChart>
        <c:barDir val="bar"/>
        <c:grouping val="stacked"/>
        <c:varyColors val="0"/>
        <c:ser>
          <c:idx val="0"/>
          <c:order val="0"/>
          <c:tx>
            <c:strRef>
              <c:f>'Pivot Table'!$H$15</c:f>
              <c:strCache>
                <c:ptCount val="1"/>
                <c:pt idx="0">
                  <c:v>Total</c:v>
                </c:pt>
              </c:strCache>
            </c:strRef>
          </c:tx>
          <c:spPr>
            <a:solidFill>
              <a:schemeClr val="accent1"/>
            </a:solidFill>
            <a:ln>
              <a:noFill/>
            </a:ln>
            <a:effectLst/>
            <a:sp3d/>
          </c:spPr>
          <c:invertIfNegative val="0"/>
          <c:dPt>
            <c:idx val="0"/>
            <c:invertIfNegative val="0"/>
            <c:bubble3D val="0"/>
            <c:spPr>
              <a:solidFill>
                <a:srgbClr val="7030A0"/>
              </a:solidFill>
              <a:ln>
                <a:noFill/>
              </a:ln>
              <a:effectLst/>
              <a:sp3d/>
            </c:spPr>
            <c:extLst>
              <c:ext xmlns:c16="http://schemas.microsoft.com/office/drawing/2014/chart" uri="{C3380CC4-5D6E-409C-BE32-E72D297353CC}">
                <c16:uniqueId val="{00000004-4225-497E-A920-052C4C6D222C}"/>
              </c:ext>
            </c:extLst>
          </c:dPt>
          <c:dPt>
            <c:idx val="1"/>
            <c:invertIfNegative val="0"/>
            <c:bubble3D val="0"/>
            <c:spPr>
              <a:solidFill>
                <a:srgbClr val="7030A0"/>
              </a:solidFill>
              <a:ln>
                <a:noFill/>
              </a:ln>
              <a:effectLst/>
              <a:sp3d/>
            </c:spPr>
            <c:extLst>
              <c:ext xmlns:c16="http://schemas.microsoft.com/office/drawing/2014/chart" uri="{C3380CC4-5D6E-409C-BE32-E72D297353CC}">
                <c16:uniqueId val="{00000003-4225-497E-A920-052C4C6D222C}"/>
              </c:ext>
            </c:extLst>
          </c:dPt>
          <c:dPt>
            <c:idx val="2"/>
            <c:invertIfNegative val="0"/>
            <c:bubble3D val="0"/>
            <c:spPr>
              <a:solidFill>
                <a:srgbClr val="7030A0"/>
              </a:solidFill>
              <a:ln>
                <a:noFill/>
              </a:ln>
              <a:effectLst/>
              <a:sp3d/>
            </c:spPr>
            <c:extLst>
              <c:ext xmlns:c16="http://schemas.microsoft.com/office/drawing/2014/chart" uri="{C3380CC4-5D6E-409C-BE32-E72D297353CC}">
                <c16:uniqueId val="{00000002-4225-497E-A920-052C4C6D222C}"/>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Table'!$G$16:$G$18</c:f>
              <c:strCache>
                <c:ptCount val="3"/>
                <c:pt idx="0">
                  <c:v>BBQ Chicken Burger</c:v>
                </c:pt>
                <c:pt idx="1">
                  <c:v>BBQ Chkn</c:v>
                </c:pt>
                <c:pt idx="2">
                  <c:v>Brownie</c:v>
                </c:pt>
              </c:strCache>
            </c:strRef>
          </c:cat>
          <c:val>
            <c:numRef>
              <c:f>'Pivot Table'!$H$16:$H$18</c:f>
              <c:numCache>
                <c:formatCode>General</c:formatCode>
                <c:ptCount val="3"/>
                <c:pt idx="0">
                  <c:v>106</c:v>
                </c:pt>
                <c:pt idx="1">
                  <c:v>122</c:v>
                </c:pt>
                <c:pt idx="2">
                  <c:v>106</c:v>
                </c:pt>
              </c:numCache>
            </c:numRef>
          </c:val>
          <c:extLst>
            <c:ext xmlns:c16="http://schemas.microsoft.com/office/drawing/2014/chart" uri="{C3380CC4-5D6E-409C-BE32-E72D297353CC}">
              <c16:uniqueId val="{00000000-4225-497E-A920-052C4C6D222C}"/>
            </c:ext>
          </c:extLst>
        </c:ser>
        <c:dLbls>
          <c:showLegendKey val="0"/>
          <c:showVal val="1"/>
          <c:showCatName val="0"/>
          <c:showSerName val="0"/>
          <c:showPercent val="0"/>
          <c:showBubbleSize val="0"/>
        </c:dLbls>
        <c:gapWidth val="79"/>
        <c:shape val="box"/>
        <c:axId val="840060448"/>
        <c:axId val="840055040"/>
        <c:axId val="0"/>
      </c:bar3DChart>
      <c:catAx>
        <c:axId val="84006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0055040"/>
        <c:crosses val="autoZero"/>
        <c:auto val="1"/>
        <c:lblAlgn val="ctr"/>
        <c:lblOffset val="100"/>
        <c:noMultiLvlLbl val="0"/>
      </c:catAx>
      <c:valAx>
        <c:axId val="840055040"/>
        <c:scaling>
          <c:orientation val="minMax"/>
        </c:scaling>
        <c:delete val="1"/>
        <c:axPos val="b"/>
        <c:numFmt formatCode="General" sourceLinked="1"/>
        <c:majorTickMark val="none"/>
        <c:minorTickMark val="none"/>
        <c:tickLblPos val="nextTo"/>
        <c:crossAx val="840060448"/>
        <c:crosses val="autoZero"/>
        <c:crossBetween val="between"/>
      </c:valAx>
      <c:spPr>
        <a:solidFill>
          <a:sysClr val="window" lastClr="FFFFFF"/>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Table!PivotTable3</c:name>
    <c:fmtId val="29"/>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Table'!$H$22</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Table'!$G$23:$G$25</c:f>
              <c:strCache>
                <c:ptCount val="3"/>
                <c:pt idx="0">
                  <c:v>BBQ Chicken Burger</c:v>
                </c:pt>
                <c:pt idx="1">
                  <c:v>BBQ Chkn</c:v>
                </c:pt>
                <c:pt idx="2">
                  <c:v>Brownie</c:v>
                </c:pt>
              </c:strCache>
            </c:strRef>
          </c:cat>
          <c:val>
            <c:numRef>
              <c:f>'Pivot Table'!$H$23:$H$25</c:f>
              <c:numCache>
                <c:formatCode>General</c:formatCode>
                <c:ptCount val="3"/>
                <c:pt idx="0">
                  <c:v>106</c:v>
                </c:pt>
                <c:pt idx="1">
                  <c:v>122</c:v>
                </c:pt>
                <c:pt idx="2">
                  <c:v>106</c:v>
                </c:pt>
              </c:numCache>
            </c:numRef>
          </c:val>
          <c:extLst>
            <c:ext xmlns:c16="http://schemas.microsoft.com/office/drawing/2014/chart" uri="{C3380CC4-5D6E-409C-BE32-E72D297353CC}">
              <c16:uniqueId val="{00000000-853F-4527-83CC-ED54992AC331}"/>
            </c:ext>
          </c:extLst>
        </c:ser>
        <c:dLbls>
          <c:showLegendKey val="0"/>
          <c:showVal val="1"/>
          <c:showCatName val="0"/>
          <c:showSerName val="0"/>
          <c:showPercent val="0"/>
          <c:showBubbleSize val="0"/>
        </c:dLbls>
        <c:gapWidth val="79"/>
        <c:shape val="box"/>
        <c:axId val="770126576"/>
        <c:axId val="770134064"/>
        <c:axId val="0"/>
      </c:bar3DChart>
      <c:catAx>
        <c:axId val="77012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70134064"/>
        <c:crosses val="autoZero"/>
        <c:auto val="1"/>
        <c:lblAlgn val="ctr"/>
        <c:lblOffset val="100"/>
        <c:noMultiLvlLbl val="0"/>
      </c:catAx>
      <c:valAx>
        <c:axId val="770134064"/>
        <c:scaling>
          <c:orientation val="minMax"/>
        </c:scaling>
        <c:delete val="1"/>
        <c:axPos val="b"/>
        <c:numFmt formatCode="General" sourceLinked="1"/>
        <c:majorTickMark val="none"/>
        <c:minorTickMark val="none"/>
        <c:tickLblPos val="nextTo"/>
        <c:crossAx val="770126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Table!PivotTable1</c:name>
    <c:fmtId val="6"/>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1879064373223026"/>
          <c:y val="3.4181773789904168E-3"/>
          <c:w val="0.69989816012385875"/>
          <c:h val="0.99658165595773573"/>
        </c:manualLayout>
      </c:layout>
      <c:bar3DChart>
        <c:barDir val="bar"/>
        <c:grouping val="stacked"/>
        <c:varyColors val="0"/>
        <c:ser>
          <c:idx val="0"/>
          <c:order val="0"/>
          <c:tx>
            <c:strRef>
              <c:f>'Pivot Table'!$B$3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Table'!$A$4:$A$6</c:f>
              <c:strCache>
                <c:ptCount val="3"/>
                <c:pt idx="0">
                  <c:v>BBQ Chicken Burger</c:v>
                </c:pt>
                <c:pt idx="1">
                  <c:v>BBQ Chkn</c:v>
                </c:pt>
                <c:pt idx="2">
                  <c:v>Brownie</c:v>
                </c:pt>
              </c:strCache>
            </c:strRef>
          </c:cat>
          <c:val>
            <c:numRef>
              <c:f>'Pivot Table'!$B$4:$B$6</c:f>
              <c:numCache>
                <c:formatCode>0.00%</c:formatCode>
                <c:ptCount val="3"/>
                <c:pt idx="0">
                  <c:v>0.31736526946107785</c:v>
                </c:pt>
                <c:pt idx="1">
                  <c:v>0.3652694610778443</c:v>
                </c:pt>
                <c:pt idx="2">
                  <c:v>0.31736526946107785</c:v>
                </c:pt>
              </c:numCache>
            </c:numRef>
          </c:val>
          <c:extLst>
            <c:ext xmlns:c16="http://schemas.microsoft.com/office/drawing/2014/chart" uri="{C3380CC4-5D6E-409C-BE32-E72D297353CC}">
              <c16:uniqueId val="{00000000-22CD-4ED7-9EEF-2A263926A952}"/>
            </c:ext>
          </c:extLst>
        </c:ser>
        <c:dLbls>
          <c:showLegendKey val="0"/>
          <c:showVal val="1"/>
          <c:showCatName val="0"/>
          <c:showSerName val="0"/>
          <c:showPercent val="0"/>
          <c:showBubbleSize val="0"/>
        </c:dLbls>
        <c:gapWidth val="79"/>
        <c:shape val="box"/>
        <c:axId val="229518768"/>
        <c:axId val="229519184"/>
        <c:axId val="0"/>
      </c:bar3DChart>
      <c:catAx>
        <c:axId val="229518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9519184"/>
        <c:crosses val="autoZero"/>
        <c:auto val="1"/>
        <c:lblAlgn val="ctr"/>
        <c:lblOffset val="100"/>
        <c:noMultiLvlLbl val="0"/>
      </c:catAx>
      <c:valAx>
        <c:axId val="229519184"/>
        <c:scaling>
          <c:orientation val="minMax"/>
        </c:scaling>
        <c:delete val="1"/>
        <c:axPos val="b"/>
        <c:numFmt formatCode="0.00%" sourceLinked="1"/>
        <c:majorTickMark val="out"/>
        <c:minorTickMark val="none"/>
        <c:tickLblPos val="nextTo"/>
        <c:crossAx val="22951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cap="flat" cmpd="sng" algn="ctr">
            <a:solidFill>
              <a:schemeClr val="accent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inEnd"/>
          <c:showLegendKey val="0"/>
          <c:showVal val="1"/>
          <c:showCatName val="0"/>
          <c:showSerName val="0"/>
          <c:showPercent val="0"/>
          <c:showBubbleSize val="0"/>
        </c:dLbls>
        <c:gapWidth val="227"/>
        <c:overlap val="-48"/>
        <c:axId val="1177767599"/>
        <c:axId val="1177755535"/>
      </c:barChart>
      <c:catAx>
        <c:axId val="1177767599"/>
        <c:scaling>
          <c:orientation val="minMax"/>
        </c:scaling>
        <c:delete val="1"/>
        <c:axPos val="l"/>
        <c:numFmt formatCode="General" sourceLinked="1"/>
        <c:majorTickMark val="out"/>
        <c:minorTickMark val="none"/>
        <c:tickLblPos val="nextTo"/>
        <c:crossAx val="1177755535"/>
        <c:crosses val="autoZero"/>
        <c:auto val="1"/>
        <c:lblAlgn val="ctr"/>
        <c:lblOffset val="100"/>
        <c:noMultiLvlLbl val="0"/>
      </c:catAx>
      <c:valAx>
        <c:axId val="1177755535"/>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777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Table!PivotTable1</c:name>
    <c:fmtId val="2"/>
  </c:pivotSource>
  <c:chart>
    <c:autoTitleDeleted val="1"/>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6465463968902625"/>
          <c:y val="3.4180650834540593E-3"/>
          <c:w val="0.69989816012385875"/>
          <c:h val="0.99658165595773573"/>
        </c:manualLayout>
      </c:layout>
      <c:bar3DChart>
        <c:barDir val="bar"/>
        <c:grouping val="stacked"/>
        <c:varyColors val="0"/>
        <c:ser>
          <c:idx val="0"/>
          <c:order val="0"/>
          <c:tx>
            <c:strRef>
              <c:f>'Pivot Table'!$B$3</c:f>
              <c:strCache>
                <c:ptCount val="1"/>
                <c:pt idx="0">
                  <c:v>Total</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Table'!$A$4:$A$6</c:f>
              <c:strCache>
                <c:ptCount val="3"/>
                <c:pt idx="0">
                  <c:v>BBQ Chicken Burger</c:v>
                </c:pt>
                <c:pt idx="1">
                  <c:v>BBQ Chkn</c:v>
                </c:pt>
                <c:pt idx="2">
                  <c:v>Brownie</c:v>
                </c:pt>
              </c:strCache>
            </c:strRef>
          </c:cat>
          <c:val>
            <c:numRef>
              <c:f>'Pivot Table'!$B$4:$B$6</c:f>
              <c:numCache>
                <c:formatCode>0.00%</c:formatCode>
                <c:ptCount val="3"/>
                <c:pt idx="0">
                  <c:v>0.31736526946107785</c:v>
                </c:pt>
                <c:pt idx="1">
                  <c:v>0.3652694610778443</c:v>
                </c:pt>
                <c:pt idx="2">
                  <c:v>0.31736526946107785</c:v>
                </c:pt>
              </c:numCache>
            </c:numRef>
          </c:val>
          <c:extLst>
            <c:ext xmlns:c16="http://schemas.microsoft.com/office/drawing/2014/chart" uri="{C3380CC4-5D6E-409C-BE32-E72D297353CC}">
              <c16:uniqueId val="{00000004-D078-4D3F-A11C-7F5736EE6C44}"/>
            </c:ext>
          </c:extLst>
        </c:ser>
        <c:dLbls>
          <c:showLegendKey val="0"/>
          <c:showVal val="1"/>
          <c:showCatName val="0"/>
          <c:showSerName val="0"/>
          <c:showPercent val="0"/>
          <c:showBubbleSize val="0"/>
        </c:dLbls>
        <c:gapWidth val="79"/>
        <c:shape val="box"/>
        <c:axId val="229518768"/>
        <c:axId val="229519184"/>
        <c:axId val="0"/>
      </c:bar3DChart>
      <c:catAx>
        <c:axId val="229518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29519184"/>
        <c:crosses val="autoZero"/>
        <c:auto val="1"/>
        <c:lblAlgn val="ctr"/>
        <c:lblOffset val="100"/>
        <c:noMultiLvlLbl val="0"/>
      </c:catAx>
      <c:valAx>
        <c:axId val="229519184"/>
        <c:scaling>
          <c:orientation val="minMax"/>
        </c:scaling>
        <c:delete val="1"/>
        <c:axPos val="b"/>
        <c:numFmt formatCode="0.00%" sourceLinked="1"/>
        <c:majorTickMark val="out"/>
        <c:minorTickMark val="none"/>
        <c:tickLblPos val="nextTo"/>
        <c:crossAx val="22951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28575" cap="rnd">
              <a:solidFill>
                <a:srgbClr val="7030A0"/>
              </a:solidFill>
              <a:round/>
            </a:ln>
            <a:effectLst/>
          </c:spPr>
          <c:marker>
            <c:symbol val="none"/>
          </c:marker>
          <c:cat>
            <c:strRef>
              <c:f>'Pivot Table'!$D$4:$D$15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Table'!$E$4:$E$15</c:f>
              <c:numCache>
                <c:formatCode>General</c:formatCode>
                <c:ptCount val="12"/>
                <c:pt idx="0">
                  <c:v>4352</c:v>
                </c:pt>
                <c:pt idx="1">
                  <c:v>3299</c:v>
                </c:pt>
                <c:pt idx="2">
                  <c:v>4040</c:v>
                </c:pt>
                <c:pt idx="3">
                  <c:v>2553</c:v>
                </c:pt>
                <c:pt idx="4">
                  <c:v>3172</c:v>
                </c:pt>
                <c:pt idx="5">
                  <c:v>2647</c:v>
                </c:pt>
                <c:pt idx="6">
                  <c:v>2620</c:v>
                </c:pt>
                <c:pt idx="7">
                  <c:v>2971</c:v>
                </c:pt>
                <c:pt idx="8">
                  <c:v>3651</c:v>
                </c:pt>
                <c:pt idx="9">
                  <c:v>2571</c:v>
                </c:pt>
                <c:pt idx="10">
                  <c:v>3509</c:v>
                </c:pt>
                <c:pt idx="11">
                  <c:v>3513</c:v>
                </c:pt>
              </c:numCache>
            </c:numRef>
          </c:val>
          <c:smooth val="0"/>
          <c:extLst>
            <c:ext xmlns:c16="http://schemas.microsoft.com/office/drawing/2014/chart" uri="{C3380CC4-5D6E-409C-BE32-E72D297353CC}">
              <c16:uniqueId val="{00000000-CCC7-4C1E-B05C-72F6B89E1551}"/>
            </c:ext>
          </c:extLst>
        </c:ser>
        <c:dLbls>
          <c:showLegendKey val="0"/>
          <c:showVal val="0"/>
          <c:showCatName val="0"/>
          <c:showSerName val="0"/>
          <c:showPercent val="0"/>
          <c:showBubbleSize val="0"/>
        </c:dLbls>
        <c:smooth val="0"/>
        <c:axId val="229522512"/>
        <c:axId val="229517936"/>
      </c:lineChart>
      <c:catAx>
        <c:axId val="229522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29517936"/>
        <c:crosses val="autoZero"/>
        <c:auto val="1"/>
        <c:lblAlgn val="ctr"/>
        <c:lblOffset val="100"/>
        <c:noMultiLvlLbl val="0"/>
      </c:catAx>
      <c:valAx>
        <c:axId val="2295179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52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data.xlsx]Pivot Table!PivotTable5</c:name>
    <c:fmtId val="22"/>
  </c:pivotSource>
  <c:chart>
    <c:autoTitleDeleted val="1"/>
    <c:pivotFmts>
      <c:pivotFmt>
        <c:idx val="0"/>
        <c:spPr>
          <a:pattFill prst="ltDnDiag">
            <a:fgClr>
              <a:schemeClr val="accent1"/>
            </a:fgClr>
            <a:bgClr>
              <a:schemeClr val="accent1">
                <a:lumMod val="20000"/>
                <a:lumOff val="80000"/>
              </a:schemeClr>
            </a:bgClr>
          </a:pattFill>
          <a:ln>
            <a:solidFill>
              <a:srgbClr val="7030A0"/>
            </a:solidFill>
          </a:ln>
          <a:effectLst/>
          <a:sp3d>
            <a:contourClr>
              <a:srgbClr val="7030A0"/>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rgbClr val="7030A0"/>
            </a:solidFill>
          </a:ln>
          <a:effectLst/>
          <a:sp3d>
            <a:contourClr>
              <a:srgbClr val="7030A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rgbClr val="7030A0"/>
            </a:solidFill>
          </a:ln>
          <a:effectLst/>
          <a:sp3d>
            <a:contourClr>
              <a:srgbClr val="7030A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solidFill>
              <a:srgbClr val="7030A0"/>
            </a:solidFill>
          </a:ln>
          <a:effectLst/>
          <a:sp3d>
            <a:contourClr>
              <a:srgbClr val="7030A0"/>
            </a:contourClr>
          </a:sp3d>
        </c:spPr>
      </c:pivotFmt>
      <c:pivotFmt>
        <c:idx val="4"/>
        <c:spPr>
          <a:solidFill>
            <a:srgbClr val="7030A0"/>
          </a:solidFill>
          <a:ln>
            <a:solidFill>
              <a:srgbClr val="7030A0"/>
            </a:solidFill>
          </a:ln>
          <a:effectLst/>
          <a:sp3d>
            <a:contourClr>
              <a:srgbClr val="7030A0"/>
            </a:contourClr>
          </a:sp3d>
        </c:spP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Table'!$H$3</c:f>
              <c:strCache>
                <c:ptCount val="1"/>
                <c:pt idx="0">
                  <c:v>Total</c:v>
                </c:pt>
              </c:strCache>
            </c:strRef>
          </c:tx>
          <c:spPr>
            <a:pattFill prst="ltDnDiag">
              <a:fgClr>
                <a:schemeClr val="accent1"/>
              </a:fgClr>
              <a:bgClr>
                <a:schemeClr val="accent1">
                  <a:lumMod val="20000"/>
                  <a:lumOff val="80000"/>
                </a:schemeClr>
              </a:bgClr>
            </a:pattFill>
            <a:ln>
              <a:solidFill>
                <a:srgbClr val="7030A0"/>
              </a:solidFill>
            </a:ln>
            <a:effectLst/>
            <a:sp3d>
              <a:contourClr>
                <a:srgbClr val="7030A0"/>
              </a:contourClr>
            </a:sp3d>
          </c:spPr>
          <c:invertIfNegative val="0"/>
          <c:dPt>
            <c:idx val="0"/>
            <c:invertIfNegative val="0"/>
            <c:bubble3D val="0"/>
            <c:spPr>
              <a:solidFill>
                <a:srgbClr val="7030A0"/>
              </a:solidFill>
              <a:ln>
                <a:solidFill>
                  <a:srgbClr val="7030A0"/>
                </a:solidFill>
              </a:ln>
              <a:effectLst/>
              <a:sp3d>
                <a:contourClr>
                  <a:srgbClr val="7030A0"/>
                </a:contourClr>
              </a:sp3d>
            </c:spPr>
            <c:extLst>
              <c:ext xmlns:c16="http://schemas.microsoft.com/office/drawing/2014/chart" uri="{C3380CC4-5D6E-409C-BE32-E72D297353CC}">
                <c16:uniqueId val="{00000003-5C4A-4957-9503-19BD33000E72}"/>
              </c:ext>
            </c:extLst>
          </c:dPt>
          <c:dPt>
            <c:idx val="1"/>
            <c:invertIfNegative val="0"/>
            <c:bubble3D val="0"/>
            <c:spPr>
              <a:solidFill>
                <a:srgbClr val="7030A0"/>
              </a:solidFill>
              <a:ln>
                <a:solidFill>
                  <a:srgbClr val="7030A0"/>
                </a:solidFill>
              </a:ln>
              <a:effectLst/>
              <a:sp3d>
                <a:contourClr>
                  <a:srgbClr val="7030A0"/>
                </a:contourClr>
              </a:sp3d>
            </c:spPr>
            <c:extLst>
              <c:ext xmlns:c16="http://schemas.microsoft.com/office/drawing/2014/chart" uri="{C3380CC4-5D6E-409C-BE32-E72D297353CC}">
                <c16:uniqueId val="{00000002-5C4A-4957-9503-19BD33000E72}"/>
              </c:ext>
            </c:extLst>
          </c:dPt>
          <c:cat>
            <c:strRef>
              <c:f>'Pivot Table'!$G$4:$G$5</c:f>
              <c:strCache>
                <c:ptCount val="2"/>
                <c:pt idx="0">
                  <c:v>2024</c:v>
                </c:pt>
                <c:pt idx="1">
                  <c:v>2025</c:v>
                </c:pt>
              </c:strCache>
            </c:strRef>
          </c:cat>
          <c:val>
            <c:numRef>
              <c:f>'Pivot Table'!$H$4:$H$5</c:f>
              <c:numCache>
                <c:formatCode>General</c:formatCode>
                <c:ptCount val="2"/>
                <c:pt idx="0">
                  <c:v>4566</c:v>
                </c:pt>
                <c:pt idx="1">
                  <c:v>34332</c:v>
                </c:pt>
              </c:numCache>
            </c:numRef>
          </c:val>
          <c:extLst>
            <c:ext xmlns:c16="http://schemas.microsoft.com/office/drawing/2014/chart" uri="{C3380CC4-5D6E-409C-BE32-E72D297353CC}">
              <c16:uniqueId val="{00000000-5C4A-4957-9503-19BD33000E72}"/>
            </c:ext>
          </c:extLst>
        </c:ser>
        <c:dLbls>
          <c:showLegendKey val="0"/>
          <c:showVal val="0"/>
          <c:showCatName val="0"/>
          <c:showSerName val="0"/>
          <c:showPercent val="0"/>
          <c:showBubbleSize val="0"/>
        </c:dLbls>
        <c:gapWidth val="81"/>
        <c:gapDepth val="95"/>
        <c:shape val="cylinder"/>
        <c:axId val="366479936"/>
        <c:axId val="366473696"/>
        <c:axId val="0"/>
      </c:bar3DChart>
      <c:catAx>
        <c:axId val="366479936"/>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73696"/>
        <c:crosses val="autoZero"/>
        <c:auto val="1"/>
        <c:lblAlgn val="ctr"/>
        <c:lblOffset val="100"/>
        <c:noMultiLvlLbl val="0"/>
      </c:catAx>
      <c:valAx>
        <c:axId val="36647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47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xml"/><Relationship Id="rId1" Type="http://schemas.openxmlformats.org/officeDocument/2006/relationships/hyperlink" Target="#Dashboard!A1"/><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2.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4.svg"/><Relationship Id="rId7"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hyperlink" Target="#Products!A1"/><Relationship Id="rId6" Type="http://schemas.openxmlformats.org/officeDocument/2006/relationships/chart" Target="../charts/chart10.xml"/><Relationship Id="rId11" Type="http://schemas.openxmlformats.org/officeDocument/2006/relationships/image" Target="../media/image2.svg"/><Relationship Id="rId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image" Target="../media/image5.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228600</xdr:colOff>
      <xdr:row>0</xdr:row>
      <xdr:rowOff>180975</xdr:rowOff>
    </xdr:from>
    <xdr:to>
      <xdr:col>20</xdr:col>
      <xdr:colOff>123825</xdr:colOff>
      <xdr:row>28</xdr:row>
      <xdr:rowOff>133350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B2ABD2B-5F19-4E02-B11A-8096E633AA1B}"/>
            </a:ext>
          </a:extLst>
        </xdr:cNvPr>
        <xdr:cNvSpPr/>
      </xdr:nvSpPr>
      <xdr:spPr>
        <a:xfrm>
          <a:off x="228600" y="180975"/>
          <a:ext cx="12087225" cy="5286375"/>
        </a:xfrm>
        <a:prstGeom prst="roundRect">
          <a:avLst>
            <a:gd name="adj" fmla="val 2433"/>
          </a:avLst>
        </a:prstGeom>
        <a:solidFill>
          <a:srgbClr val="7030A0"/>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476250</xdr:colOff>
      <xdr:row>1</xdr:row>
      <xdr:rowOff>95250</xdr:rowOff>
    </xdr:from>
    <xdr:to>
      <xdr:col>20</xdr:col>
      <xdr:colOff>66676</xdr:colOff>
      <xdr:row>28</xdr:row>
      <xdr:rowOff>57149</xdr:rowOff>
    </xdr:to>
    <xdr:sp macro="" textlink="">
      <xdr:nvSpPr>
        <xdr:cNvPr id="3" name="Rectangle: Rounded Corners 2">
          <a:extLst>
            <a:ext uri="{FF2B5EF4-FFF2-40B4-BE49-F238E27FC236}">
              <a16:creationId xmlns:a16="http://schemas.microsoft.com/office/drawing/2014/main" id="{4DAF5062-2F7F-4A31-88A6-ECE6AB19C6A3}"/>
            </a:ext>
          </a:extLst>
        </xdr:cNvPr>
        <xdr:cNvSpPr/>
      </xdr:nvSpPr>
      <xdr:spPr>
        <a:xfrm>
          <a:off x="2914650" y="285750"/>
          <a:ext cx="9344026" cy="5105399"/>
        </a:xfrm>
        <a:prstGeom prst="roundRect">
          <a:avLst>
            <a:gd name="adj" fmla="val 2433"/>
          </a:avLst>
        </a:prstGeom>
        <a:solidFill>
          <a:srgbClr val="D1B6F4"/>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590550</xdr:colOff>
      <xdr:row>13</xdr:row>
      <xdr:rowOff>19050</xdr:rowOff>
    </xdr:from>
    <xdr:to>
      <xdr:col>20</xdr:col>
      <xdr:colOff>76199</xdr:colOff>
      <xdr:row>28</xdr:row>
      <xdr:rowOff>1</xdr:rowOff>
    </xdr:to>
    <xdr:sp macro="" textlink="">
      <xdr:nvSpPr>
        <xdr:cNvPr id="4" name="Rectangle: Rounded Corners 3">
          <a:extLst>
            <a:ext uri="{FF2B5EF4-FFF2-40B4-BE49-F238E27FC236}">
              <a16:creationId xmlns:a16="http://schemas.microsoft.com/office/drawing/2014/main" id="{E7040FCE-5397-4A48-8EF1-2771107D234A}"/>
            </a:ext>
          </a:extLst>
        </xdr:cNvPr>
        <xdr:cNvSpPr/>
      </xdr:nvSpPr>
      <xdr:spPr>
        <a:xfrm>
          <a:off x="3028950" y="2495550"/>
          <a:ext cx="9239249" cy="2838451"/>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IN" sz="2400" b="1">
              <a:solidFill>
                <a:schemeClr val="tx1"/>
              </a:solidFill>
            </a:rPr>
            <a:t>About – Burger Camp Sales Dashboard</a:t>
          </a:r>
        </a:p>
        <a:p>
          <a:r>
            <a:rPr lang="en-IN" sz="1600" b="1">
              <a:solidFill>
                <a:schemeClr val="tx1"/>
              </a:solidFill>
            </a:rPr>
            <a:t>Burger Camp</a:t>
          </a:r>
          <a:r>
            <a:rPr lang="en-IN" sz="1600">
              <a:solidFill>
                <a:schemeClr val="tx1"/>
              </a:solidFill>
            </a:rPr>
            <a:t> is a fast-food outlet in Pune, serving affordable burgers, fries and beverages to students, families and working professionals.</a:t>
          </a:r>
        </a:p>
        <a:p>
          <a:endParaRPr lang="en-IN" sz="1600">
            <a:solidFill>
              <a:schemeClr val="tx1"/>
            </a:solidFill>
          </a:endParaRPr>
        </a:p>
        <a:p>
          <a:r>
            <a:rPr lang="en-IN" sz="1600">
              <a:solidFill>
                <a:schemeClr val="tx1"/>
              </a:solidFill>
            </a:rPr>
            <a:t>This dashboard is designed to:</a:t>
          </a:r>
        </a:p>
        <a:p>
          <a:r>
            <a:rPr lang="en-IN" sz="1600">
              <a:solidFill>
                <a:schemeClr val="tx1"/>
              </a:solidFill>
            </a:rPr>
            <a:t>1) Provide an overview of </a:t>
          </a:r>
          <a:r>
            <a:rPr lang="en-IN" sz="1600" b="1">
              <a:solidFill>
                <a:schemeClr val="tx1"/>
              </a:solidFill>
            </a:rPr>
            <a:t>annual sales and orders</a:t>
          </a:r>
          <a:endParaRPr lang="en-IN" sz="1600">
            <a:solidFill>
              <a:schemeClr val="tx1"/>
            </a:solidFill>
          </a:endParaRPr>
        </a:p>
        <a:p>
          <a:r>
            <a:rPr lang="en-IN" sz="1600">
              <a:solidFill>
                <a:schemeClr val="tx1"/>
              </a:solidFill>
            </a:rPr>
            <a:t>2)</a:t>
          </a:r>
          <a:r>
            <a:rPr lang="en-IN" sz="1600" baseline="0">
              <a:solidFill>
                <a:schemeClr val="tx1"/>
              </a:solidFill>
            </a:rPr>
            <a:t> </a:t>
          </a:r>
          <a:r>
            <a:rPr lang="en-IN" sz="1600">
              <a:solidFill>
                <a:schemeClr val="tx1"/>
              </a:solidFill>
            </a:rPr>
            <a:t>Highlight </a:t>
          </a:r>
          <a:r>
            <a:rPr lang="en-IN" sz="1600" b="1">
              <a:solidFill>
                <a:schemeClr val="tx1"/>
              </a:solidFill>
            </a:rPr>
            <a:t>best &amp; least-selling items</a:t>
          </a:r>
          <a:r>
            <a:rPr lang="en-IN" sz="1600">
              <a:solidFill>
                <a:schemeClr val="tx1"/>
              </a:solidFill>
            </a:rPr>
            <a:t> and </a:t>
          </a:r>
          <a:r>
            <a:rPr lang="en-IN" sz="1600" b="1">
              <a:solidFill>
                <a:schemeClr val="tx1"/>
              </a:solidFill>
            </a:rPr>
            <a:t>category-wise performance</a:t>
          </a:r>
          <a:endParaRPr lang="en-IN" sz="1600">
            <a:solidFill>
              <a:schemeClr val="tx1"/>
            </a:solidFill>
          </a:endParaRPr>
        </a:p>
        <a:p>
          <a:r>
            <a:rPr lang="en-IN" sz="1600">
              <a:solidFill>
                <a:schemeClr val="tx1"/>
              </a:solidFill>
            </a:rPr>
            <a:t>3)</a:t>
          </a:r>
          <a:r>
            <a:rPr lang="en-IN" sz="1600" baseline="0">
              <a:solidFill>
                <a:schemeClr val="tx1"/>
              </a:solidFill>
            </a:rPr>
            <a:t> </a:t>
          </a:r>
          <a:r>
            <a:rPr lang="en-IN" sz="1600">
              <a:solidFill>
                <a:schemeClr val="tx1"/>
              </a:solidFill>
            </a:rPr>
            <a:t>Identify </a:t>
          </a:r>
          <a:r>
            <a:rPr lang="en-IN" sz="1600" b="1">
              <a:solidFill>
                <a:schemeClr val="tx1"/>
              </a:solidFill>
            </a:rPr>
            <a:t>peak days and time slots</a:t>
          </a:r>
          <a:r>
            <a:rPr lang="en-IN" sz="1600">
              <a:solidFill>
                <a:schemeClr val="tx1"/>
              </a:solidFill>
            </a:rPr>
            <a:t> to support planning and decision-making</a:t>
          </a:r>
        </a:p>
        <a:p>
          <a:endParaRPr lang="en-IN" sz="1600">
            <a:solidFill>
              <a:schemeClr val="tx1"/>
            </a:solidFill>
          </a:endParaRPr>
        </a:p>
      </xdr:txBody>
    </xdr:sp>
    <xdr:clientData/>
  </xdr:twoCellAnchor>
  <xdr:twoCellAnchor>
    <xdr:from>
      <xdr:col>0</xdr:col>
      <xdr:colOff>400050</xdr:colOff>
      <xdr:row>7</xdr:row>
      <xdr:rowOff>123825</xdr:rowOff>
    </xdr:from>
    <xdr:to>
      <xdr:col>4</xdr:col>
      <xdr:colOff>333375</xdr:colOff>
      <xdr:row>10</xdr:row>
      <xdr:rowOff>161925</xdr:rowOff>
    </xdr:to>
    <xdr:sp macro="" textlink="">
      <xdr:nvSpPr>
        <xdr:cNvPr id="6" name="Rectangle: Rounded Corners 5">
          <a:extLst>
            <a:ext uri="{FF2B5EF4-FFF2-40B4-BE49-F238E27FC236}">
              <a16:creationId xmlns:a16="http://schemas.microsoft.com/office/drawing/2014/main" id="{350C9D36-47E7-4803-8DC9-5F748E42892F}"/>
            </a:ext>
          </a:extLst>
        </xdr:cNvPr>
        <xdr:cNvSpPr/>
      </xdr:nvSpPr>
      <xdr:spPr>
        <a:xfrm>
          <a:off x="400050" y="145732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p>
      </xdr:txBody>
    </xdr:sp>
    <xdr:clientData/>
  </xdr:twoCellAnchor>
  <xdr:twoCellAnchor>
    <xdr:from>
      <xdr:col>0</xdr:col>
      <xdr:colOff>419100</xdr:colOff>
      <xdr:row>11</xdr:row>
      <xdr:rowOff>104775</xdr:rowOff>
    </xdr:from>
    <xdr:to>
      <xdr:col>4</xdr:col>
      <xdr:colOff>352425</xdr:colOff>
      <xdr:row>14</xdr:row>
      <xdr:rowOff>142875</xdr:rowOff>
    </xdr:to>
    <xdr:sp macro="" textlink="">
      <xdr:nvSpPr>
        <xdr:cNvPr id="7" name="Rectangle: Rounded Corners 6">
          <a:extLst>
            <a:ext uri="{FF2B5EF4-FFF2-40B4-BE49-F238E27FC236}">
              <a16:creationId xmlns:a16="http://schemas.microsoft.com/office/drawing/2014/main" id="{888D74F3-B9AF-44A5-BF3D-A8234CA3A6EE}"/>
            </a:ext>
          </a:extLst>
        </xdr:cNvPr>
        <xdr:cNvSpPr/>
      </xdr:nvSpPr>
      <xdr:spPr>
        <a:xfrm>
          <a:off x="419100" y="22002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PRODUCTS</a:t>
          </a:r>
        </a:p>
      </xdr:txBody>
    </xdr:sp>
    <xdr:clientData/>
  </xdr:twoCellAnchor>
  <xdr:twoCellAnchor>
    <xdr:from>
      <xdr:col>0</xdr:col>
      <xdr:colOff>419100</xdr:colOff>
      <xdr:row>15</xdr:row>
      <xdr:rowOff>66675</xdr:rowOff>
    </xdr:from>
    <xdr:to>
      <xdr:col>4</xdr:col>
      <xdr:colOff>352425</xdr:colOff>
      <xdr:row>18</xdr:row>
      <xdr:rowOff>104775</xdr:rowOff>
    </xdr:to>
    <xdr:sp macro="" textlink="">
      <xdr:nvSpPr>
        <xdr:cNvPr id="8" name="Rectangle: Rounded Corners 7">
          <a:extLst>
            <a:ext uri="{FF2B5EF4-FFF2-40B4-BE49-F238E27FC236}">
              <a16:creationId xmlns:a16="http://schemas.microsoft.com/office/drawing/2014/main" id="{01CE659A-0E66-4BAD-BA72-0E22F42133BB}"/>
            </a:ext>
          </a:extLst>
        </xdr:cNvPr>
        <xdr:cNvSpPr/>
      </xdr:nvSpPr>
      <xdr:spPr>
        <a:xfrm>
          <a:off x="419100" y="29241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Waiters</a:t>
          </a:r>
        </a:p>
      </xdr:txBody>
    </xdr:sp>
    <xdr:clientData/>
  </xdr:twoCellAnchor>
  <xdr:twoCellAnchor>
    <xdr:from>
      <xdr:col>0</xdr:col>
      <xdr:colOff>428625</xdr:colOff>
      <xdr:row>19</xdr:row>
      <xdr:rowOff>19050</xdr:rowOff>
    </xdr:from>
    <xdr:to>
      <xdr:col>4</xdr:col>
      <xdr:colOff>361950</xdr:colOff>
      <xdr:row>22</xdr:row>
      <xdr:rowOff>57150</xdr:rowOff>
    </xdr:to>
    <xdr:sp macro="" textlink="">
      <xdr:nvSpPr>
        <xdr:cNvPr id="9" name="Rectangle: Rounded Corners 8">
          <a:extLst>
            <a:ext uri="{FF2B5EF4-FFF2-40B4-BE49-F238E27FC236}">
              <a16:creationId xmlns:a16="http://schemas.microsoft.com/office/drawing/2014/main" id="{FADB15CE-4C0F-4DE3-B445-DD4630D1D0BA}"/>
            </a:ext>
          </a:extLst>
        </xdr:cNvPr>
        <xdr:cNvSpPr/>
      </xdr:nvSpPr>
      <xdr:spPr>
        <a:xfrm>
          <a:off x="428625" y="3638550"/>
          <a:ext cx="2371725" cy="609600"/>
        </a:xfrm>
        <a:prstGeom prst="roundRect">
          <a:avLst>
            <a:gd name="adj" fmla="val 30729"/>
          </a:avLst>
        </a:prstGeom>
        <a:solidFill>
          <a:schemeClr val="bg1"/>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ABOUT</a:t>
          </a:r>
        </a:p>
      </xdr:txBody>
    </xdr:sp>
    <xdr:clientData/>
  </xdr:twoCellAnchor>
  <xdr:twoCellAnchor>
    <xdr:from>
      <xdr:col>5</xdr:col>
      <xdr:colOff>190500</xdr:colOff>
      <xdr:row>19</xdr:row>
      <xdr:rowOff>0</xdr:rowOff>
    </xdr:from>
    <xdr:to>
      <xdr:col>11</xdr:col>
      <xdr:colOff>476250</xdr:colOff>
      <xdr:row>27</xdr:row>
      <xdr:rowOff>0</xdr:rowOff>
    </xdr:to>
    <xdr:graphicFrame macro="">
      <xdr:nvGraphicFramePr>
        <xdr:cNvPr id="10" name="Chart 9">
          <a:extLst>
            <a:ext uri="{FF2B5EF4-FFF2-40B4-BE49-F238E27FC236}">
              <a16:creationId xmlns:a16="http://schemas.microsoft.com/office/drawing/2014/main" id="{93D71C12-671D-427B-A3B7-53F5FA6B0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581025</xdr:colOff>
      <xdr:row>1</xdr:row>
      <xdr:rowOff>142875</xdr:rowOff>
    </xdr:from>
    <xdr:to>
      <xdr:col>12</xdr:col>
      <xdr:colOff>266700</xdr:colOff>
      <xdr:row>8</xdr:row>
      <xdr:rowOff>142875</xdr:rowOff>
    </xdr:to>
    <mc:AlternateContent xmlns:mc="http://schemas.openxmlformats.org/markup-compatibility/2006" xmlns:tsle="http://schemas.microsoft.com/office/drawing/2012/timeslicer">
      <mc:Choice Requires="tsle">
        <xdr:graphicFrame macro="">
          <xdr:nvGraphicFramePr>
            <xdr:cNvPr id="11" name="Date 3">
              <a:extLst>
                <a:ext uri="{FF2B5EF4-FFF2-40B4-BE49-F238E27FC236}">
                  <a16:creationId xmlns:a16="http://schemas.microsoft.com/office/drawing/2014/main" id="{04FFC725-1CEC-4241-92A8-B231DF7E3CEB}"/>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019425" y="333375"/>
              <a:ext cx="4562475"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295274</xdr:colOff>
      <xdr:row>1</xdr:row>
      <xdr:rowOff>142874</xdr:rowOff>
    </xdr:from>
    <xdr:to>
      <xdr:col>19</xdr:col>
      <xdr:colOff>581025</xdr:colOff>
      <xdr:row>8</xdr:row>
      <xdr:rowOff>142875</xdr:rowOff>
    </xdr:to>
    <mc:AlternateContent xmlns:mc="http://schemas.openxmlformats.org/markup-compatibility/2006" xmlns:a14="http://schemas.microsoft.com/office/drawing/2010/main">
      <mc:Choice Requires="a14">
        <xdr:graphicFrame macro="">
          <xdr:nvGraphicFramePr>
            <xdr:cNvPr id="12" name="Item 3">
              <a:extLst>
                <a:ext uri="{FF2B5EF4-FFF2-40B4-BE49-F238E27FC236}">
                  <a16:creationId xmlns:a16="http://schemas.microsoft.com/office/drawing/2014/main" id="{369F9046-567D-4617-A6F3-1FCF211655A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7610474" y="333374"/>
              <a:ext cx="4552951"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9</xdr:row>
      <xdr:rowOff>85725</xdr:rowOff>
    </xdr:from>
    <xdr:to>
      <xdr:col>16</xdr:col>
      <xdr:colOff>238125</xdr:colOff>
      <xdr:row>12</xdr:row>
      <xdr:rowOff>123825</xdr:rowOff>
    </xdr:to>
    <xdr:sp macro="" textlink="">
      <xdr:nvSpPr>
        <xdr:cNvPr id="14" name="Rectangle: Rounded Corners 13">
          <a:extLst>
            <a:ext uri="{FF2B5EF4-FFF2-40B4-BE49-F238E27FC236}">
              <a16:creationId xmlns:a16="http://schemas.microsoft.com/office/drawing/2014/main" id="{E9858B7B-2073-4C3D-98DE-7FBF5AAE82DE}"/>
            </a:ext>
          </a:extLst>
        </xdr:cNvPr>
        <xdr:cNvSpPr/>
      </xdr:nvSpPr>
      <xdr:spPr>
        <a:xfrm>
          <a:off x="4695825" y="1800225"/>
          <a:ext cx="5295900" cy="609600"/>
        </a:xfrm>
        <a:prstGeom prst="roundRect">
          <a:avLst>
            <a:gd name="adj" fmla="val 18229"/>
          </a:avLst>
        </a:prstGeom>
        <a:solidFill>
          <a:sysClr val="window" lastClr="FFFFFF"/>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BURGER</a:t>
          </a:r>
          <a:r>
            <a:rPr lang="en-IN" sz="2800" b="1" baseline="0">
              <a:solidFill>
                <a:sysClr val="windowText" lastClr="000000"/>
              </a:solidFill>
            </a:rPr>
            <a:t> KING PUNE</a:t>
          </a:r>
          <a:endParaRPr lang="en-IN" sz="2800" b="1">
            <a:solidFill>
              <a:sysClr val="windowText" lastClr="000000"/>
            </a:solidFill>
          </a:endParaRPr>
        </a:p>
      </xdr:txBody>
    </xdr:sp>
    <xdr:clientData/>
  </xdr:twoCellAnchor>
  <xdr:twoCellAnchor editAs="oneCell">
    <xdr:from>
      <xdr:col>8</xdr:col>
      <xdr:colOff>342901</xdr:colOff>
      <xdr:row>9</xdr:row>
      <xdr:rowOff>38101</xdr:rowOff>
    </xdr:from>
    <xdr:to>
      <xdr:col>9</xdr:col>
      <xdr:colOff>361951</xdr:colOff>
      <xdr:row>12</xdr:row>
      <xdr:rowOff>95251</xdr:rowOff>
    </xdr:to>
    <xdr:pic>
      <xdr:nvPicPr>
        <xdr:cNvPr id="15" name="Graphic 14" descr="Burger and drink with solid fill">
          <a:extLst>
            <a:ext uri="{FF2B5EF4-FFF2-40B4-BE49-F238E27FC236}">
              <a16:creationId xmlns:a16="http://schemas.microsoft.com/office/drawing/2014/main" id="{29EEAB6F-387C-4ABF-BADC-7D1EB453F32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219701" y="1752601"/>
          <a:ext cx="62865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180975</xdr:rowOff>
    </xdr:from>
    <xdr:to>
      <xdr:col>20</xdr:col>
      <xdr:colOff>123825</xdr:colOff>
      <xdr:row>28</xdr:row>
      <xdr:rowOff>133350</xdr:rowOff>
    </xdr:to>
    <xdr:sp macro="" textlink="">
      <xdr:nvSpPr>
        <xdr:cNvPr id="2" name="Rectangle: Rounded Corners 1">
          <a:extLst>
            <a:ext uri="{FF2B5EF4-FFF2-40B4-BE49-F238E27FC236}">
              <a16:creationId xmlns:a16="http://schemas.microsoft.com/office/drawing/2014/main" id="{3246607C-51FE-4EAB-AFD4-77D4F61276CF}"/>
            </a:ext>
          </a:extLst>
        </xdr:cNvPr>
        <xdr:cNvSpPr/>
      </xdr:nvSpPr>
      <xdr:spPr>
        <a:xfrm>
          <a:off x="228600" y="180975"/>
          <a:ext cx="12087225" cy="5286375"/>
        </a:xfrm>
        <a:prstGeom prst="roundRect">
          <a:avLst>
            <a:gd name="adj" fmla="val 2433"/>
          </a:avLst>
        </a:prstGeom>
        <a:solidFill>
          <a:srgbClr val="7030A0"/>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476250</xdr:colOff>
      <xdr:row>1</xdr:row>
      <xdr:rowOff>95250</xdr:rowOff>
    </xdr:from>
    <xdr:to>
      <xdr:col>20</xdr:col>
      <xdr:colOff>66676</xdr:colOff>
      <xdr:row>28</xdr:row>
      <xdr:rowOff>57149</xdr:rowOff>
    </xdr:to>
    <xdr:sp macro="" textlink="">
      <xdr:nvSpPr>
        <xdr:cNvPr id="3" name="Rectangle: Rounded Corners 2">
          <a:extLst>
            <a:ext uri="{FF2B5EF4-FFF2-40B4-BE49-F238E27FC236}">
              <a16:creationId xmlns:a16="http://schemas.microsoft.com/office/drawing/2014/main" id="{24215438-C2BA-467C-8047-4451DB647DBA}"/>
            </a:ext>
          </a:extLst>
        </xdr:cNvPr>
        <xdr:cNvSpPr/>
      </xdr:nvSpPr>
      <xdr:spPr>
        <a:xfrm>
          <a:off x="2914650" y="285750"/>
          <a:ext cx="9344026" cy="5105399"/>
        </a:xfrm>
        <a:prstGeom prst="roundRect">
          <a:avLst>
            <a:gd name="adj" fmla="val 2433"/>
          </a:avLst>
        </a:prstGeom>
        <a:solidFill>
          <a:srgbClr val="D1B6F4"/>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590551</xdr:colOff>
      <xdr:row>13</xdr:row>
      <xdr:rowOff>95250</xdr:rowOff>
    </xdr:from>
    <xdr:to>
      <xdr:col>11</xdr:col>
      <xdr:colOff>476251</xdr:colOff>
      <xdr:row>28</xdr:row>
      <xdr:rowOff>47625</xdr:rowOff>
    </xdr:to>
    <xdr:sp macro="" textlink="">
      <xdr:nvSpPr>
        <xdr:cNvPr id="4" name="Rectangle: Rounded Corners 3">
          <a:extLst>
            <a:ext uri="{FF2B5EF4-FFF2-40B4-BE49-F238E27FC236}">
              <a16:creationId xmlns:a16="http://schemas.microsoft.com/office/drawing/2014/main" id="{827172CF-B36B-43D3-B141-68BE0215C289}"/>
            </a:ext>
          </a:extLst>
        </xdr:cNvPr>
        <xdr:cNvSpPr/>
      </xdr:nvSpPr>
      <xdr:spPr>
        <a:xfrm>
          <a:off x="3028951" y="2571750"/>
          <a:ext cx="4152900" cy="2809875"/>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 By Waiter</a:t>
          </a:r>
        </a:p>
      </xdr:txBody>
    </xdr:sp>
    <xdr:clientData/>
  </xdr:twoCellAnchor>
  <xdr:twoCellAnchor>
    <xdr:from>
      <xdr:col>11</xdr:col>
      <xdr:colOff>523873</xdr:colOff>
      <xdr:row>13</xdr:row>
      <xdr:rowOff>85725</xdr:rowOff>
    </xdr:from>
    <xdr:to>
      <xdr:col>19</xdr:col>
      <xdr:colOff>581024</xdr:colOff>
      <xdr:row>20</xdr:row>
      <xdr:rowOff>76199</xdr:rowOff>
    </xdr:to>
    <xdr:sp macro="" textlink="">
      <xdr:nvSpPr>
        <xdr:cNvPr id="5" name="Rectangle: Rounded Corners 4">
          <a:extLst>
            <a:ext uri="{FF2B5EF4-FFF2-40B4-BE49-F238E27FC236}">
              <a16:creationId xmlns:a16="http://schemas.microsoft.com/office/drawing/2014/main" id="{93DE0943-96E5-478E-8A1A-3A9771660A78}"/>
            </a:ext>
          </a:extLst>
        </xdr:cNvPr>
        <xdr:cNvSpPr/>
      </xdr:nvSpPr>
      <xdr:spPr>
        <a:xfrm>
          <a:off x="7229473" y="2562225"/>
          <a:ext cx="4933951"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Top 3</a:t>
          </a:r>
          <a:r>
            <a:rPr lang="en-IN" sz="1800" b="1" baseline="0">
              <a:solidFill>
                <a:sysClr val="windowText" lastClr="000000"/>
              </a:solidFill>
            </a:rPr>
            <a:t> performing Waiters</a:t>
          </a:r>
          <a:r>
            <a:rPr lang="en-IN" sz="1800" b="1">
              <a:solidFill>
                <a:sysClr val="windowText" lastClr="000000"/>
              </a:solidFill>
            </a:rPr>
            <a:t> </a:t>
          </a:r>
        </a:p>
      </xdr:txBody>
    </xdr:sp>
    <xdr:clientData/>
  </xdr:twoCellAnchor>
  <xdr:twoCellAnchor>
    <xdr:from>
      <xdr:col>0</xdr:col>
      <xdr:colOff>400050</xdr:colOff>
      <xdr:row>7</xdr:row>
      <xdr:rowOff>123825</xdr:rowOff>
    </xdr:from>
    <xdr:to>
      <xdr:col>4</xdr:col>
      <xdr:colOff>333375</xdr:colOff>
      <xdr:row>10</xdr:row>
      <xdr:rowOff>161925</xdr:rowOff>
    </xdr:to>
    <xdr:sp macro="" textlink="">
      <xdr:nvSpPr>
        <xdr:cNvPr id="6" name="Rectangle: Rounded Corners 5">
          <a:extLst>
            <a:ext uri="{FF2B5EF4-FFF2-40B4-BE49-F238E27FC236}">
              <a16:creationId xmlns:a16="http://schemas.microsoft.com/office/drawing/2014/main" id="{8B9022BC-EDF3-43A0-A886-F4267565722C}"/>
            </a:ext>
          </a:extLst>
        </xdr:cNvPr>
        <xdr:cNvSpPr/>
      </xdr:nvSpPr>
      <xdr:spPr>
        <a:xfrm>
          <a:off x="400050" y="145732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p>
      </xdr:txBody>
    </xdr:sp>
    <xdr:clientData/>
  </xdr:twoCellAnchor>
  <xdr:twoCellAnchor>
    <xdr:from>
      <xdr:col>0</xdr:col>
      <xdr:colOff>419100</xdr:colOff>
      <xdr:row>11</xdr:row>
      <xdr:rowOff>104775</xdr:rowOff>
    </xdr:from>
    <xdr:to>
      <xdr:col>4</xdr:col>
      <xdr:colOff>352425</xdr:colOff>
      <xdr:row>14</xdr:row>
      <xdr:rowOff>142875</xdr:rowOff>
    </xdr:to>
    <xdr:sp macro="" textlink="">
      <xdr:nvSpPr>
        <xdr:cNvPr id="7" name="Rectangle: Rounded Corners 6">
          <a:extLst>
            <a:ext uri="{FF2B5EF4-FFF2-40B4-BE49-F238E27FC236}">
              <a16:creationId xmlns:a16="http://schemas.microsoft.com/office/drawing/2014/main" id="{003754E4-B41F-4234-B71B-E9084F459365}"/>
            </a:ext>
          </a:extLst>
        </xdr:cNvPr>
        <xdr:cNvSpPr/>
      </xdr:nvSpPr>
      <xdr:spPr>
        <a:xfrm>
          <a:off x="419100" y="22002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PRODUCTS</a:t>
          </a:r>
        </a:p>
      </xdr:txBody>
    </xdr:sp>
    <xdr:clientData/>
  </xdr:twoCellAnchor>
  <xdr:twoCellAnchor>
    <xdr:from>
      <xdr:col>0</xdr:col>
      <xdr:colOff>419100</xdr:colOff>
      <xdr:row>15</xdr:row>
      <xdr:rowOff>66675</xdr:rowOff>
    </xdr:from>
    <xdr:to>
      <xdr:col>4</xdr:col>
      <xdr:colOff>352425</xdr:colOff>
      <xdr:row>18</xdr:row>
      <xdr:rowOff>104775</xdr:rowOff>
    </xdr:to>
    <xdr:sp macro="" textlink="">
      <xdr:nvSpPr>
        <xdr:cNvPr id="8" name="Rectangle: Rounded Corners 7">
          <a:extLst>
            <a:ext uri="{FF2B5EF4-FFF2-40B4-BE49-F238E27FC236}">
              <a16:creationId xmlns:a16="http://schemas.microsoft.com/office/drawing/2014/main" id="{DCE7CE1D-1DA1-42B1-977C-7C693343763D}"/>
            </a:ext>
          </a:extLst>
        </xdr:cNvPr>
        <xdr:cNvSpPr/>
      </xdr:nvSpPr>
      <xdr:spPr>
        <a:xfrm>
          <a:off x="419100" y="2924175"/>
          <a:ext cx="2371725" cy="609600"/>
        </a:xfrm>
        <a:prstGeom prst="roundRect">
          <a:avLst>
            <a:gd name="adj" fmla="val 30729"/>
          </a:avLst>
        </a:prstGeom>
        <a:solidFill>
          <a:schemeClr val="bg1"/>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Waiters</a:t>
          </a:r>
        </a:p>
      </xdr:txBody>
    </xdr:sp>
    <xdr:clientData/>
  </xdr:twoCellAnchor>
  <xdr:twoCellAnchor>
    <xdr:from>
      <xdr:col>0</xdr:col>
      <xdr:colOff>428625</xdr:colOff>
      <xdr:row>19</xdr:row>
      <xdr:rowOff>19050</xdr:rowOff>
    </xdr:from>
    <xdr:to>
      <xdr:col>4</xdr:col>
      <xdr:colOff>361950</xdr:colOff>
      <xdr:row>22</xdr:row>
      <xdr:rowOff>57150</xdr:rowOff>
    </xdr:to>
    <xdr:sp macro="" textlink="">
      <xdr:nvSpPr>
        <xdr:cNvPr id="9" name="Rectangle: Rounded Corners 8">
          <a:extLst>
            <a:ext uri="{FF2B5EF4-FFF2-40B4-BE49-F238E27FC236}">
              <a16:creationId xmlns:a16="http://schemas.microsoft.com/office/drawing/2014/main" id="{45836EFC-6AAB-42BF-A7D8-C22D0C2D9FB4}"/>
            </a:ext>
          </a:extLst>
        </xdr:cNvPr>
        <xdr:cNvSpPr/>
      </xdr:nvSpPr>
      <xdr:spPr>
        <a:xfrm>
          <a:off x="428625" y="3638550"/>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ABOUT</a:t>
          </a:r>
        </a:p>
      </xdr:txBody>
    </xdr:sp>
    <xdr:clientData/>
  </xdr:twoCellAnchor>
  <xdr:twoCellAnchor>
    <xdr:from>
      <xdr:col>5</xdr:col>
      <xdr:colOff>190500</xdr:colOff>
      <xdr:row>19</xdr:row>
      <xdr:rowOff>0</xdr:rowOff>
    </xdr:from>
    <xdr:to>
      <xdr:col>11</xdr:col>
      <xdr:colOff>476250</xdr:colOff>
      <xdr:row>27</xdr:row>
      <xdr:rowOff>0</xdr:rowOff>
    </xdr:to>
    <xdr:graphicFrame macro="">
      <xdr:nvGraphicFramePr>
        <xdr:cNvPr id="10" name="Chart 9">
          <a:extLst>
            <a:ext uri="{FF2B5EF4-FFF2-40B4-BE49-F238E27FC236}">
              <a16:creationId xmlns:a16="http://schemas.microsoft.com/office/drawing/2014/main" id="{68C44364-B736-46AD-AE7E-9B66FB035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581025</xdr:colOff>
      <xdr:row>1</xdr:row>
      <xdr:rowOff>142875</xdr:rowOff>
    </xdr:from>
    <xdr:to>
      <xdr:col>12</xdr:col>
      <xdr:colOff>266700</xdr:colOff>
      <xdr:row>8</xdr:row>
      <xdr:rowOff>142875</xdr:rowOff>
    </xdr:to>
    <mc:AlternateContent xmlns:mc="http://schemas.openxmlformats.org/markup-compatibility/2006" xmlns:tsle="http://schemas.microsoft.com/office/drawing/2012/timeslicer">
      <mc:Choice Requires="tsle">
        <xdr:graphicFrame macro="">
          <xdr:nvGraphicFramePr>
            <xdr:cNvPr id="11" name="Date 2">
              <a:extLst>
                <a:ext uri="{FF2B5EF4-FFF2-40B4-BE49-F238E27FC236}">
                  <a16:creationId xmlns:a16="http://schemas.microsoft.com/office/drawing/2014/main" id="{A7FE0DC9-6F7B-4916-B5DF-4FC4A130947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019425" y="333375"/>
              <a:ext cx="4562475"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295274</xdr:colOff>
      <xdr:row>1</xdr:row>
      <xdr:rowOff>142874</xdr:rowOff>
    </xdr:from>
    <xdr:to>
      <xdr:col>19</xdr:col>
      <xdr:colOff>581025</xdr:colOff>
      <xdr:row>8</xdr:row>
      <xdr:rowOff>142875</xdr:rowOff>
    </xdr:to>
    <mc:AlternateContent xmlns:mc="http://schemas.openxmlformats.org/markup-compatibility/2006" xmlns:a14="http://schemas.microsoft.com/office/drawing/2010/main">
      <mc:Choice Requires="a14">
        <xdr:graphicFrame macro="">
          <xdr:nvGraphicFramePr>
            <xdr:cNvPr id="12" name="Item 2">
              <a:extLst>
                <a:ext uri="{FF2B5EF4-FFF2-40B4-BE49-F238E27FC236}">
                  <a16:creationId xmlns:a16="http://schemas.microsoft.com/office/drawing/2014/main" id="{F3B2443A-91A9-40C9-B5B4-6951E9BAB9FD}"/>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7610474" y="333374"/>
              <a:ext cx="4552951"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523874</xdr:colOff>
      <xdr:row>20</xdr:row>
      <xdr:rowOff>152400</xdr:rowOff>
    </xdr:from>
    <xdr:to>
      <xdr:col>20</xdr:col>
      <xdr:colOff>0</xdr:colOff>
      <xdr:row>27</xdr:row>
      <xdr:rowOff>142874</xdr:rowOff>
    </xdr:to>
    <xdr:sp macro="" textlink="">
      <xdr:nvSpPr>
        <xdr:cNvPr id="13" name="Rectangle: Rounded Corners 12">
          <a:extLst>
            <a:ext uri="{FF2B5EF4-FFF2-40B4-BE49-F238E27FC236}">
              <a16:creationId xmlns:a16="http://schemas.microsoft.com/office/drawing/2014/main" id="{38B28BA2-D53A-42D9-ACCA-DFFFE7E95EBE}"/>
            </a:ext>
          </a:extLst>
        </xdr:cNvPr>
        <xdr:cNvSpPr/>
      </xdr:nvSpPr>
      <xdr:spPr>
        <a:xfrm>
          <a:off x="7229474" y="3962400"/>
          <a:ext cx="4962526"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Top</a:t>
          </a:r>
          <a:r>
            <a:rPr lang="en-IN" sz="1800" b="1" baseline="0">
              <a:solidFill>
                <a:sysClr val="windowText" lastClr="000000"/>
              </a:solidFill>
            </a:rPr>
            <a:t> 3 less performing Waiters</a:t>
          </a:r>
        </a:p>
      </xdr:txBody>
    </xdr:sp>
    <xdr:clientData/>
  </xdr:twoCellAnchor>
  <xdr:twoCellAnchor>
    <xdr:from>
      <xdr:col>7</xdr:col>
      <xdr:colOff>428625</xdr:colOff>
      <xdr:row>9</xdr:row>
      <xdr:rowOff>85725</xdr:rowOff>
    </xdr:from>
    <xdr:to>
      <xdr:col>16</xdr:col>
      <xdr:colOff>238125</xdr:colOff>
      <xdr:row>12</xdr:row>
      <xdr:rowOff>123825</xdr:rowOff>
    </xdr:to>
    <xdr:sp macro="" textlink="">
      <xdr:nvSpPr>
        <xdr:cNvPr id="14" name="Rectangle: Rounded Corners 13">
          <a:extLst>
            <a:ext uri="{FF2B5EF4-FFF2-40B4-BE49-F238E27FC236}">
              <a16:creationId xmlns:a16="http://schemas.microsoft.com/office/drawing/2014/main" id="{751EA42F-E8FC-48EB-8A90-F65182C542EB}"/>
            </a:ext>
          </a:extLst>
        </xdr:cNvPr>
        <xdr:cNvSpPr/>
      </xdr:nvSpPr>
      <xdr:spPr>
        <a:xfrm>
          <a:off x="4695825" y="1800225"/>
          <a:ext cx="5295900" cy="609600"/>
        </a:xfrm>
        <a:prstGeom prst="roundRect">
          <a:avLst>
            <a:gd name="adj" fmla="val 18229"/>
          </a:avLst>
        </a:prstGeom>
        <a:solidFill>
          <a:sysClr val="window" lastClr="FFFFFF"/>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BURGER</a:t>
          </a:r>
          <a:r>
            <a:rPr lang="en-IN" sz="2800" b="1" baseline="0">
              <a:solidFill>
                <a:sysClr val="windowText" lastClr="000000"/>
              </a:solidFill>
            </a:rPr>
            <a:t> KING PUNE</a:t>
          </a:r>
          <a:endParaRPr lang="en-IN" sz="2800" b="1">
            <a:solidFill>
              <a:sysClr val="windowText" lastClr="000000"/>
            </a:solidFill>
          </a:endParaRPr>
        </a:p>
      </xdr:txBody>
    </xdr:sp>
    <xdr:clientData/>
  </xdr:twoCellAnchor>
  <xdr:twoCellAnchor editAs="oneCell">
    <xdr:from>
      <xdr:col>8</xdr:col>
      <xdr:colOff>342901</xdr:colOff>
      <xdr:row>9</xdr:row>
      <xdr:rowOff>38101</xdr:rowOff>
    </xdr:from>
    <xdr:to>
      <xdr:col>9</xdr:col>
      <xdr:colOff>361951</xdr:colOff>
      <xdr:row>12</xdr:row>
      <xdr:rowOff>95251</xdr:rowOff>
    </xdr:to>
    <xdr:pic>
      <xdr:nvPicPr>
        <xdr:cNvPr id="15" name="Graphic 14" descr="Burger and drink with solid fill">
          <a:extLst>
            <a:ext uri="{FF2B5EF4-FFF2-40B4-BE49-F238E27FC236}">
              <a16:creationId xmlns:a16="http://schemas.microsoft.com/office/drawing/2014/main" id="{0B7E610C-C74D-4BB0-BAE2-35E1E81F24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219701" y="1752601"/>
          <a:ext cx="628650" cy="628650"/>
        </a:xfrm>
        <a:prstGeom prst="rect">
          <a:avLst/>
        </a:prstGeom>
      </xdr:spPr>
    </xdr:pic>
    <xdr:clientData/>
  </xdr:twoCellAnchor>
  <xdr:twoCellAnchor>
    <xdr:from>
      <xdr:col>12</xdr:col>
      <xdr:colOff>95247</xdr:colOff>
      <xdr:row>15</xdr:row>
      <xdr:rowOff>76200</xdr:rowOff>
    </xdr:from>
    <xdr:to>
      <xdr:col>19</xdr:col>
      <xdr:colOff>523874</xdr:colOff>
      <xdr:row>20</xdr:row>
      <xdr:rowOff>42863</xdr:rowOff>
    </xdr:to>
    <xdr:graphicFrame macro="">
      <xdr:nvGraphicFramePr>
        <xdr:cNvPr id="19" name="Chart 18">
          <a:extLst>
            <a:ext uri="{FF2B5EF4-FFF2-40B4-BE49-F238E27FC236}">
              <a16:creationId xmlns:a16="http://schemas.microsoft.com/office/drawing/2014/main" id="{39F6B01B-B5E7-48F7-B3DA-B8F3730EB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xdr:colOff>
      <xdr:row>22</xdr:row>
      <xdr:rowOff>133350</xdr:rowOff>
    </xdr:from>
    <xdr:to>
      <xdr:col>19</xdr:col>
      <xdr:colOff>590550</xdr:colOff>
      <xdr:row>27</xdr:row>
      <xdr:rowOff>47625</xdr:rowOff>
    </xdr:to>
    <xdr:graphicFrame macro="">
      <xdr:nvGraphicFramePr>
        <xdr:cNvPr id="20" name="Chart 19">
          <a:extLst>
            <a:ext uri="{FF2B5EF4-FFF2-40B4-BE49-F238E27FC236}">
              <a16:creationId xmlns:a16="http://schemas.microsoft.com/office/drawing/2014/main" id="{7EB10351-07B4-4680-ADBE-EDDF23119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57149</xdr:colOff>
      <xdr:row>15</xdr:row>
      <xdr:rowOff>133350</xdr:rowOff>
    </xdr:from>
    <xdr:to>
      <xdr:col>11</xdr:col>
      <xdr:colOff>390524</xdr:colOff>
      <xdr:row>27</xdr:row>
      <xdr:rowOff>0</xdr:rowOff>
    </xdr:to>
    <xdr:graphicFrame macro="">
      <xdr:nvGraphicFramePr>
        <xdr:cNvPr id="21" name="Chart 20">
          <a:extLst>
            <a:ext uri="{FF2B5EF4-FFF2-40B4-BE49-F238E27FC236}">
              <a16:creationId xmlns:a16="http://schemas.microsoft.com/office/drawing/2014/main" id="{ABE37004-9AFD-4381-9306-9DEA45F02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180975</xdr:rowOff>
    </xdr:from>
    <xdr:to>
      <xdr:col>20</xdr:col>
      <xdr:colOff>123825</xdr:colOff>
      <xdr:row>28</xdr:row>
      <xdr:rowOff>133350</xdr:rowOff>
    </xdr:to>
    <xdr:sp macro="" textlink="">
      <xdr:nvSpPr>
        <xdr:cNvPr id="2" name="Rectangle: Rounded Corners 1">
          <a:extLst>
            <a:ext uri="{FF2B5EF4-FFF2-40B4-BE49-F238E27FC236}">
              <a16:creationId xmlns:a16="http://schemas.microsoft.com/office/drawing/2014/main" id="{C5B8DB51-4F2B-4E22-9012-F872EF6E125B}"/>
            </a:ext>
          </a:extLst>
        </xdr:cNvPr>
        <xdr:cNvSpPr/>
      </xdr:nvSpPr>
      <xdr:spPr>
        <a:xfrm>
          <a:off x="228600" y="180975"/>
          <a:ext cx="12087225" cy="5286375"/>
        </a:xfrm>
        <a:prstGeom prst="roundRect">
          <a:avLst>
            <a:gd name="adj" fmla="val 2433"/>
          </a:avLst>
        </a:prstGeom>
        <a:solidFill>
          <a:srgbClr val="7030A0"/>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476250</xdr:colOff>
      <xdr:row>1</xdr:row>
      <xdr:rowOff>95250</xdr:rowOff>
    </xdr:from>
    <xdr:to>
      <xdr:col>20</xdr:col>
      <xdr:colOff>66676</xdr:colOff>
      <xdr:row>28</xdr:row>
      <xdr:rowOff>57149</xdr:rowOff>
    </xdr:to>
    <xdr:sp macro="" textlink="">
      <xdr:nvSpPr>
        <xdr:cNvPr id="3" name="Rectangle: Rounded Corners 2">
          <a:extLst>
            <a:ext uri="{FF2B5EF4-FFF2-40B4-BE49-F238E27FC236}">
              <a16:creationId xmlns:a16="http://schemas.microsoft.com/office/drawing/2014/main" id="{67550ECC-ACB9-4C42-BBB2-AC50A0517169}"/>
            </a:ext>
          </a:extLst>
        </xdr:cNvPr>
        <xdr:cNvSpPr/>
      </xdr:nvSpPr>
      <xdr:spPr>
        <a:xfrm>
          <a:off x="2914650" y="285750"/>
          <a:ext cx="9344026" cy="5105399"/>
        </a:xfrm>
        <a:prstGeom prst="roundRect">
          <a:avLst>
            <a:gd name="adj" fmla="val 2433"/>
          </a:avLst>
        </a:prstGeom>
        <a:solidFill>
          <a:srgbClr val="D1B6F4"/>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590551</xdr:colOff>
      <xdr:row>13</xdr:row>
      <xdr:rowOff>66675</xdr:rowOff>
    </xdr:from>
    <xdr:to>
      <xdr:col>11</xdr:col>
      <xdr:colOff>476251</xdr:colOff>
      <xdr:row>28</xdr:row>
      <xdr:rowOff>19050</xdr:rowOff>
    </xdr:to>
    <xdr:sp macro="" textlink="">
      <xdr:nvSpPr>
        <xdr:cNvPr id="4" name="Rectangle: Rounded Corners 3">
          <a:extLst>
            <a:ext uri="{FF2B5EF4-FFF2-40B4-BE49-F238E27FC236}">
              <a16:creationId xmlns:a16="http://schemas.microsoft.com/office/drawing/2014/main" id="{BFAA01BC-062F-47D7-B856-FDB55414491A}"/>
            </a:ext>
          </a:extLst>
        </xdr:cNvPr>
        <xdr:cNvSpPr/>
      </xdr:nvSpPr>
      <xdr:spPr>
        <a:xfrm>
          <a:off x="3028951" y="2543175"/>
          <a:ext cx="4152900" cy="2809875"/>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 By Products</a:t>
          </a:r>
        </a:p>
      </xdr:txBody>
    </xdr:sp>
    <xdr:clientData/>
  </xdr:twoCellAnchor>
  <xdr:twoCellAnchor>
    <xdr:from>
      <xdr:col>11</xdr:col>
      <xdr:colOff>523873</xdr:colOff>
      <xdr:row>13</xdr:row>
      <xdr:rowOff>85725</xdr:rowOff>
    </xdr:from>
    <xdr:to>
      <xdr:col>19</xdr:col>
      <xdr:colOff>581024</xdr:colOff>
      <xdr:row>20</xdr:row>
      <xdr:rowOff>76199</xdr:rowOff>
    </xdr:to>
    <xdr:sp macro="" textlink="">
      <xdr:nvSpPr>
        <xdr:cNvPr id="5" name="Rectangle: Rounded Corners 4">
          <a:extLst>
            <a:ext uri="{FF2B5EF4-FFF2-40B4-BE49-F238E27FC236}">
              <a16:creationId xmlns:a16="http://schemas.microsoft.com/office/drawing/2014/main" id="{AD203679-F01B-40CB-8C59-B27B3BC4CE63}"/>
            </a:ext>
          </a:extLst>
        </xdr:cNvPr>
        <xdr:cNvSpPr/>
      </xdr:nvSpPr>
      <xdr:spPr>
        <a:xfrm>
          <a:off x="7229473" y="2562225"/>
          <a:ext cx="4933951"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Top 3 selling Products</a:t>
          </a:r>
        </a:p>
      </xdr:txBody>
    </xdr:sp>
    <xdr:clientData/>
  </xdr:twoCellAnchor>
  <xdr:twoCellAnchor>
    <xdr:from>
      <xdr:col>0</xdr:col>
      <xdr:colOff>400050</xdr:colOff>
      <xdr:row>7</xdr:row>
      <xdr:rowOff>123825</xdr:rowOff>
    </xdr:from>
    <xdr:to>
      <xdr:col>4</xdr:col>
      <xdr:colOff>333375</xdr:colOff>
      <xdr:row>10</xdr:row>
      <xdr:rowOff>161925</xdr:rowOff>
    </xdr:to>
    <xdr:sp macro="" textlink="">
      <xdr:nvSpPr>
        <xdr:cNvPr id="12" name="Rectangle: Rounded Corners 11">
          <a:extLst>
            <a:ext uri="{FF2B5EF4-FFF2-40B4-BE49-F238E27FC236}">
              <a16:creationId xmlns:a16="http://schemas.microsoft.com/office/drawing/2014/main" id="{C15B1CE7-5686-4FDD-AC11-AC806AA13D9A}"/>
            </a:ext>
          </a:extLst>
        </xdr:cNvPr>
        <xdr:cNvSpPr/>
      </xdr:nvSpPr>
      <xdr:spPr>
        <a:xfrm>
          <a:off x="400050" y="145732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DASHBOARD</a:t>
          </a:r>
        </a:p>
      </xdr:txBody>
    </xdr:sp>
    <xdr:clientData/>
  </xdr:twoCellAnchor>
  <xdr:twoCellAnchor>
    <xdr:from>
      <xdr:col>0</xdr:col>
      <xdr:colOff>419100</xdr:colOff>
      <xdr:row>11</xdr:row>
      <xdr:rowOff>104775</xdr:rowOff>
    </xdr:from>
    <xdr:to>
      <xdr:col>4</xdr:col>
      <xdr:colOff>352425</xdr:colOff>
      <xdr:row>14</xdr:row>
      <xdr:rowOff>142875</xdr:rowOff>
    </xdr:to>
    <xdr:sp macro="" textlink="">
      <xdr:nvSpPr>
        <xdr:cNvPr id="13" name="Rectangle: Rounded Corners 12">
          <a:extLst>
            <a:ext uri="{FF2B5EF4-FFF2-40B4-BE49-F238E27FC236}">
              <a16:creationId xmlns:a16="http://schemas.microsoft.com/office/drawing/2014/main" id="{151E4399-36FF-4D1A-B117-653366C1B3C1}"/>
            </a:ext>
          </a:extLst>
        </xdr:cNvPr>
        <xdr:cNvSpPr/>
      </xdr:nvSpPr>
      <xdr:spPr>
        <a:xfrm>
          <a:off x="419100" y="2200275"/>
          <a:ext cx="2371725" cy="609600"/>
        </a:xfrm>
        <a:prstGeom prst="roundRect">
          <a:avLst>
            <a:gd name="adj" fmla="val 30729"/>
          </a:avLst>
        </a:prstGeom>
        <a:solidFill>
          <a:schemeClr val="bg1"/>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tx1"/>
              </a:solidFill>
            </a:rPr>
            <a:t>PRODUCTS</a:t>
          </a:r>
        </a:p>
      </xdr:txBody>
    </xdr:sp>
    <xdr:clientData/>
  </xdr:twoCellAnchor>
  <xdr:twoCellAnchor>
    <xdr:from>
      <xdr:col>0</xdr:col>
      <xdr:colOff>419100</xdr:colOff>
      <xdr:row>15</xdr:row>
      <xdr:rowOff>66675</xdr:rowOff>
    </xdr:from>
    <xdr:to>
      <xdr:col>4</xdr:col>
      <xdr:colOff>352425</xdr:colOff>
      <xdr:row>18</xdr:row>
      <xdr:rowOff>104775</xdr:rowOff>
    </xdr:to>
    <xdr:sp macro="" textlink="">
      <xdr:nvSpPr>
        <xdr:cNvPr id="14" name="Rectangle: Rounded Corners 13">
          <a:extLst>
            <a:ext uri="{FF2B5EF4-FFF2-40B4-BE49-F238E27FC236}">
              <a16:creationId xmlns:a16="http://schemas.microsoft.com/office/drawing/2014/main" id="{E3746B96-7E24-479F-87D3-042CC993A214}"/>
            </a:ext>
          </a:extLst>
        </xdr:cNvPr>
        <xdr:cNvSpPr/>
      </xdr:nvSpPr>
      <xdr:spPr>
        <a:xfrm>
          <a:off x="419100" y="29241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SALLESMANS</a:t>
          </a:r>
        </a:p>
      </xdr:txBody>
    </xdr:sp>
    <xdr:clientData/>
  </xdr:twoCellAnchor>
  <xdr:twoCellAnchor>
    <xdr:from>
      <xdr:col>0</xdr:col>
      <xdr:colOff>428625</xdr:colOff>
      <xdr:row>19</xdr:row>
      <xdr:rowOff>19050</xdr:rowOff>
    </xdr:from>
    <xdr:to>
      <xdr:col>4</xdr:col>
      <xdr:colOff>361950</xdr:colOff>
      <xdr:row>22</xdr:row>
      <xdr:rowOff>57150</xdr:rowOff>
    </xdr:to>
    <xdr:sp macro="" textlink="">
      <xdr:nvSpPr>
        <xdr:cNvPr id="15" name="Rectangle: Rounded Corners 14">
          <a:extLst>
            <a:ext uri="{FF2B5EF4-FFF2-40B4-BE49-F238E27FC236}">
              <a16:creationId xmlns:a16="http://schemas.microsoft.com/office/drawing/2014/main" id="{E94BA409-14F3-4CD8-976F-92BA0E7127BC}"/>
            </a:ext>
          </a:extLst>
        </xdr:cNvPr>
        <xdr:cNvSpPr/>
      </xdr:nvSpPr>
      <xdr:spPr>
        <a:xfrm>
          <a:off x="428625" y="3638550"/>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ABOUT</a:t>
          </a:r>
        </a:p>
      </xdr:txBody>
    </xdr:sp>
    <xdr:clientData/>
  </xdr:twoCellAnchor>
  <xdr:twoCellAnchor>
    <xdr:from>
      <xdr:col>5</xdr:col>
      <xdr:colOff>190500</xdr:colOff>
      <xdr:row>19</xdr:row>
      <xdr:rowOff>0</xdr:rowOff>
    </xdr:from>
    <xdr:to>
      <xdr:col>11</xdr:col>
      <xdr:colOff>476250</xdr:colOff>
      <xdr:row>27</xdr:row>
      <xdr:rowOff>0</xdr:rowOff>
    </xdr:to>
    <xdr:graphicFrame macro="">
      <xdr:nvGraphicFramePr>
        <xdr:cNvPr id="16" name="Chart 15">
          <a:extLst>
            <a:ext uri="{FF2B5EF4-FFF2-40B4-BE49-F238E27FC236}">
              <a16:creationId xmlns:a16="http://schemas.microsoft.com/office/drawing/2014/main" id="{F541BD1A-ACF2-4BF7-8100-6CAF063D1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581025</xdr:colOff>
      <xdr:row>1</xdr:row>
      <xdr:rowOff>142875</xdr:rowOff>
    </xdr:from>
    <xdr:to>
      <xdr:col>12</xdr:col>
      <xdr:colOff>266700</xdr:colOff>
      <xdr:row>8</xdr:row>
      <xdr:rowOff>142875</xdr:rowOff>
    </xdr:to>
    <mc:AlternateContent xmlns:mc="http://schemas.openxmlformats.org/markup-compatibility/2006" xmlns:tsle="http://schemas.microsoft.com/office/drawing/2012/timeslicer">
      <mc:Choice Requires="tsle">
        <xdr:graphicFrame macro="">
          <xdr:nvGraphicFramePr>
            <xdr:cNvPr id="17" name="Date 1">
              <a:extLst>
                <a:ext uri="{FF2B5EF4-FFF2-40B4-BE49-F238E27FC236}">
                  <a16:creationId xmlns:a16="http://schemas.microsoft.com/office/drawing/2014/main" id="{5BD4F6BF-8FF3-40F8-A5F8-35B46C27707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019425" y="333375"/>
              <a:ext cx="4562475"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295274</xdr:colOff>
      <xdr:row>1</xdr:row>
      <xdr:rowOff>142874</xdr:rowOff>
    </xdr:from>
    <xdr:to>
      <xdr:col>19</xdr:col>
      <xdr:colOff>581025</xdr:colOff>
      <xdr:row>8</xdr:row>
      <xdr:rowOff>142875</xdr:rowOff>
    </xdr:to>
    <mc:AlternateContent xmlns:mc="http://schemas.openxmlformats.org/markup-compatibility/2006" xmlns:a14="http://schemas.microsoft.com/office/drawing/2010/main">
      <mc:Choice Requires="a14">
        <xdr:graphicFrame macro="">
          <xdr:nvGraphicFramePr>
            <xdr:cNvPr id="18" name="Item 1">
              <a:extLst>
                <a:ext uri="{FF2B5EF4-FFF2-40B4-BE49-F238E27FC236}">
                  <a16:creationId xmlns:a16="http://schemas.microsoft.com/office/drawing/2014/main" id="{48B459D7-A254-41D3-BAF0-42412DA5B76F}"/>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7610474" y="333374"/>
              <a:ext cx="4552951"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523874</xdr:colOff>
      <xdr:row>20</xdr:row>
      <xdr:rowOff>152400</xdr:rowOff>
    </xdr:from>
    <xdr:to>
      <xdr:col>20</xdr:col>
      <xdr:colOff>0</xdr:colOff>
      <xdr:row>27</xdr:row>
      <xdr:rowOff>142874</xdr:rowOff>
    </xdr:to>
    <xdr:sp macro="" textlink="">
      <xdr:nvSpPr>
        <xdr:cNvPr id="19" name="Rectangle: Rounded Corners 18">
          <a:extLst>
            <a:ext uri="{FF2B5EF4-FFF2-40B4-BE49-F238E27FC236}">
              <a16:creationId xmlns:a16="http://schemas.microsoft.com/office/drawing/2014/main" id="{F83E6437-266D-4EFF-89D6-EF95819F2E5D}"/>
            </a:ext>
          </a:extLst>
        </xdr:cNvPr>
        <xdr:cNvSpPr/>
      </xdr:nvSpPr>
      <xdr:spPr>
        <a:xfrm>
          <a:off x="7229474" y="3962400"/>
          <a:ext cx="4962526"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Top</a:t>
          </a:r>
          <a:r>
            <a:rPr lang="en-IN" sz="1800" b="1" baseline="0">
              <a:solidFill>
                <a:sysClr val="windowText" lastClr="000000"/>
              </a:solidFill>
            </a:rPr>
            <a:t> 3 less selling Products</a:t>
          </a:r>
          <a:endParaRPr lang="en-IN" sz="1800" b="1">
            <a:solidFill>
              <a:sysClr val="windowText" lastClr="000000"/>
            </a:solidFill>
          </a:endParaRPr>
        </a:p>
      </xdr:txBody>
    </xdr:sp>
    <xdr:clientData/>
  </xdr:twoCellAnchor>
  <xdr:twoCellAnchor>
    <xdr:from>
      <xdr:col>7</xdr:col>
      <xdr:colOff>428625</xdr:colOff>
      <xdr:row>9</xdr:row>
      <xdr:rowOff>85725</xdr:rowOff>
    </xdr:from>
    <xdr:to>
      <xdr:col>16</xdr:col>
      <xdr:colOff>238125</xdr:colOff>
      <xdr:row>12</xdr:row>
      <xdr:rowOff>123825</xdr:rowOff>
    </xdr:to>
    <xdr:sp macro="" textlink="">
      <xdr:nvSpPr>
        <xdr:cNvPr id="23" name="Rectangle: Rounded Corners 22">
          <a:extLst>
            <a:ext uri="{FF2B5EF4-FFF2-40B4-BE49-F238E27FC236}">
              <a16:creationId xmlns:a16="http://schemas.microsoft.com/office/drawing/2014/main" id="{6663EEF2-9630-409C-B2E5-E642B287F349}"/>
            </a:ext>
          </a:extLst>
        </xdr:cNvPr>
        <xdr:cNvSpPr/>
      </xdr:nvSpPr>
      <xdr:spPr>
        <a:xfrm>
          <a:off x="4695825" y="1800225"/>
          <a:ext cx="5295900" cy="609600"/>
        </a:xfrm>
        <a:prstGeom prst="roundRect">
          <a:avLst>
            <a:gd name="adj" fmla="val 18229"/>
          </a:avLst>
        </a:prstGeom>
        <a:solidFill>
          <a:sysClr val="window" lastClr="FFFFFF"/>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BURGER</a:t>
          </a:r>
          <a:r>
            <a:rPr lang="en-IN" sz="2800" b="1" baseline="0">
              <a:solidFill>
                <a:sysClr val="windowText" lastClr="000000"/>
              </a:solidFill>
            </a:rPr>
            <a:t> KING PUNE</a:t>
          </a:r>
          <a:endParaRPr lang="en-IN" sz="2800" b="1">
            <a:solidFill>
              <a:sysClr val="windowText" lastClr="000000"/>
            </a:solidFill>
          </a:endParaRPr>
        </a:p>
      </xdr:txBody>
    </xdr:sp>
    <xdr:clientData/>
  </xdr:twoCellAnchor>
  <xdr:twoCellAnchor editAs="oneCell">
    <xdr:from>
      <xdr:col>8</xdr:col>
      <xdr:colOff>342901</xdr:colOff>
      <xdr:row>9</xdr:row>
      <xdr:rowOff>38101</xdr:rowOff>
    </xdr:from>
    <xdr:to>
      <xdr:col>9</xdr:col>
      <xdr:colOff>361951</xdr:colOff>
      <xdr:row>12</xdr:row>
      <xdr:rowOff>95251</xdr:rowOff>
    </xdr:to>
    <xdr:pic>
      <xdr:nvPicPr>
        <xdr:cNvPr id="24" name="Graphic 23" descr="Burger and drink with solid fill">
          <a:extLst>
            <a:ext uri="{FF2B5EF4-FFF2-40B4-BE49-F238E27FC236}">
              <a16:creationId xmlns:a16="http://schemas.microsoft.com/office/drawing/2014/main" id="{8FCAD057-CB69-4962-8301-EE7438A174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5219701" y="1752601"/>
          <a:ext cx="628650" cy="628650"/>
        </a:xfrm>
        <a:prstGeom prst="rect">
          <a:avLst/>
        </a:prstGeom>
      </xdr:spPr>
    </xdr:pic>
    <xdr:clientData/>
  </xdr:twoCellAnchor>
  <xdr:twoCellAnchor>
    <xdr:from>
      <xdr:col>12</xdr:col>
      <xdr:colOff>180975</xdr:colOff>
      <xdr:row>15</xdr:row>
      <xdr:rowOff>95250</xdr:rowOff>
    </xdr:from>
    <xdr:to>
      <xdr:col>19</xdr:col>
      <xdr:colOff>581025</xdr:colOff>
      <xdr:row>19</xdr:row>
      <xdr:rowOff>171450</xdr:rowOff>
    </xdr:to>
    <xdr:graphicFrame macro="">
      <xdr:nvGraphicFramePr>
        <xdr:cNvPr id="25" name="Chart 24">
          <a:extLst>
            <a:ext uri="{FF2B5EF4-FFF2-40B4-BE49-F238E27FC236}">
              <a16:creationId xmlns:a16="http://schemas.microsoft.com/office/drawing/2014/main" id="{A502A8A1-47EE-4BA1-B9C8-F3B88C1B5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142876</xdr:colOff>
      <xdr:row>22</xdr:row>
      <xdr:rowOff>114300</xdr:rowOff>
    </xdr:from>
    <xdr:to>
      <xdr:col>19</xdr:col>
      <xdr:colOff>447676</xdr:colOff>
      <xdr:row>27</xdr:row>
      <xdr:rowOff>152400</xdr:rowOff>
    </xdr:to>
    <xdr:graphicFrame macro="">
      <xdr:nvGraphicFramePr>
        <xdr:cNvPr id="26" name="Chart 25">
          <a:extLst>
            <a:ext uri="{FF2B5EF4-FFF2-40B4-BE49-F238E27FC236}">
              <a16:creationId xmlns:a16="http://schemas.microsoft.com/office/drawing/2014/main" id="{FEDFE61E-9EC7-4467-A11E-11394C34B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85725</xdr:colOff>
      <xdr:row>15</xdr:row>
      <xdr:rowOff>161924</xdr:rowOff>
    </xdr:from>
    <xdr:to>
      <xdr:col>11</xdr:col>
      <xdr:colOff>304799</xdr:colOff>
      <xdr:row>27</xdr:row>
      <xdr:rowOff>123825</xdr:rowOff>
    </xdr:to>
    <xdr:graphicFrame macro="">
      <xdr:nvGraphicFramePr>
        <xdr:cNvPr id="27" name="Chart 26">
          <a:extLst>
            <a:ext uri="{FF2B5EF4-FFF2-40B4-BE49-F238E27FC236}">
              <a16:creationId xmlns:a16="http://schemas.microsoft.com/office/drawing/2014/main" id="{D7826626-8C82-45AE-A21E-929AE90E2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0</xdr:row>
      <xdr:rowOff>180975</xdr:rowOff>
    </xdr:from>
    <xdr:to>
      <xdr:col>20</xdr:col>
      <xdr:colOff>123825</xdr:colOff>
      <xdr:row>28</xdr:row>
      <xdr:rowOff>133350</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4E9ED7CA-3470-49F5-8148-FEA106743536}"/>
            </a:ext>
          </a:extLst>
        </xdr:cNvPr>
        <xdr:cNvSpPr/>
      </xdr:nvSpPr>
      <xdr:spPr>
        <a:xfrm>
          <a:off x="228600" y="180975"/>
          <a:ext cx="12087225" cy="5286375"/>
        </a:xfrm>
        <a:prstGeom prst="roundRect">
          <a:avLst>
            <a:gd name="adj" fmla="val 2433"/>
          </a:avLst>
        </a:prstGeom>
        <a:solidFill>
          <a:srgbClr val="7030A0"/>
        </a:solidFill>
        <a:ln w="12700">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476250</xdr:colOff>
      <xdr:row>1</xdr:row>
      <xdr:rowOff>95250</xdr:rowOff>
    </xdr:from>
    <xdr:to>
      <xdr:col>20</xdr:col>
      <xdr:colOff>66676</xdr:colOff>
      <xdr:row>28</xdr:row>
      <xdr:rowOff>57149</xdr:rowOff>
    </xdr:to>
    <xdr:sp macro="" textlink="">
      <xdr:nvSpPr>
        <xdr:cNvPr id="4" name="Rectangle: Rounded Corners 3">
          <a:extLst>
            <a:ext uri="{FF2B5EF4-FFF2-40B4-BE49-F238E27FC236}">
              <a16:creationId xmlns:a16="http://schemas.microsoft.com/office/drawing/2014/main" id="{14F47C20-784D-44C2-B006-E7BFEDCF63B1}"/>
            </a:ext>
          </a:extLst>
        </xdr:cNvPr>
        <xdr:cNvSpPr/>
      </xdr:nvSpPr>
      <xdr:spPr>
        <a:xfrm>
          <a:off x="2914650" y="285750"/>
          <a:ext cx="9344026" cy="5105399"/>
        </a:xfrm>
        <a:prstGeom prst="roundRect">
          <a:avLst>
            <a:gd name="adj" fmla="val 2433"/>
          </a:avLst>
        </a:prstGeom>
        <a:solidFill>
          <a:srgbClr val="D1B6F4"/>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4</xdr:col>
      <xdr:colOff>590551</xdr:colOff>
      <xdr:row>18</xdr:row>
      <xdr:rowOff>9525</xdr:rowOff>
    </xdr:from>
    <xdr:to>
      <xdr:col>11</xdr:col>
      <xdr:colOff>476251</xdr:colOff>
      <xdr:row>28</xdr:row>
      <xdr:rowOff>19050</xdr:rowOff>
    </xdr:to>
    <xdr:sp macro="" textlink="">
      <xdr:nvSpPr>
        <xdr:cNvPr id="6" name="Rectangle: Rounded Corners 5">
          <a:extLst>
            <a:ext uri="{FF2B5EF4-FFF2-40B4-BE49-F238E27FC236}">
              <a16:creationId xmlns:a16="http://schemas.microsoft.com/office/drawing/2014/main" id="{409AFEC8-17CA-4EF4-8CE9-8966E71EC748}"/>
            </a:ext>
          </a:extLst>
        </xdr:cNvPr>
        <xdr:cNvSpPr/>
      </xdr:nvSpPr>
      <xdr:spPr>
        <a:xfrm>
          <a:off x="3028951" y="3438525"/>
          <a:ext cx="4152900" cy="1914525"/>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 By Products</a:t>
          </a:r>
        </a:p>
      </xdr:txBody>
    </xdr:sp>
    <xdr:clientData/>
  </xdr:twoCellAnchor>
  <xdr:twoCellAnchor>
    <xdr:from>
      <xdr:col>11</xdr:col>
      <xdr:colOff>523873</xdr:colOff>
      <xdr:row>13</xdr:row>
      <xdr:rowOff>85725</xdr:rowOff>
    </xdr:from>
    <xdr:to>
      <xdr:col>19</xdr:col>
      <xdr:colOff>581024</xdr:colOff>
      <xdr:row>20</xdr:row>
      <xdr:rowOff>76199</xdr:rowOff>
    </xdr:to>
    <xdr:sp macro="" textlink="">
      <xdr:nvSpPr>
        <xdr:cNvPr id="7" name="Rectangle: Rounded Corners 6">
          <a:extLst>
            <a:ext uri="{FF2B5EF4-FFF2-40B4-BE49-F238E27FC236}">
              <a16:creationId xmlns:a16="http://schemas.microsoft.com/office/drawing/2014/main" id="{F8477AD6-256A-42C3-AAD7-393B7694F6CF}"/>
            </a:ext>
          </a:extLst>
        </xdr:cNvPr>
        <xdr:cNvSpPr/>
      </xdr:nvSpPr>
      <xdr:spPr>
        <a:xfrm>
          <a:off x="7229473" y="2562225"/>
          <a:ext cx="4933951"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 By Month</a:t>
          </a:r>
        </a:p>
      </xdr:txBody>
    </xdr:sp>
    <xdr:clientData/>
  </xdr:twoCellAnchor>
  <xdr:twoCellAnchor>
    <xdr:from>
      <xdr:col>4</xdr:col>
      <xdr:colOff>590550</xdr:colOff>
      <xdr:row>13</xdr:row>
      <xdr:rowOff>85725</xdr:rowOff>
    </xdr:from>
    <xdr:to>
      <xdr:col>8</xdr:col>
      <xdr:colOff>180975</xdr:colOff>
      <xdr:row>17</xdr:row>
      <xdr:rowOff>114300</xdr:rowOff>
    </xdr:to>
    <xdr:sp macro="" textlink="">
      <xdr:nvSpPr>
        <xdr:cNvPr id="11" name="Rectangle: Rounded Corners 10">
          <a:extLst>
            <a:ext uri="{FF2B5EF4-FFF2-40B4-BE49-F238E27FC236}">
              <a16:creationId xmlns:a16="http://schemas.microsoft.com/office/drawing/2014/main" id="{A619907B-67E0-4170-9D59-E13254E7AE5C}"/>
            </a:ext>
          </a:extLst>
        </xdr:cNvPr>
        <xdr:cNvSpPr/>
      </xdr:nvSpPr>
      <xdr:spPr>
        <a:xfrm>
          <a:off x="3028950" y="2562225"/>
          <a:ext cx="2028825" cy="790575"/>
        </a:xfrm>
        <a:prstGeom prst="roundRect">
          <a:avLst>
            <a:gd name="adj" fmla="val 10809"/>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ysClr val="windowText" lastClr="000000"/>
            </a:solidFill>
          </a:endParaRPr>
        </a:p>
      </xdr:txBody>
    </xdr:sp>
    <xdr:clientData/>
  </xdr:twoCellAnchor>
  <xdr:twoCellAnchor>
    <xdr:from>
      <xdr:col>8</xdr:col>
      <xdr:colOff>257175</xdr:colOff>
      <xdr:row>13</xdr:row>
      <xdr:rowOff>95250</xdr:rowOff>
    </xdr:from>
    <xdr:to>
      <xdr:col>11</xdr:col>
      <xdr:colOff>457200</xdr:colOff>
      <xdr:row>17</xdr:row>
      <xdr:rowOff>123825</xdr:rowOff>
    </xdr:to>
    <xdr:sp macro="" textlink="">
      <xdr:nvSpPr>
        <xdr:cNvPr id="12" name="Rectangle: Rounded Corners 11">
          <a:extLst>
            <a:ext uri="{FF2B5EF4-FFF2-40B4-BE49-F238E27FC236}">
              <a16:creationId xmlns:a16="http://schemas.microsoft.com/office/drawing/2014/main" id="{CB87B498-35CD-4D39-9F93-5347ADEE24BD}"/>
            </a:ext>
          </a:extLst>
        </xdr:cNvPr>
        <xdr:cNvSpPr/>
      </xdr:nvSpPr>
      <xdr:spPr>
        <a:xfrm>
          <a:off x="5133975" y="2571750"/>
          <a:ext cx="2028825" cy="790575"/>
        </a:xfrm>
        <a:prstGeom prst="roundRect">
          <a:avLst>
            <a:gd name="adj" fmla="val 10809"/>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b="1">
            <a:solidFill>
              <a:sysClr val="windowText" lastClr="000000"/>
            </a:solidFill>
          </a:endParaRPr>
        </a:p>
      </xdr:txBody>
    </xdr:sp>
    <xdr:clientData/>
  </xdr:twoCellAnchor>
  <xdr:twoCellAnchor>
    <xdr:from>
      <xdr:col>5</xdr:col>
      <xdr:colOff>114301</xdr:colOff>
      <xdr:row>13</xdr:row>
      <xdr:rowOff>85725</xdr:rowOff>
    </xdr:from>
    <xdr:to>
      <xdr:col>8</xdr:col>
      <xdr:colOff>190500</xdr:colOff>
      <xdr:row>17</xdr:row>
      <xdr:rowOff>114300</xdr:rowOff>
    </xdr:to>
    <xdr:sp macro="" textlink="">
      <xdr:nvSpPr>
        <xdr:cNvPr id="15" name="Rectangle: Rounded Corners 14">
          <a:extLst>
            <a:ext uri="{FF2B5EF4-FFF2-40B4-BE49-F238E27FC236}">
              <a16:creationId xmlns:a16="http://schemas.microsoft.com/office/drawing/2014/main" id="{8288A2B5-EC83-4D15-88BE-22D63EA6B35E}"/>
            </a:ext>
          </a:extLst>
        </xdr:cNvPr>
        <xdr:cNvSpPr/>
      </xdr:nvSpPr>
      <xdr:spPr>
        <a:xfrm>
          <a:off x="3162301" y="2562225"/>
          <a:ext cx="1904999" cy="790575"/>
        </a:xfrm>
        <a:prstGeom prst="roundRect">
          <a:avLst>
            <a:gd name="adj" fmla="val 1080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a:solidFill>
                <a:sysClr val="windowText" lastClr="000000"/>
              </a:solidFill>
              <a:effectLst/>
              <a:latin typeface="+mn-lt"/>
              <a:ea typeface="+mn-ea"/>
              <a:cs typeface="+mn-cs"/>
            </a:rPr>
            <a:t>        </a:t>
          </a:r>
          <a:r>
            <a:rPr lang="en-IN" sz="1600" b="1">
              <a:solidFill>
                <a:sysClr val="windowText" lastClr="000000"/>
              </a:solidFill>
              <a:effectLst/>
              <a:latin typeface="+mn-lt"/>
              <a:ea typeface="+mn-ea"/>
              <a:cs typeface="+mn-cs"/>
            </a:rPr>
            <a:t>Total</a:t>
          </a:r>
          <a:r>
            <a:rPr lang="en-IN" sz="1600" b="1" baseline="0">
              <a:solidFill>
                <a:sysClr val="windowText" lastClr="000000"/>
              </a:solidFill>
              <a:effectLst/>
              <a:latin typeface="+mn-lt"/>
              <a:ea typeface="+mn-ea"/>
              <a:cs typeface="+mn-cs"/>
            </a:rPr>
            <a:t> Amount</a:t>
          </a: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solidFill>
                <a:sysClr val="windowText" lastClr="000000"/>
              </a:solidFill>
              <a:effectLst/>
              <a:latin typeface="+mn-lt"/>
              <a:ea typeface="+mn-ea"/>
              <a:cs typeface="+mn-cs"/>
            </a:rPr>
            <a:t> </a:t>
          </a:r>
          <a:r>
            <a:rPr lang="en-IN" sz="2000" b="1" i="0" u="none" strike="noStrike">
              <a:solidFill>
                <a:sysClr val="windowText" lastClr="000000"/>
              </a:solidFill>
              <a:effectLst/>
              <a:latin typeface="+mn-lt"/>
              <a:ea typeface="+mn-ea"/>
              <a:cs typeface="+mn-cs"/>
            </a:rPr>
            <a:t>68569</a:t>
          </a:r>
          <a:r>
            <a:rPr lang="en-IN" sz="2000">
              <a:solidFill>
                <a:sysClr val="windowText" lastClr="000000"/>
              </a:solidFill>
            </a:rPr>
            <a:t> </a:t>
          </a:r>
          <a:endParaRPr lang="en-IN" sz="2000" b="1">
            <a:solidFill>
              <a:sysClr val="windowText" lastClr="000000"/>
            </a:solidFill>
            <a:effectLst/>
          </a:endParaRPr>
        </a:p>
        <a:p>
          <a:pPr algn="ctr"/>
          <a:endParaRPr lang="en-IN" sz="2400" b="1">
            <a:solidFill>
              <a:sysClr val="windowText" lastClr="000000"/>
            </a:solidFill>
          </a:endParaRPr>
        </a:p>
      </xdr:txBody>
    </xdr:sp>
    <xdr:clientData/>
  </xdr:twoCellAnchor>
  <xdr:twoCellAnchor>
    <xdr:from>
      <xdr:col>8</xdr:col>
      <xdr:colOff>390526</xdr:colOff>
      <xdr:row>13</xdr:row>
      <xdr:rowOff>95250</xdr:rowOff>
    </xdr:from>
    <xdr:to>
      <xdr:col>11</xdr:col>
      <xdr:colOff>466726</xdr:colOff>
      <xdr:row>17</xdr:row>
      <xdr:rowOff>123825</xdr:rowOff>
    </xdr:to>
    <xdr:sp macro="" textlink="">
      <xdr:nvSpPr>
        <xdr:cNvPr id="16" name="Rectangle: Rounded Corners 15">
          <a:extLst>
            <a:ext uri="{FF2B5EF4-FFF2-40B4-BE49-F238E27FC236}">
              <a16:creationId xmlns:a16="http://schemas.microsoft.com/office/drawing/2014/main" id="{C2347364-FAB0-48A2-98EC-691AAC7410BA}"/>
            </a:ext>
          </a:extLst>
        </xdr:cNvPr>
        <xdr:cNvSpPr/>
      </xdr:nvSpPr>
      <xdr:spPr>
        <a:xfrm>
          <a:off x="5267326" y="2571750"/>
          <a:ext cx="1905000" cy="790575"/>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              Total Sales</a:t>
          </a:r>
        </a:p>
        <a:p>
          <a:pPr algn="ctr"/>
          <a:r>
            <a:rPr lang="en-IN" sz="1600" b="1" i="0" u="none" strike="noStrike">
              <a:solidFill>
                <a:sysClr val="windowText" lastClr="000000"/>
              </a:solidFill>
              <a:effectLst/>
              <a:latin typeface="+mn-lt"/>
              <a:ea typeface="+mn-ea"/>
              <a:cs typeface="+mn-cs"/>
            </a:rPr>
            <a:t>         </a:t>
          </a:r>
          <a:r>
            <a:rPr lang="en-IN" sz="2000" b="1" i="0" u="none" strike="noStrike">
              <a:solidFill>
                <a:sysClr val="windowText" lastClr="000000"/>
              </a:solidFill>
              <a:effectLst/>
              <a:latin typeface="+mn-lt"/>
              <a:ea typeface="+mn-ea"/>
              <a:cs typeface="+mn-cs"/>
            </a:rPr>
            <a:t>3329</a:t>
          </a:r>
          <a:r>
            <a:rPr lang="en-IN" sz="1600">
              <a:solidFill>
                <a:sysClr val="windowText" lastClr="000000"/>
              </a:solidFill>
            </a:rPr>
            <a:t> </a:t>
          </a:r>
          <a:endParaRPr lang="en-IN" sz="1600" b="1">
            <a:solidFill>
              <a:sysClr val="windowText" lastClr="000000"/>
            </a:solidFill>
          </a:endParaRPr>
        </a:p>
      </xdr:txBody>
    </xdr:sp>
    <xdr:clientData/>
  </xdr:twoCellAnchor>
  <xdr:twoCellAnchor editAs="oneCell">
    <xdr:from>
      <xdr:col>5</xdr:col>
      <xdr:colOff>180975</xdr:colOff>
      <xdr:row>13</xdr:row>
      <xdr:rowOff>123825</xdr:rowOff>
    </xdr:from>
    <xdr:to>
      <xdr:col>5</xdr:col>
      <xdr:colOff>552450</xdr:colOff>
      <xdr:row>15</xdr:row>
      <xdr:rowOff>114300</xdr:rowOff>
    </xdr:to>
    <xdr:pic>
      <xdr:nvPicPr>
        <xdr:cNvPr id="18" name="Graphic 17" descr="Money with solid fill">
          <a:extLst>
            <a:ext uri="{FF2B5EF4-FFF2-40B4-BE49-F238E27FC236}">
              <a16:creationId xmlns:a16="http://schemas.microsoft.com/office/drawing/2014/main" id="{B1C3632A-88C5-4342-A355-42D9FD80D8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228975" y="2600325"/>
          <a:ext cx="371475" cy="371475"/>
        </a:xfrm>
        <a:prstGeom prst="rect">
          <a:avLst/>
        </a:prstGeom>
      </xdr:spPr>
    </xdr:pic>
    <xdr:clientData/>
  </xdr:twoCellAnchor>
  <xdr:twoCellAnchor editAs="oneCell">
    <xdr:from>
      <xdr:col>8</xdr:col>
      <xdr:colOff>476251</xdr:colOff>
      <xdr:row>13</xdr:row>
      <xdr:rowOff>57150</xdr:rowOff>
    </xdr:from>
    <xdr:to>
      <xdr:col>9</xdr:col>
      <xdr:colOff>447676</xdr:colOff>
      <xdr:row>16</xdr:row>
      <xdr:rowOff>66675</xdr:rowOff>
    </xdr:to>
    <xdr:pic>
      <xdr:nvPicPr>
        <xdr:cNvPr id="20" name="Graphic 19" descr="Business Growth with solid fill">
          <a:extLst>
            <a:ext uri="{FF2B5EF4-FFF2-40B4-BE49-F238E27FC236}">
              <a16:creationId xmlns:a16="http://schemas.microsoft.com/office/drawing/2014/main" id="{99EFFA96-3C79-4783-B833-5D5AE7C6B32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353051" y="2533650"/>
          <a:ext cx="581025" cy="581025"/>
        </a:xfrm>
        <a:prstGeom prst="rect">
          <a:avLst/>
        </a:prstGeom>
      </xdr:spPr>
    </xdr:pic>
    <xdr:clientData/>
  </xdr:twoCellAnchor>
  <xdr:twoCellAnchor>
    <xdr:from>
      <xdr:col>0</xdr:col>
      <xdr:colOff>400050</xdr:colOff>
      <xdr:row>7</xdr:row>
      <xdr:rowOff>123825</xdr:rowOff>
    </xdr:from>
    <xdr:to>
      <xdr:col>4</xdr:col>
      <xdr:colOff>333375</xdr:colOff>
      <xdr:row>10</xdr:row>
      <xdr:rowOff>161925</xdr:rowOff>
    </xdr:to>
    <xdr:sp macro="" textlink="">
      <xdr:nvSpPr>
        <xdr:cNvPr id="22" name="Rectangle: Rounded Corners 21">
          <a:extLst>
            <a:ext uri="{FF2B5EF4-FFF2-40B4-BE49-F238E27FC236}">
              <a16:creationId xmlns:a16="http://schemas.microsoft.com/office/drawing/2014/main" id="{57CD38A6-F62B-40D2-BA0A-B4114F416457}"/>
            </a:ext>
          </a:extLst>
        </xdr:cNvPr>
        <xdr:cNvSpPr/>
      </xdr:nvSpPr>
      <xdr:spPr>
        <a:xfrm>
          <a:off x="400050" y="1457325"/>
          <a:ext cx="2371725" cy="609600"/>
        </a:xfrm>
        <a:prstGeom prst="roundRect">
          <a:avLst>
            <a:gd name="adj" fmla="val 30729"/>
          </a:avLst>
        </a:prstGeom>
        <a:solidFill>
          <a:sysClr val="window" lastClr="FFFFFF"/>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ysClr val="windowText" lastClr="000000"/>
              </a:solidFill>
            </a:rPr>
            <a:t>DASHBOARD</a:t>
          </a:r>
        </a:p>
      </xdr:txBody>
    </xdr:sp>
    <xdr:clientData/>
  </xdr:twoCellAnchor>
  <xdr:twoCellAnchor>
    <xdr:from>
      <xdr:col>0</xdr:col>
      <xdr:colOff>419100</xdr:colOff>
      <xdr:row>11</xdr:row>
      <xdr:rowOff>104775</xdr:rowOff>
    </xdr:from>
    <xdr:to>
      <xdr:col>4</xdr:col>
      <xdr:colOff>352425</xdr:colOff>
      <xdr:row>14</xdr:row>
      <xdr:rowOff>142875</xdr:rowOff>
    </xdr:to>
    <xdr:sp macro="" textlink="">
      <xdr:nvSpPr>
        <xdr:cNvPr id="23" name="Rectangle: Rounded Corners 22">
          <a:extLst>
            <a:ext uri="{FF2B5EF4-FFF2-40B4-BE49-F238E27FC236}">
              <a16:creationId xmlns:a16="http://schemas.microsoft.com/office/drawing/2014/main" id="{E6A646A2-C904-4E3E-8D8D-528F5A170FC3}"/>
            </a:ext>
          </a:extLst>
        </xdr:cNvPr>
        <xdr:cNvSpPr/>
      </xdr:nvSpPr>
      <xdr:spPr>
        <a:xfrm>
          <a:off x="419100" y="22002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PRODUCTS</a:t>
          </a:r>
        </a:p>
      </xdr:txBody>
    </xdr:sp>
    <xdr:clientData/>
  </xdr:twoCellAnchor>
  <xdr:twoCellAnchor>
    <xdr:from>
      <xdr:col>0</xdr:col>
      <xdr:colOff>419100</xdr:colOff>
      <xdr:row>15</xdr:row>
      <xdr:rowOff>66675</xdr:rowOff>
    </xdr:from>
    <xdr:to>
      <xdr:col>4</xdr:col>
      <xdr:colOff>352425</xdr:colOff>
      <xdr:row>18</xdr:row>
      <xdr:rowOff>104775</xdr:rowOff>
    </xdr:to>
    <xdr:sp macro="" textlink="">
      <xdr:nvSpPr>
        <xdr:cNvPr id="24" name="Rectangle: Rounded Corners 23">
          <a:extLst>
            <a:ext uri="{FF2B5EF4-FFF2-40B4-BE49-F238E27FC236}">
              <a16:creationId xmlns:a16="http://schemas.microsoft.com/office/drawing/2014/main" id="{14178A96-DDBF-4F51-8D9D-0A40F450DAAF}"/>
            </a:ext>
          </a:extLst>
        </xdr:cNvPr>
        <xdr:cNvSpPr/>
      </xdr:nvSpPr>
      <xdr:spPr>
        <a:xfrm>
          <a:off x="419100" y="2924175"/>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SERVED</a:t>
          </a:r>
          <a:r>
            <a:rPr lang="en-IN" sz="2000" b="1" baseline="0">
              <a:solidFill>
                <a:schemeClr val="bg1"/>
              </a:solidFill>
            </a:rPr>
            <a:t> BY</a:t>
          </a:r>
          <a:endParaRPr lang="en-IN" sz="2000" b="1">
            <a:solidFill>
              <a:schemeClr val="bg1"/>
            </a:solidFill>
          </a:endParaRPr>
        </a:p>
      </xdr:txBody>
    </xdr:sp>
    <xdr:clientData/>
  </xdr:twoCellAnchor>
  <xdr:twoCellAnchor>
    <xdr:from>
      <xdr:col>0</xdr:col>
      <xdr:colOff>428625</xdr:colOff>
      <xdr:row>19</xdr:row>
      <xdr:rowOff>19050</xdr:rowOff>
    </xdr:from>
    <xdr:to>
      <xdr:col>4</xdr:col>
      <xdr:colOff>361950</xdr:colOff>
      <xdr:row>22</xdr:row>
      <xdr:rowOff>57150</xdr:rowOff>
    </xdr:to>
    <xdr:sp macro="" textlink="">
      <xdr:nvSpPr>
        <xdr:cNvPr id="25" name="Rectangle: Rounded Corners 24">
          <a:extLst>
            <a:ext uri="{FF2B5EF4-FFF2-40B4-BE49-F238E27FC236}">
              <a16:creationId xmlns:a16="http://schemas.microsoft.com/office/drawing/2014/main" id="{3A37D2CC-246B-46CB-8A37-62C44B216E9C}"/>
            </a:ext>
          </a:extLst>
        </xdr:cNvPr>
        <xdr:cNvSpPr/>
      </xdr:nvSpPr>
      <xdr:spPr>
        <a:xfrm>
          <a:off x="428625" y="3638550"/>
          <a:ext cx="2371725" cy="609600"/>
        </a:xfrm>
        <a:prstGeom prst="roundRect">
          <a:avLst>
            <a:gd name="adj" fmla="val 30729"/>
          </a:avLst>
        </a:prstGeom>
        <a:no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ABOUT</a:t>
          </a:r>
        </a:p>
      </xdr:txBody>
    </xdr:sp>
    <xdr:clientData/>
  </xdr:twoCellAnchor>
  <xdr:twoCellAnchor>
    <xdr:from>
      <xdr:col>5</xdr:col>
      <xdr:colOff>190500</xdr:colOff>
      <xdr:row>19</xdr:row>
      <xdr:rowOff>0</xdr:rowOff>
    </xdr:from>
    <xdr:to>
      <xdr:col>11</xdr:col>
      <xdr:colOff>476250</xdr:colOff>
      <xdr:row>27</xdr:row>
      <xdr:rowOff>0</xdr:rowOff>
    </xdr:to>
    <xdr:graphicFrame macro="">
      <xdr:nvGraphicFramePr>
        <xdr:cNvPr id="35" name="Chart 34">
          <a:extLst>
            <a:ext uri="{FF2B5EF4-FFF2-40B4-BE49-F238E27FC236}">
              <a16:creationId xmlns:a16="http://schemas.microsoft.com/office/drawing/2014/main" id="{24C80139-DBCE-46FB-91C0-FE87C9D62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581025</xdr:colOff>
      <xdr:row>1</xdr:row>
      <xdr:rowOff>142875</xdr:rowOff>
    </xdr:from>
    <xdr:to>
      <xdr:col>12</xdr:col>
      <xdr:colOff>266700</xdr:colOff>
      <xdr:row>8</xdr:row>
      <xdr:rowOff>142875</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D3C3EC2B-0EBE-4721-83D2-A855FAA650D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019425" y="333375"/>
              <a:ext cx="4562475"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295274</xdr:colOff>
      <xdr:row>1</xdr:row>
      <xdr:rowOff>142874</xdr:rowOff>
    </xdr:from>
    <xdr:to>
      <xdr:col>19</xdr:col>
      <xdr:colOff>581025</xdr:colOff>
      <xdr:row>8</xdr:row>
      <xdr:rowOff>142875</xdr:rowOff>
    </xdr:to>
    <mc:AlternateContent xmlns:mc="http://schemas.openxmlformats.org/markup-compatibility/2006" xmlns:a14="http://schemas.microsoft.com/office/drawing/2010/main">
      <mc:Choice Requires="a14">
        <xdr:graphicFrame macro="">
          <xdr:nvGraphicFramePr>
            <xdr:cNvPr id="28" name="Item">
              <a:extLst>
                <a:ext uri="{FF2B5EF4-FFF2-40B4-BE49-F238E27FC236}">
                  <a16:creationId xmlns:a16="http://schemas.microsoft.com/office/drawing/2014/main" id="{A5FD2177-A541-40BD-A5E2-CFF80FD03D7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610474" y="333374"/>
              <a:ext cx="4552951"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523874</xdr:colOff>
      <xdr:row>20</xdr:row>
      <xdr:rowOff>152400</xdr:rowOff>
    </xdr:from>
    <xdr:to>
      <xdr:col>20</xdr:col>
      <xdr:colOff>0</xdr:colOff>
      <xdr:row>27</xdr:row>
      <xdr:rowOff>142874</xdr:rowOff>
    </xdr:to>
    <xdr:sp macro="" textlink="">
      <xdr:nvSpPr>
        <xdr:cNvPr id="29" name="Rectangle: Rounded Corners 28">
          <a:extLst>
            <a:ext uri="{FF2B5EF4-FFF2-40B4-BE49-F238E27FC236}">
              <a16:creationId xmlns:a16="http://schemas.microsoft.com/office/drawing/2014/main" id="{41B9403F-3D7D-43DF-9B33-639C1A11C82D}"/>
            </a:ext>
          </a:extLst>
        </xdr:cNvPr>
        <xdr:cNvSpPr/>
      </xdr:nvSpPr>
      <xdr:spPr>
        <a:xfrm>
          <a:off x="7229474" y="3962400"/>
          <a:ext cx="4962526" cy="1323974"/>
        </a:xfrm>
        <a:prstGeom prst="roundRect">
          <a:avLst>
            <a:gd name="adj" fmla="val 1080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ysClr val="windowText" lastClr="000000"/>
              </a:solidFill>
            </a:rPr>
            <a:t>Sale By Years</a:t>
          </a:r>
        </a:p>
      </xdr:txBody>
    </xdr:sp>
    <xdr:clientData/>
  </xdr:twoCellAnchor>
  <xdr:twoCellAnchor>
    <xdr:from>
      <xdr:col>5</xdr:col>
      <xdr:colOff>171451</xdr:colOff>
      <xdr:row>20</xdr:row>
      <xdr:rowOff>19051</xdr:rowOff>
    </xdr:from>
    <xdr:to>
      <xdr:col>11</xdr:col>
      <xdr:colOff>390525</xdr:colOff>
      <xdr:row>27</xdr:row>
      <xdr:rowOff>142875</xdr:rowOff>
    </xdr:to>
    <xdr:graphicFrame macro="">
      <xdr:nvGraphicFramePr>
        <xdr:cNvPr id="30" name="Chart 29">
          <a:extLst>
            <a:ext uri="{FF2B5EF4-FFF2-40B4-BE49-F238E27FC236}">
              <a16:creationId xmlns:a16="http://schemas.microsoft.com/office/drawing/2014/main" id="{AE7A2C9E-03BA-45D6-8E25-B1AC848C1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38098</xdr:colOff>
      <xdr:row>15</xdr:row>
      <xdr:rowOff>85726</xdr:rowOff>
    </xdr:from>
    <xdr:to>
      <xdr:col>19</xdr:col>
      <xdr:colOff>495300</xdr:colOff>
      <xdr:row>19</xdr:row>
      <xdr:rowOff>161926</xdr:rowOff>
    </xdr:to>
    <xdr:graphicFrame macro="">
      <xdr:nvGraphicFramePr>
        <xdr:cNvPr id="37" name="Chart 36">
          <a:extLst>
            <a:ext uri="{FF2B5EF4-FFF2-40B4-BE49-F238E27FC236}">
              <a16:creationId xmlns:a16="http://schemas.microsoft.com/office/drawing/2014/main" id="{FEBFB76B-61FE-4BAA-B0E8-4F2942A01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552450</xdr:colOff>
      <xdr:row>22</xdr:row>
      <xdr:rowOff>123825</xdr:rowOff>
    </xdr:from>
    <xdr:to>
      <xdr:col>19</xdr:col>
      <xdr:colOff>523875</xdr:colOff>
      <xdr:row>27</xdr:row>
      <xdr:rowOff>52386</xdr:rowOff>
    </xdr:to>
    <xdr:graphicFrame macro="">
      <xdr:nvGraphicFramePr>
        <xdr:cNvPr id="40" name="Chart 39">
          <a:extLst>
            <a:ext uri="{FF2B5EF4-FFF2-40B4-BE49-F238E27FC236}">
              <a16:creationId xmlns:a16="http://schemas.microsoft.com/office/drawing/2014/main" id="{6D6D5AD8-93C6-493D-ABA3-13D79949E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428625</xdr:colOff>
      <xdr:row>9</xdr:row>
      <xdr:rowOff>85725</xdr:rowOff>
    </xdr:from>
    <xdr:to>
      <xdr:col>16</xdr:col>
      <xdr:colOff>238125</xdr:colOff>
      <xdr:row>12</xdr:row>
      <xdr:rowOff>123825</xdr:rowOff>
    </xdr:to>
    <xdr:sp macro="" textlink="">
      <xdr:nvSpPr>
        <xdr:cNvPr id="41" name="Rectangle: Rounded Corners 40">
          <a:extLst>
            <a:ext uri="{FF2B5EF4-FFF2-40B4-BE49-F238E27FC236}">
              <a16:creationId xmlns:a16="http://schemas.microsoft.com/office/drawing/2014/main" id="{143694EE-6E46-4C17-9B03-F53F7A8F9058}"/>
            </a:ext>
          </a:extLst>
        </xdr:cNvPr>
        <xdr:cNvSpPr/>
      </xdr:nvSpPr>
      <xdr:spPr>
        <a:xfrm>
          <a:off x="4695825" y="1800225"/>
          <a:ext cx="5295900" cy="609600"/>
        </a:xfrm>
        <a:prstGeom prst="roundRect">
          <a:avLst>
            <a:gd name="adj" fmla="val 18229"/>
          </a:avLst>
        </a:prstGeom>
        <a:solidFill>
          <a:sysClr val="window" lastClr="FFFFFF"/>
        </a:solidFill>
        <a:ln w="19050">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ysClr val="windowText" lastClr="000000"/>
              </a:solidFill>
            </a:rPr>
            <a:t>BURGER</a:t>
          </a:r>
          <a:r>
            <a:rPr lang="en-IN" sz="2800" b="1" baseline="0">
              <a:solidFill>
                <a:sysClr val="windowText" lastClr="000000"/>
              </a:solidFill>
            </a:rPr>
            <a:t> KING PUNE</a:t>
          </a:r>
          <a:endParaRPr lang="en-IN" sz="2800" b="1">
            <a:solidFill>
              <a:sysClr val="windowText" lastClr="000000"/>
            </a:solidFill>
          </a:endParaRPr>
        </a:p>
      </xdr:txBody>
    </xdr:sp>
    <xdr:clientData/>
  </xdr:twoCellAnchor>
  <xdr:twoCellAnchor editAs="oneCell">
    <xdr:from>
      <xdr:col>8</xdr:col>
      <xdr:colOff>342901</xdr:colOff>
      <xdr:row>9</xdr:row>
      <xdr:rowOff>38101</xdr:rowOff>
    </xdr:from>
    <xdr:to>
      <xdr:col>9</xdr:col>
      <xdr:colOff>361951</xdr:colOff>
      <xdr:row>12</xdr:row>
      <xdr:rowOff>95251</xdr:rowOff>
    </xdr:to>
    <xdr:pic>
      <xdr:nvPicPr>
        <xdr:cNvPr id="5" name="Graphic 4" descr="Burger and drink with solid fill">
          <a:extLst>
            <a:ext uri="{FF2B5EF4-FFF2-40B4-BE49-F238E27FC236}">
              <a16:creationId xmlns:a16="http://schemas.microsoft.com/office/drawing/2014/main" id="{1D78B080-6D32-431C-9705-0F2EBD625C3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5219701" y="1752601"/>
          <a:ext cx="628650" cy="6286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4.006976620367" createdVersion="7" refreshedVersion="7" minRefreshableVersion="3" recordCount="2000" xr:uid="{AE89F440-D5E6-47FB-A9C8-D3A388A936D4}">
  <cacheSource type="worksheet">
    <worksheetSource name="Table1_3"/>
  </cacheSource>
  <cacheFields count="16">
    <cacheField name="OrderID" numFmtId="0">
      <sharedItems/>
    </cacheField>
    <cacheField name="Date" numFmtId="14">
      <sharedItems containsSemiMixedTypes="0" containsNonDate="0" containsDate="1" containsString="0" minDate="2024-11-21T00:00:00" maxDate="2025-11-22T00:00:00" count="364">
        <d v="2025-10-14T00:00:00"/>
        <d v="2025-05-23T00:00:00"/>
        <d v="2025-08-21T00:00:00"/>
        <d v="2025-01-30T00:00:00"/>
        <d v="2025-01-14T00:00:00"/>
        <d v="2025-08-29T00:00:00"/>
        <d v="2025-10-29T00:00:00"/>
        <d v="2025-07-05T00:00:00"/>
        <d v="2024-12-20T00:00:00"/>
        <d v="2025-08-06T00:00:00"/>
        <d v="2025-09-03T00:00:00"/>
        <d v="2024-12-26T00:00:00"/>
        <d v="2025-08-09T00:00:00"/>
        <d v="2025-03-13T00:00:00"/>
        <d v="2025-03-21T00:00:00"/>
        <d v="2025-08-27T00:00:00"/>
        <d v="2025-03-30T00:00:00"/>
        <d v="2025-01-15T00:00:00"/>
        <d v="2025-02-19T00:00:00"/>
        <d v="2025-02-26T00:00:00"/>
        <d v="2025-07-26T00:00:00"/>
        <d v="2025-02-06T00:00:00"/>
        <d v="2025-03-19T00:00:00"/>
        <d v="2025-08-24T00:00:00"/>
        <d v="2025-06-18T00:00:00"/>
        <d v="2025-06-21T00:00:00"/>
        <d v="2025-01-24T00:00:00"/>
        <d v="2025-03-17T00:00:00"/>
        <d v="2025-07-17T00:00:00"/>
        <d v="2025-09-27T00:00:00"/>
        <d v="2025-01-18T00:00:00"/>
        <d v="2025-01-19T00:00:00"/>
        <d v="2025-04-11T00:00:00"/>
        <d v="2024-11-28T00:00:00"/>
        <d v="2025-05-04T00:00:00"/>
        <d v="2025-01-03T00:00:00"/>
        <d v="2025-10-05T00:00:00"/>
        <d v="2024-12-17T00:00:00"/>
        <d v="2025-01-26T00:00:00"/>
        <d v="2025-01-12T00:00:00"/>
        <d v="2025-10-22T00:00:00"/>
        <d v="2025-10-03T00:00:00"/>
        <d v="2025-03-03T00:00:00"/>
        <d v="2025-01-10T00:00:00"/>
        <d v="2025-01-16T00:00:00"/>
        <d v="2025-05-16T00:00:00"/>
        <d v="2025-10-18T00:00:00"/>
        <d v="2025-07-07T00:00:00"/>
        <d v="2025-09-26T00:00:00"/>
        <d v="2024-12-28T00:00:00"/>
        <d v="2025-07-24T00:00:00"/>
        <d v="2025-04-10T00:00:00"/>
        <d v="2025-11-06T00:00:00"/>
        <d v="2025-05-07T00:00:00"/>
        <d v="2025-02-12T00:00:00"/>
        <d v="2024-12-07T00:00:00"/>
        <d v="2025-04-22T00:00:00"/>
        <d v="2025-04-08T00:00:00"/>
        <d v="2024-12-10T00:00:00"/>
        <d v="2025-09-07T00:00:00"/>
        <d v="2025-04-27T00:00:00"/>
        <d v="2025-08-25T00:00:00"/>
        <d v="2025-03-27T00:00:00"/>
        <d v="2025-04-24T00:00:00"/>
        <d v="2025-06-20T00:00:00"/>
        <d v="2025-11-12T00:00:00"/>
        <d v="2025-03-01T00:00:00"/>
        <d v="2025-03-12T00:00:00"/>
        <d v="2025-10-04T00:00:00"/>
        <d v="2025-03-09T00:00:00"/>
        <d v="2025-05-24T00:00:00"/>
        <d v="2025-01-31T00:00:00"/>
        <d v="2025-04-23T00:00:00"/>
        <d v="2025-05-03T00:00:00"/>
        <d v="2025-02-24T00:00:00"/>
        <d v="2025-10-12T00:00:00"/>
        <d v="2025-03-06T00:00:00"/>
        <d v="2025-02-01T00:00:00"/>
        <d v="2025-04-15T00:00:00"/>
        <d v="2025-10-07T00:00:00"/>
        <d v="2025-01-28T00:00:00"/>
        <d v="2025-06-12T00:00:00"/>
        <d v="2025-10-28T00:00:00"/>
        <d v="2025-05-28T00:00:00"/>
        <d v="2025-08-12T00:00:00"/>
        <d v="2025-10-23T00:00:00"/>
        <d v="2025-06-10T00:00:00"/>
        <d v="2025-05-22T00:00:00"/>
        <d v="2025-05-09T00:00:00"/>
        <d v="2025-11-21T00:00:00"/>
        <d v="2025-06-02T00:00:00"/>
        <d v="2025-04-01T00:00:00"/>
        <d v="2024-12-29T00:00:00"/>
        <d v="2024-12-04T00:00:00"/>
        <d v="2024-12-22T00:00:00"/>
        <d v="2024-12-25T00:00:00"/>
        <d v="2025-02-02T00:00:00"/>
        <d v="2025-05-31T00:00:00"/>
        <d v="2025-09-17T00:00:00"/>
        <d v="2025-06-01T00:00:00"/>
        <d v="2025-10-25T00:00:00"/>
        <d v="2025-03-14T00:00:00"/>
        <d v="2025-02-21T00:00:00"/>
        <d v="2025-03-16T00:00:00"/>
        <d v="2025-05-27T00:00:00"/>
        <d v="2025-01-13T00:00:00"/>
        <d v="2025-11-09T00:00:00"/>
        <d v="2025-09-12T00:00:00"/>
        <d v="2025-06-05T00:00:00"/>
        <d v="2025-09-04T00:00:00"/>
        <d v="2025-07-08T00:00:00"/>
        <d v="2025-08-14T00:00:00"/>
        <d v="2025-06-04T00:00:00"/>
        <d v="2025-07-09T00:00:00"/>
        <d v="2025-02-10T00:00:00"/>
        <d v="2025-10-21T00:00:00"/>
        <d v="2025-11-01T00:00:00"/>
        <d v="2024-11-21T00:00:00"/>
        <d v="2025-08-08T00:00:00"/>
        <d v="2025-10-11T00:00:00"/>
        <d v="2025-03-04T00:00:00"/>
        <d v="2025-07-13T00:00:00"/>
        <d v="2024-12-01T00:00:00"/>
        <d v="2025-04-30T00:00:00"/>
        <d v="2025-04-04T00:00:00"/>
        <d v="2025-07-25T00:00:00"/>
        <d v="2025-07-02T00:00:00"/>
        <d v="2024-11-25T00:00:00"/>
        <d v="2025-07-27T00:00:00"/>
        <d v="2025-06-30T00:00:00"/>
        <d v="2024-12-02T00:00:00"/>
        <d v="2025-10-19T00:00:00"/>
        <d v="2025-06-07T00:00:00"/>
        <d v="2025-06-27T00:00:00"/>
        <d v="2025-04-19T00:00:00"/>
        <d v="2024-11-27T00:00:00"/>
        <d v="2025-10-31T00:00:00"/>
        <d v="2025-04-02T00:00:00"/>
        <d v="2025-08-07T00:00:00"/>
        <d v="2025-10-24T00:00:00"/>
        <d v="2025-03-15T00:00:00"/>
        <d v="2025-08-28T00:00:00"/>
        <d v="2025-10-17T00:00:00"/>
        <d v="2025-04-13T00:00:00"/>
        <d v="2025-10-09T00:00:00"/>
        <d v="2025-02-03T00:00:00"/>
        <d v="2025-04-06T00:00:00"/>
        <d v="2025-04-18T00:00:00"/>
        <d v="2024-12-12T00:00:00"/>
        <d v="2025-09-21T00:00:00"/>
        <d v="2025-07-28T00:00:00"/>
        <d v="2025-11-02T00:00:00"/>
        <d v="2025-02-16T00:00:00"/>
        <d v="2025-07-19T00:00:00"/>
        <d v="2025-10-08T00:00:00"/>
        <d v="2025-09-20T00:00:00"/>
        <d v="2025-02-23T00:00:00"/>
        <d v="2025-02-04T00:00:00"/>
        <d v="2025-07-30T00:00:00"/>
        <d v="2024-12-15T00:00:00"/>
        <d v="2025-10-01T00:00:00"/>
        <d v="2025-06-26T00:00:00"/>
        <d v="2025-09-08T00:00:00"/>
        <d v="2024-12-11T00:00:00"/>
        <d v="2025-05-26T00:00:00"/>
        <d v="2024-12-18T00:00:00"/>
        <d v="2024-12-09T00:00:00"/>
        <d v="2025-07-29T00:00:00"/>
        <d v="2025-03-08T00:00:00"/>
        <d v="2025-04-09T00:00:00"/>
        <d v="2025-03-22T00:00:00"/>
        <d v="2025-10-26T00:00:00"/>
        <d v="2025-01-01T00:00:00"/>
        <d v="2025-03-28T00:00:00"/>
        <d v="2025-11-15T00:00:00"/>
        <d v="2025-11-16T00:00:00"/>
        <d v="2025-01-04T00:00:00"/>
        <d v="2025-07-31T00:00:00"/>
        <d v="2025-07-22T00:00:00"/>
        <d v="2025-09-25T00:00:00"/>
        <d v="2025-08-31T00:00:00"/>
        <d v="2025-10-15T00:00:00"/>
        <d v="2025-04-29T00:00:00"/>
        <d v="2024-12-19T00:00:00"/>
        <d v="2025-06-03T00:00:00"/>
        <d v="2025-04-20T00:00:00"/>
        <d v="2025-07-20T00:00:00"/>
        <d v="2025-06-23T00:00:00"/>
        <d v="2025-11-13T00:00:00"/>
        <d v="2024-11-26T00:00:00"/>
        <d v="2025-07-04T00:00:00"/>
        <d v="2025-07-21T00:00:00"/>
        <d v="2024-11-22T00:00:00"/>
        <d v="2024-12-08T00:00:00"/>
        <d v="2025-08-18T00:00:00"/>
        <d v="2025-11-18T00:00:00"/>
        <d v="2025-05-20T00:00:00"/>
        <d v="2024-11-23T00:00:00"/>
        <d v="2025-03-18T00:00:00"/>
        <d v="2025-09-06T00:00:00"/>
        <d v="2025-04-21T00:00:00"/>
        <d v="2024-12-03T00:00:00"/>
        <d v="2025-02-22T00:00:00"/>
        <d v="2025-08-15T00:00:00"/>
        <d v="2025-03-23T00:00:00"/>
        <d v="2025-05-18T00:00:00"/>
        <d v="2025-02-25T00:00:00"/>
        <d v="2025-09-09T00:00:00"/>
        <d v="2025-11-05T00:00:00"/>
        <d v="2025-01-05T00:00:00"/>
        <d v="2025-01-20T00:00:00"/>
        <d v="2024-12-24T00:00:00"/>
        <d v="2025-04-17T00:00:00"/>
        <d v="2025-08-17T00:00:00"/>
        <d v="2024-11-24T00:00:00"/>
        <d v="2025-09-18T00:00:00"/>
        <d v="2025-07-03T00:00:00"/>
        <d v="2025-09-19T00:00:00"/>
        <d v="2024-12-30T00:00:00"/>
        <d v="2025-05-01T00:00:00"/>
        <d v="2025-05-06T00:00:00"/>
        <d v="2025-08-02T00:00:00"/>
        <d v="2025-03-02T00:00:00"/>
        <d v="2025-03-11T00:00:00"/>
        <d v="2025-04-12T00:00:00"/>
        <d v="2025-11-17T00:00:00"/>
        <d v="2025-03-07T00:00:00"/>
        <d v="2025-07-18T00:00:00"/>
        <d v="2025-06-25T00:00:00"/>
        <d v="2025-07-16T00:00:00"/>
        <d v="2025-09-29T00:00:00"/>
        <d v="2025-08-04T00:00:00"/>
        <d v="2025-04-25T00:00:00"/>
        <d v="2025-06-17T00:00:00"/>
        <d v="2025-04-26T00:00:00"/>
        <d v="2025-04-28T00:00:00"/>
        <d v="2025-02-18T00:00:00"/>
        <d v="2025-08-11T00:00:00"/>
        <d v="2024-12-21T00:00:00"/>
        <d v="2025-09-01T00:00:00"/>
        <d v="2025-06-29T00:00:00"/>
        <d v="2024-12-06T00:00:00"/>
        <d v="2025-09-02T00:00:00"/>
        <d v="2025-08-23T00:00:00"/>
        <d v="2025-08-01T00:00:00"/>
        <d v="2025-06-11T00:00:00"/>
        <d v="2025-05-14T00:00:00"/>
        <d v="2025-11-20T00:00:00"/>
        <d v="2025-06-06T00:00:00"/>
        <d v="2025-03-10T00:00:00"/>
        <d v="2025-01-29T00:00:00"/>
        <d v="2024-11-29T00:00:00"/>
        <d v="2025-10-10T00:00:00"/>
        <d v="2025-05-05T00:00:00"/>
        <d v="2025-10-30T00:00:00"/>
        <d v="2025-05-30T00:00:00"/>
        <d v="2025-08-10T00:00:00"/>
        <d v="2025-01-06T00:00:00"/>
        <d v="2025-11-07T00:00:00"/>
        <d v="2025-01-08T00:00:00"/>
        <d v="2025-05-15T00:00:00"/>
        <d v="2025-01-07T00:00:00"/>
        <d v="2025-10-02T00:00:00"/>
        <d v="2025-06-16T00:00:00"/>
        <d v="2025-01-11T00:00:00"/>
        <d v="2025-07-11T00:00:00"/>
        <d v="2025-05-12T00:00:00"/>
        <d v="2025-06-15T00:00:00"/>
        <d v="2025-08-03T00:00:00"/>
        <d v="2025-03-05T00:00:00"/>
        <d v="2024-12-13T00:00:00"/>
        <d v="2025-03-24T00:00:00"/>
        <d v="2025-04-07T00:00:00"/>
        <d v="2025-08-30T00:00:00"/>
        <d v="2025-08-05T00:00:00"/>
        <d v="2025-05-13T00:00:00"/>
        <d v="2025-08-26T00:00:00"/>
        <d v="2025-05-02T00:00:00"/>
        <d v="2025-02-28T00:00:00"/>
        <d v="2025-08-16T00:00:00"/>
        <d v="2025-02-17T00:00:00"/>
        <d v="2025-02-11T00:00:00"/>
        <d v="2025-06-14T00:00:00"/>
        <d v="2024-12-31T00:00:00"/>
        <d v="2025-09-05T00:00:00"/>
        <d v="2025-05-21T00:00:00"/>
        <d v="2025-07-15T00:00:00"/>
        <d v="2025-11-19T00:00:00"/>
        <d v="2025-01-27T00:00:00"/>
        <d v="2025-11-10T00:00:00"/>
        <d v="2025-06-24T00:00:00"/>
        <d v="2025-05-10T00:00:00"/>
        <d v="2025-11-14T00:00:00"/>
        <d v="2025-07-12T00:00:00"/>
        <d v="2025-06-09T00:00:00"/>
        <d v="2025-08-20T00:00:00"/>
        <d v="2024-12-14T00:00:00"/>
        <d v="2025-07-01T00:00:00"/>
        <d v="2025-10-20T00:00:00"/>
        <d v="2025-05-19T00:00:00"/>
        <d v="2025-09-30T00:00:00"/>
        <d v="2025-02-09T00:00:00"/>
        <d v="2024-12-05T00:00:00"/>
        <d v="2025-11-08T00:00:00"/>
        <d v="2025-09-28T00:00:00"/>
        <d v="2025-09-16T00:00:00"/>
        <d v="2025-06-08T00:00:00"/>
        <d v="2025-05-29T00:00:00"/>
        <d v="2025-05-11T00:00:00"/>
        <d v="2025-09-11T00:00:00"/>
        <d v="2025-04-14T00:00:00"/>
        <d v="2025-10-06T00:00:00"/>
        <d v="2025-03-26T00:00:00"/>
        <d v="2025-03-25T00:00:00"/>
        <d v="2025-06-13T00:00:00"/>
        <d v="2025-06-28T00:00:00"/>
        <d v="2025-07-10T00:00:00"/>
        <d v="2025-01-17T00:00:00"/>
        <d v="2025-06-19T00:00:00"/>
        <d v="2025-07-14T00:00:00"/>
        <d v="2025-09-15T00:00:00"/>
        <d v="2024-12-27T00:00:00"/>
        <d v="2025-03-20T00:00:00"/>
        <d v="2025-08-19T00:00:00"/>
        <d v="2025-10-16T00:00:00"/>
        <d v="2025-05-08T00:00:00"/>
        <d v="2025-01-23T00:00:00"/>
        <d v="2025-08-13T00:00:00"/>
        <d v="2025-08-22T00:00:00"/>
        <d v="2025-09-23T00:00:00"/>
        <d v="2025-10-13T00:00:00"/>
        <d v="2025-02-07T00:00:00"/>
        <d v="2024-11-30T00:00:00"/>
        <d v="2025-03-29T00:00:00"/>
        <d v="2025-05-25T00:00:00"/>
        <d v="2025-02-08T00:00:00"/>
        <d v="2025-05-17T00:00:00"/>
        <d v="2025-10-27T00:00:00"/>
        <d v="2025-02-05T00:00:00"/>
        <d v="2025-09-10T00:00:00"/>
        <d v="2025-11-11T00:00:00"/>
        <d v="2024-12-23T00:00:00"/>
        <d v="2025-02-13T00:00:00"/>
        <d v="2025-01-09T00:00:00"/>
        <d v="2025-04-16T00:00:00"/>
        <d v="2025-01-25T00:00:00"/>
        <d v="2025-01-02T00:00:00"/>
        <d v="2025-09-14T00:00:00"/>
        <d v="2025-02-20T00:00:00"/>
        <d v="2025-11-03T00:00:00"/>
        <d v="2025-11-04T00:00:00"/>
        <d v="2025-02-14T00:00:00"/>
        <d v="2025-03-31T00:00:00"/>
        <d v="2025-07-23T00:00:00"/>
        <d v="2025-04-03T00:00:00"/>
        <d v="2024-12-16T00:00:00"/>
        <d v="2025-02-15T00:00:00"/>
        <d v="2025-09-13T00:00:00"/>
        <d v="2025-07-06T00:00:00"/>
        <d v="2025-09-24T00:00:00"/>
        <d v="2025-01-21T00:00:00"/>
        <d v="2025-06-22T00:00:00"/>
        <d v="2025-01-22T00:00:00"/>
        <d v="2025-04-05T00:00:00"/>
      </sharedItems>
      <fieldGroup par="15" base="1">
        <rangePr groupBy="months" startDate="2024-11-21T00:00:00" endDate="2025-11-22T00:00:00"/>
        <groupItems count="14">
          <s v="&lt;21-11-2024"/>
          <s v="Jan"/>
          <s v="Feb"/>
          <s v="Mar"/>
          <s v="Apr"/>
          <s v="May"/>
          <s v="Jun"/>
          <s v="Jul"/>
          <s v="Aug"/>
          <s v="Sep"/>
          <s v="Oct"/>
          <s v="Nov"/>
          <s v="Dec"/>
          <s v="&gt;22-11-2025"/>
        </groupItems>
      </fieldGroup>
    </cacheField>
    <cacheField name="Month" numFmtId="0">
      <sharedItems count="12">
        <s v="October"/>
        <s v="May"/>
        <s v="August"/>
        <s v="January"/>
        <s v="July"/>
        <s v="December"/>
        <s v="September"/>
        <s v="March"/>
        <s v="February"/>
        <s v="June"/>
        <s v="April"/>
        <s v="November"/>
      </sharedItems>
    </cacheField>
    <cacheField name="Time" numFmtId="164">
      <sharedItems containsSemiMixedTypes="0" containsNonDate="0" containsDate="1" containsString="0" minDate="1899-12-30T10:00:00" maxDate="1899-12-30T23:59:50"/>
    </cacheField>
    <cacheField name="Restaurant" numFmtId="0">
      <sharedItems/>
    </cacheField>
    <cacheField name="CustomerName" numFmtId="0">
      <sharedItems/>
    </cacheField>
    <cacheField name="DOB" numFmtId="14">
      <sharedItems containsSemiMixedTypes="0" containsNonDate="0" containsDate="1" containsString="0" minDate="1970-01-09T00:00:00" maxDate="2010-12-20T00:00:00"/>
    </cacheField>
    <cacheField name="Item" numFmtId="0">
      <sharedItems count="26">
        <s v="French Fries"/>
        <s v="Cheese Burger"/>
        <s v="Crispy Paneer Burger"/>
        <s v="Crispy Panner"/>
        <s v="KitKat Shake"/>
        <s v="Double-Paty"/>
        <s v="Ice Tea"/>
        <s v="Chiken Grill"/>
        <s v="Coke"/>
        <s v="Veg Delight"/>
        <s v="Cold Cofee"/>
        <s v="Veggie Delight Burger"/>
        <s v="Chicken Grill Burger"/>
        <s v="Peri Peri Fries"/>
        <s v="Clasik Burger"/>
        <s v="Frnch Fries"/>
        <s v="Oreo Shake"/>
        <s v="Cold Coffee"/>
        <s v="CheezBurger"/>
        <s v="Double Patty Burger"/>
        <s v="BBQ Chicken Burger"/>
        <s v="Classic Burger"/>
        <s v="BBQ Chkn"/>
        <s v="Oreo Shek"/>
        <s v="Brownie"/>
        <s v="PeriPeri Fry"/>
      </sharedItems>
    </cacheField>
    <cacheField name="Price" numFmtId="0">
      <sharedItems containsSemiMixedTypes="0" containsString="0" containsNumber="1" containsInteger="1" minValue="36" maxValue="363"/>
    </cacheField>
    <cacheField name="Quantity" numFmtId="0">
      <sharedItems containsSemiMixedTypes="0" containsString="0" containsNumber="1" containsInteger="1" minValue="1" maxValue="3"/>
    </cacheField>
    <cacheField name="Total" numFmtId="0">
      <sharedItems containsString="0" containsBlank="1" containsNumber="1" containsInteger="1" minValue="16" maxValue="1090"/>
    </cacheField>
    <cacheField name="PaymentMethod" numFmtId="0">
      <sharedItems/>
    </cacheField>
    <cacheField name="ServedBy" numFmtId="0">
      <sharedItems count="8">
        <s v="Govind"/>
        <s v="Sana"/>
        <s v="Simran"/>
        <s v="Imran"/>
        <s v="Sheetal"/>
        <s v="Rohan"/>
        <s v="Neetu"/>
        <s v="Parth"/>
      </sharedItems>
    </cacheField>
    <cacheField name="Notes" numFmtId="0">
      <sharedItems/>
    </cacheField>
    <cacheField name="Quarters" numFmtId="0" databaseField="0">
      <fieldGroup base="1">
        <rangePr groupBy="quarters" startDate="2024-11-21T00:00:00" endDate="2025-11-22T00:00:00"/>
        <groupItems count="6">
          <s v="&lt;21-11-2024"/>
          <s v="Qtr1"/>
          <s v="Qtr2"/>
          <s v="Qtr3"/>
          <s v="Qtr4"/>
          <s v="&gt;22-11-2025"/>
        </groupItems>
      </fieldGroup>
    </cacheField>
    <cacheField name="Years" numFmtId="0" databaseField="0">
      <fieldGroup base="1">
        <rangePr groupBy="years" startDate="2024-11-21T00:00:00" endDate="2025-11-22T00:00:00"/>
        <groupItems count="4">
          <s v="&lt;21-11-2024"/>
          <s v="2024"/>
          <s v="2025"/>
          <s v="&gt;22-11-2025"/>
        </groupItems>
      </fieldGroup>
    </cacheField>
  </cacheFields>
  <extLst>
    <ext xmlns:x14="http://schemas.microsoft.com/office/spreadsheetml/2009/9/main" uri="{725AE2AE-9491-48be-B2B4-4EB974FC3084}">
      <x14:pivotCacheDefinition pivotCacheId="1946667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BC20000"/>
    <x v="0"/>
    <x v="0"/>
    <d v="1899-12-30T13:14:00"/>
    <s v="Burger Camp, Pune"/>
    <s v="Mubin Kulkarni"/>
    <d v="1971-02-07T00:00:00"/>
    <x v="0"/>
    <n v="89"/>
    <n v="1"/>
    <n v="90"/>
    <s v="Card"/>
    <x v="0"/>
    <s v="No onion"/>
  </r>
  <r>
    <s v="BC20001"/>
    <x v="1"/>
    <x v="1"/>
    <d v="1899-12-30T22:02:46"/>
    <s v="Burger Camp, Pune"/>
    <s v="Rahul Shaikh"/>
    <d v="2005-05-27T00:00:00"/>
    <x v="1"/>
    <n v="258"/>
    <n v="2"/>
    <n v="517"/>
    <s v="Cash "/>
    <x v="1"/>
    <s v="Spicy"/>
  </r>
  <r>
    <s v="BC20002"/>
    <x v="2"/>
    <x v="2"/>
    <d v="1899-12-30T17:24:00"/>
    <s v="Burger Camp, Pune"/>
    <s v="Aisha Kulkarni"/>
    <d v="1973-04-27T00:00:00"/>
    <x v="2"/>
    <n v="282"/>
    <n v="2"/>
    <n v="565"/>
    <s v="UPI"/>
    <x v="2"/>
    <s v="Less salt"/>
  </r>
  <r>
    <s v="BC20003"/>
    <x v="3"/>
    <x v="3"/>
    <d v="1899-12-30T22:03:00"/>
    <s v="Burger Camp, Pune"/>
    <s v="Sneha Patil"/>
    <d v="1974-07-13T00:00:00"/>
    <x v="3"/>
    <n v="162"/>
    <n v="1"/>
    <n v="163"/>
    <s v="Cash "/>
    <x v="3"/>
    <s v="Less salt"/>
  </r>
  <r>
    <s v="BC20004"/>
    <x v="4"/>
    <x v="3"/>
    <d v="1899-12-30T23:40:00"/>
    <s v="Burger Camp, Pune"/>
    <s v="Riya Patil"/>
    <d v="1974-07-13T00:00:00"/>
    <x v="4"/>
    <n v="227"/>
    <n v="2"/>
    <n v="455"/>
    <s v="UPI"/>
    <x v="3"/>
    <s v="Less salt"/>
  </r>
  <r>
    <s v="BC20005"/>
    <x v="5"/>
    <x v="2"/>
    <d v="1899-12-30T13:59:00"/>
    <s v="Burger Camp, Pune"/>
    <s v="Aisha Joshi"/>
    <d v="1974-07-13T00:00:00"/>
    <x v="5"/>
    <n v="286"/>
    <n v="1"/>
    <n v="287"/>
    <s v="Card"/>
    <x v="4"/>
    <s v="Custmer complaned"/>
  </r>
  <r>
    <s v="BC20006"/>
    <x v="6"/>
    <x v="0"/>
    <d v="1899-12-30T21:59:00"/>
    <s v="Burger Camp, Pune"/>
    <s v="Zara More"/>
    <d v="1996-04-04T00:00:00"/>
    <x v="3"/>
    <n v="222"/>
    <n v="2"/>
    <n v="445"/>
    <s v="Card"/>
    <x v="4"/>
    <s v="No onion"/>
  </r>
  <r>
    <s v="BC20007"/>
    <x v="7"/>
    <x v="4"/>
    <d v="1899-12-30T10:41:00"/>
    <s v="Burger Camp, Pune"/>
    <s v="Mubin Joshi"/>
    <d v="1996-04-04T00:00:00"/>
    <x v="6"/>
    <n v="92"/>
    <n v="2"/>
    <n v="186"/>
    <s v="Cash"/>
    <x v="5"/>
    <s v="Servd late"/>
  </r>
  <r>
    <s v="BC20008"/>
    <x v="8"/>
    <x v="5"/>
    <d v="1899-12-30T18:58:00"/>
    <s v="Burger Camp, Pune"/>
    <s v="Sneha Khan"/>
    <d v="1981-02-20T00:00:00"/>
    <x v="7"/>
    <n v="110"/>
    <n v="2"/>
    <n v="221"/>
    <s v="Cash "/>
    <x v="6"/>
    <s v="Servd late"/>
  </r>
  <r>
    <s v="BC20009"/>
    <x v="8"/>
    <x v="5"/>
    <d v="1899-12-30T19:36:00"/>
    <s v="Burger Camp, Pune"/>
    <s v="Rahul Joshi"/>
    <d v="1992-02-08T00:00:00"/>
    <x v="3"/>
    <n v="47"/>
    <n v="1"/>
    <n v="47"/>
    <s v="Card"/>
    <x v="4"/>
    <s v="Custmer complaned"/>
  </r>
  <r>
    <s v="BC20010"/>
    <x v="9"/>
    <x v="2"/>
    <d v="1899-12-30T11:40:27"/>
    <s v="Burger Camp, Pune"/>
    <s v="Aarav Khan"/>
    <d v="1986-03-24T00:00:00"/>
    <x v="5"/>
    <n v="237"/>
    <n v="1"/>
    <n v="237"/>
    <s v="Wallet"/>
    <x v="1"/>
    <s v="Servd late"/>
  </r>
  <r>
    <s v="BC20011"/>
    <x v="10"/>
    <x v="6"/>
    <d v="1899-12-30T19:47:00"/>
    <s v="Burger Camp, Pune"/>
    <s v=" Sneha Patil "/>
    <d v="1991-07-26T00:00:00"/>
    <x v="6"/>
    <n v="120"/>
    <n v="1"/>
    <n v="120"/>
    <s v="UPI"/>
    <x v="2"/>
    <s v="Custmer complaned"/>
  </r>
  <r>
    <s v="BC20012"/>
    <x v="11"/>
    <x v="5"/>
    <d v="1899-12-30T15:41:32"/>
    <s v="Burger Camp, Pune"/>
    <s v=" Kiran Kulkarni "/>
    <d v="1986-03-19T00:00:00"/>
    <x v="8"/>
    <n v="48"/>
    <n v="1"/>
    <n v="48"/>
    <s v="Wallet"/>
    <x v="2"/>
    <s v="repeat customer"/>
  </r>
  <r>
    <s v="BC20013"/>
    <x v="11"/>
    <x v="5"/>
    <d v="1899-12-30T19:20:00"/>
    <s v="Burger Camp, Pune"/>
    <s v="Aisha Naik"/>
    <d v="1990-07-23T00:00:00"/>
    <x v="9"/>
    <n v="126"/>
    <n v="3"/>
    <n v="378"/>
    <s v="Wallet"/>
    <x v="6"/>
    <s v="Less salt"/>
  </r>
  <r>
    <s v="BC20014"/>
    <x v="12"/>
    <x v="2"/>
    <d v="1899-12-30T20:05:00"/>
    <s v="Burger Camp, Pune"/>
    <s v="Kiran Gore"/>
    <d v="1991-12-12T00:00:00"/>
    <x v="0"/>
    <n v="111"/>
    <n v="2"/>
    <n v="223"/>
    <s v="Cash"/>
    <x v="1"/>
    <s v="repeat customer"/>
  </r>
  <r>
    <s v="BC20015"/>
    <x v="13"/>
    <x v="7"/>
    <d v="1899-12-30T10:35:00"/>
    <s v="Burger Camp, Pune"/>
    <s v="Pooja Patil"/>
    <d v="2005-10-11T00:00:00"/>
    <x v="5"/>
    <n v="107"/>
    <n v="3"/>
    <n v="324"/>
    <s v="Cash"/>
    <x v="1"/>
    <s v="Custmer complaned"/>
  </r>
  <r>
    <s v="BC20016"/>
    <x v="14"/>
    <x v="7"/>
    <d v="1899-12-30T18:05:00"/>
    <s v="Burger Camp, Pune"/>
    <s v="Riya Deshmukh"/>
    <d v="1974-07-14T00:00:00"/>
    <x v="10"/>
    <n v="164"/>
    <n v="2"/>
    <n v="325"/>
    <s v="UPI"/>
    <x v="0"/>
    <s v="Custmer complaned"/>
  </r>
  <r>
    <s v="BC20017"/>
    <x v="15"/>
    <x v="2"/>
    <d v="1899-12-30T17:14:17"/>
    <s v="Burger Camp, Pune"/>
    <s v="Pooja Khan"/>
    <d v="1995-12-06T00:00:00"/>
    <x v="7"/>
    <n v="147"/>
    <n v="2"/>
    <n v="296"/>
    <s v="UPI"/>
    <x v="7"/>
    <s v="repeat customer"/>
  </r>
  <r>
    <s v="BC20018"/>
    <x v="16"/>
    <x v="7"/>
    <d v="1899-12-30T10:47:00"/>
    <s v="Burger Camp, Pune"/>
    <s v="Farhan Joshi"/>
    <d v="1995-12-06T00:00:00"/>
    <x v="11"/>
    <n v="173"/>
    <n v="3"/>
    <n v="520"/>
    <s v="Card"/>
    <x v="3"/>
    <s v="Custmer complaned"/>
  </r>
  <r>
    <s v="BC20019"/>
    <x v="17"/>
    <x v="3"/>
    <d v="1899-12-30T19:43:58"/>
    <s v="Burger Camp, Pune"/>
    <s v="Zaid Joshi"/>
    <d v="2010-04-04T00:00:00"/>
    <x v="4"/>
    <n v="198"/>
    <n v="2"/>
    <n v="397"/>
    <s v="Card"/>
    <x v="3"/>
    <s v="repeat customer"/>
  </r>
  <r>
    <s v="BC20020"/>
    <x v="18"/>
    <x v="8"/>
    <d v="1899-12-30T19:51:00"/>
    <s v="Burger Camp, Pune"/>
    <s v="Pooja More"/>
    <d v="1987-06-28T00:00:00"/>
    <x v="7"/>
    <n v="148"/>
    <n v="2"/>
    <n v="296"/>
    <s v="Cash "/>
    <x v="5"/>
    <s v="repeat customer"/>
  </r>
  <r>
    <s v="BC20021"/>
    <x v="19"/>
    <x v="8"/>
    <d v="1899-12-30T17:35:00"/>
    <s v="Burger Camp, Pune"/>
    <s v="Aisha More"/>
    <d v="1971-02-10T00:00:00"/>
    <x v="5"/>
    <n v="107"/>
    <n v="1"/>
    <n v="107"/>
    <s v="UPI"/>
    <x v="4"/>
    <s v="Less salt"/>
  </r>
  <r>
    <s v="BC20022"/>
    <x v="20"/>
    <x v="4"/>
    <d v="1899-12-30T11:53:12"/>
    <s v="Burger Camp, Pune"/>
    <s v=" Riya Shinde "/>
    <d v="2004-03-09T00:00:00"/>
    <x v="12"/>
    <n v="320"/>
    <n v="2"/>
    <n v="641"/>
    <s v="UPI"/>
    <x v="1"/>
    <s v="Extra cheese"/>
  </r>
  <r>
    <s v="BC20023"/>
    <x v="21"/>
    <x v="8"/>
    <d v="1899-12-30T11:15:00"/>
    <s v="Burger Camp, Pune"/>
    <s v="Zaid Gore"/>
    <d v="2003-07-15T00:00:00"/>
    <x v="9"/>
    <n v="161"/>
    <n v="1"/>
    <n v="168"/>
    <s v="UPI"/>
    <x v="7"/>
    <s v="Extra cheese"/>
  </r>
  <r>
    <s v="BC20024"/>
    <x v="22"/>
    <x v="7"/>
    <d v="1899-12-30T21:55:00"/>
    <s v="Burger Camp, Pune"/>
    <s v="Kiran Joshi"/>
    <d v="2010-10-22T00:00:00"/>
    <x v="13"/>
    <n v="131"/>
    <n v="1"/>
    <n v="131"/>
    <s v="UPI"/>
    <x v="7"/>
    <s v="Extra cheese"/>
  </r>
  <r>
    <s v="BC20025"/>
    <x v="23"/>
    <x v="2"/>
    <d v="1899-12-30T19:02:56"/>
    <s v="Burger Camp, Pune"/>
    <s v=" Aisha Shinde "/>
    <d v="1991-12-12T00:00:00"/>
    <x v="10"/>
    <n v="209"/>
    <n v="3"/>
    <n v="629"/>
    <s v="Card"/>
    <x v="6"/>
    <s v="Servd late"/>
  </r>
  <r>
    <s v="BC20026"/>
    <x v="24"/>
    <x v="9"/>
    <d v="1899-12-30T23:10:21"/>
    <s v="Burger Camp, Pune"/>
    <s v="Aisha More"/>
    <d v="2005-01-15T00:00:00"/>
    <x v="3"/>
    <n v="46"/>
    <n v="1"/>
    <n v="47"/>
    <s v="Cash "/>
    <x v="6"/>
    <s v="Servd late"/>
  </r>
  <r>
    <s v="BC20027"/>
    <x v="24"/>
    <x v="9"/>
    <d v="1899-12-30T20:38:00"/>
    <s v="Burger Camp, Pune"/>
    <s v=" Aisha Patil "/>
    <d v="1996-02-08T00:00:00"/>
    <x v="14"/>
    <n v="151"/>
    <n v="2"/>
    <n v="302"/>
    <s v="UPI"/>
    <x v="1"/>
    <s v="Custmer complaned"/>
  </r>
  <r>
    <s v="BC20028"/>
    <x v="25"/>
    <x v="9"/>
    <d v="1899-12-30T23:00:00"/>
    <s v="Burger Camp, Pune"/>
    <s v="Anil Gore"/>
    <d v="1979-08-18T00:00:00"/>
    <x v="2"/>
    <n v="319"/>
    <n v="2"/>
    <n v="640"/>
    <s v="UPI"/>
    <x v="6"/>
    <s v="Extra cheese"/>
  </r>
  <r>
    <s v="BC20029"/>
    <x v="26"/>
    <x v="3"/>
    <d v="1899-12-30T23:06:55"/>
    <s v="Burger Camp, Pune"/>
    <s v=" Mubin Kulkarni "/>
    <d v="1979-07-28T00:00:00"/>
    <x v="9"/>
    <n v="186"/>
    <n v="2"/>
    <n v="374"/>
    <s v="Card"/>
    <x v="4"/>
    <s v="Custmer complaned"/>
  </r>
  <r>
    <s v="BC20030"/>
    <x v="27"/>
    <x v="7"/>
    <d v="1899-12-30T11:48:00"/>
    <s v="Burger Camp, Pune"/>
    <s v="Mubin More"/>
    <d v="1971-01-11T00:00:00"/>
    <x v="7"/>
    <n v="207"/>
    <n v="1"/>
    <n v="207"/>
    <s v="Card"/>
    <x v="7"/>
    <s v="Extra cheese"/>
  </r>
  <r>
    <s v="BC20031"/>
    <x v="28"/>
    <x v="4"/>
    <d v="1899-12-30T11:28:00"/>
    <s v="Burger Camp, Pune"/>
    <s v="Anil Deshmukh"/>
    <d v="1989-04-13T00:00:00"/>
    <x v="15"/>
    <n v="207"/>
    <n v="1"/>
    <n v="207"/>
    <s v="Card"/>
    <x v="7"/>
    <s v="Less salt"/>
  </r>
  <r>
    <s v="BC20032"/>
    <x v="29"/>
    <x v="6"/>
    <d v="1899-12-30T20:12:39"/>
    <s v="Burger Camp, Pune"/>
    <s v="Kiran Patil"/>
    <d v="1972-05-26T00:00:00"/>
    <x v="16"/>
    <n v="203"/>
    <n v="1"/>
    <n v="204"/>
    <s v="Card"/>
    <x v="7"/>
    <s v="Servd late"/>
  </r>
  <r>
    <s v="BC20033"/>
    <x v="30"/>
    <x v="3"/>
    <d v="1899-12-30T12:48:00"/>
    <s v="Burger Camp, Pune"/>
    <s v="Aisha Deshmukh"/>
    <d v="1993-02-26T00:00:00"/>
    <x v="7"/>
    <n v="301"/>
    <n v="3"/>
    <n v="905"/>
    <s v="Card"/>
    <x v="7"/>
    <s v="repeat customer"/>
  </r>
  <r>
    <s v="BC20034"/>
    <x v="31"/>
    <x v="3"/>
    <d v="1899-12-30T14:31:00"/>
    <s v="Burger Camp, Pune"/>
    <s v="Riya Kulkarni"/>
    <d v="2004-07-19T00:00:00"/>
    <x v="9"/>
    <n v="314"/>
    <n v="2"/>
    <n v="630"/>
    <s v="Card"/>
    <x v="5"/>
    <s v="repeat customer"/>
  </r>
  <r>
    <s v="BC20035"/>
    <x v="32"/>
    <x v="10"/>
    <d v="1899-12-30T23:52:00"/>
    <s v="Burger Camp, Pune"/>
    <s v="Kiran Joshi"/>
    <d v="1971-01-26T00:00:00"/>
    <x v="7"/>
    <n v="313"/>
    <n v="1"/>
    <n v="314"/>
    <s v="Card"/>
    <x v="5"/>
    <s v="Spicy"/>
  </r>
  <r>
    <s v="BC20036"/>
    <x v="33"/>
    <x v="11"/>
    <d v="1899-12-30T19:20:00"/>
    <s v="Burger Camp, Pune"/>
    <s v="Anil Khan"/>
    <d v="1977-12-03T00:00:00"/>
    <x v="9"/>
    <n v="227"/>
    <n v="2"/>
    <n v="455"/>
    <s v="Card"/>
    <x v="1"/>
    <s v="No onion"/>
  </r>
  <r>
    <s v="BC20037"/>
    <x v="34"/>
    <x v="1"/>
    <d v="1899-12-30T12:17:00"/>
    <s v="Burger Camp, Pune"/>
    <s v="Zara Kulkarni"/>
    <d v="2008-09-10T00:00:00"/>
    <x v="8"/>
    <n v="45"/>
    <n v="2"/>
    <n v="90"/>
    <s v="Card"/>
    <x v="1"/>
    <s v="No onion"/>
  </r>
  <r>
    <s v="BC20038"/>
    <x v="35"/>
    <x v="3"/>
    <d v="1899-12-30T21:47:00"/>
    <s v="Burger Camp, Pune"/>
    <s v="Rahul Khan"/>
    <d v="1991-11-04T00:00:00"/>
    <x v="17"/>
    <n v="144"/>
    <n v="3"/>
    <n v="432"/>
    <s v="Wallet"/>
    <x v="0"/>
    <s v="No onion"/>
  </r>
  <r>
    <s v="BC20039"/>
    <x v="36"/>
    <x v="0"/>
    <d v="1899-12-30T19:59:00"/>
    <s v="Burger Camp, Pune"/>
    <s v="Anil Khan"/>
    <d v="1991-11-04T00:00:00"/>
    <x v="11"/>
    <n v="201"/>
    <n v="2"/>
    <n v="402"/>
    <s v="Cash "/>
    <x v="2"/>
    <s v="No onion"/>
  </r>
  <r>
    <s v="BC20040"/>
    <x v="37"/>
    <x v="5"/>
    <d v="1899-12-30T20:05:17"/>
    <s v="Burger Camp, Pune"/>
    <s v="Kiran Deshmukh"/>
    <d v="1987-04-25T00:00:00"/>
    <x v="18"/>
    <n v="168"/>
    <n v="2"/>
    <n v="337"/>
    <s v="Cash "/>
    <x v="0"/>
    <s v="Spicy"/>
  </r>
  <r>
    <s v="BC20041"/>
    <x v="38"/>
    <x v="3"/>
    <d v="1899-12-30T18:35:00"/>
    <s v="Burger Camp, Pune"/>
    <s v="Farhan Shaikh"/>
    <d v="1997-01-15T00:00:00"/>
    <x v="17"/>
    <n v="114"/>
    <n v="3"/>
    <n v="345"/>
    <s v="Card"/>
    <x v="1"/>
    <s v="repeat customer"/>
  </r>
  <r>
    <s v="BC20042"/>
    <x v="4"/>
    <x v="3"/>
    <d v="1899-12-30T18:05:25"/>
    <s v="Burger Camp, Pune"/>
    <s v="Aisha Shinde"/>
    <d v="1974-09-21T00:00:00"/>
    <x v="0"/>
    <n v="76"/>
    <n v="2"/>
    <n v="152"/>
    <s v="Card"/>
    <x v="2"/>
    <s v="Servd late"/>
  </r>
  <r>
    <s v="BC20043"/>
    <x v="21"/>
    <x v="8"/>
    <d v="1899-12-30T17:40:19"/>
    <s v="Burger Camp, Pune"/>
    <s v="Zara Khan"/>
    <d v="1999-08-02T00:00:00"/>
    <x v="9"/>
    <n v="138"/>
    <n v="1"/>
    <n v="138"/>
    <s v="UPI"/>
    <x v="5"/>
    <s v="Servd late"/>
  </r>
  <r>
    <s v="BC20044"/>
    <x v="39"/>
    <x v="3"/>
    <d v="1899-12-30T21:05:00"/>
    <s v="Burger Camp, Pune"/>
    <s v="Sneha Khan"/>
    <d v="1998-09-17T00:00:00"/>
    <x v="3"/>
    <n v="111"/>
    <n v="3"/>
    <n v="333"/>
    <s v="UPI"/>
    <x v="2"/>
    <s v="Custmer complaned"/>
  </r>
  <r>
    <s v="BC20045"/>
    <x v="40"/>
    <x v="0"/>
    <d v="1899-12-30T12:38:00"/>
    <s v="Burger Camp, Pune"/>
    <s v="Anil Kulkarni"/>
    <d v="1978-11-23T00:00:00"/>
    <x v="18"/>
    <n v="227"/>
    <n v="1"/>
    <n v="227"/>
    <s v="Card"/>
    <x v="5"/>
    <s v="Servd late"/>
  </r>
  <r>
    <s v="BC20046"/>
    <x v="41"/>
    <x v="0"/>
    <d v="1899-12-30T12:10:00"/>
    <s v="Burger Camp, Pune"/>
    <s v="Zara Patil"/>
    <d v="1993-11-24T00:00:00"/>
    <x v="0"/>
    <n v="93"/>
    <n v="2"/>
    <n v="187"/>
    <s v="UPI"/>
    <x v="0"/>
    <s v="Spicy"/>
  </r>
  <r>
    <s v="BC20047"/>
    <x v="42"/>
    <x v="7"/>
    <d v="1899-12-30T23:16:00"/>
    <s v="Burger Camp, Pune"/>
    <s v="Pooja Shinde"/>
    <d v="2003-02-10T00:00:00"/>
    <x v="19"/>
    <n v="357"/>
    <n v="1"/>
    <n v="357"/>
    <s v="Wallet"/>
    <x v="5"/>
    <s v="Servd late"/>
  </r>
  <r>
    <s v="BC20048"/>
    <x v="43"/>
    <x v="3"/>
    <d v="1899-12-30T22:09:00"/>
    <s v="Burger Camp, Pune"/>
    <s v="Anil More"/>
    <d v="2003-02-10T00:00:00"/>
    <x v="19"/>
    <n v="236"/>
    <n v="1"/>
    <n v="236"/>
    <s v="UPI"/>
    <x v="6"/>
    <s v="No onion"/>
  </r>
  <r>
    <s v="BC20049"/>
    <x v="44"/>
    <x v="3"/>
    <d v="1899-12-30T19:34:00"/>
    <s v="Burger Camp, Pune"/>
    <s v="Rahul Gore"/>
    <d v="1997-01-20T00:00:00"/>
    <x v="19"/>
    <n v="357"/>
    <n v="2"/>
    <n v="716"/>
    <s v="Cash"/>
    <x v="2"/>
    <s v="No onion"/>
  </r>
  <r>
    <s v="BC20050"/>
    <x v="45"/>
    <x v="1"/>
    <d v="1899-12-30T22:37:47"/>
    <s v="Burger Camp, Pune"/>
    <s v="Sneha Khan"/>
    <d v="1981-11-15T00:00:00"/>
    <x v="1"/>
    <n v="219"/>
    <n v="2"/>
    <n v="440"/>
    <s v="Cash"/>
    <x v="7"/>
    <s v="Extra cheese"/>
  </r>
  <r>
    <s v="BC20051"/>
    <x v="46"/>
    <x v="0"/>
    <d v="1899-12-30T23:49:00"/>
    <s v="Burger Camp, Pune"/>
    <s v="Farhan Naik"/>
    <d v="1995-12-15T00:00:00"/>
    <x v="4"/>
    <n v="231"/>
    <n v="3"/>
    <n v="695"/>
    <s v="Card"/>
    <x v="7"/>
    <s v="Custmer complaned"/>
  </r>
  <r>
    <s v="BC20052"/>
    <x v="47"/>
    <x v="4"/>
    <d v="1899-12-30T12:44:28"/>
    <s v="Burger Camp, Pune"/>
    <s v="Pooja Khan"/>
    <d v="2009-07-09T00:00:00"/>
    <x v="4"/>
    <n v="196"/>
    <n v="1"/>
    <n v="246"/>
    <s v="Card"/>
    <x v="0"/>
    <s v="Extra cheese"/>
  </r>
  <r>
    <s v="BC20053"/>
    <x v="48"/>
    <x v="6"/>
    <d v="1899-12-30T15:23:00"/>
    <s v="Burger Camp, Pune"/>
    <s v="Zara Patil"/>
    <d v="2009-07-09T00:00:00"/>
    <x v="20"/>
    <n v="287"/>
    <n v="2"/>
    <n v="575"/>
    <s v="Wallet"/>
    <x v="1"/>
    <s v="Spicy"/>
  </r>
  <r>
    <s v="BC20054"/>
    <x v="49"/>
    <x v="5"/>
    <d v="1899-12-30T11:51:43"/>
    <s v="Burger Camp, Pune"/>
    <s v="Kiran Shinde"/>
    <d v="1988-05-28T00:00:00"/>
    <x v="18"/>
    <n v="230"/>
    <n v="3"/>
    <n v="692"/>
    <s v="Card"/>
    <x v="7"/>
    <s v="repeat customer"/>
  </r>
  <r>
    <s v="BC20055"/>
    <x v="50"/>
    <x v="4"/>
    <d v="1899-12-30T23:36:00"/>
    <s v="Burger Camp, Pune"/>
    <s v="Farhan Shaikh"/>
    <d v="1992-03-27T00:00:00"/>
    <x v="18"/>
    <n v="160"/>
    <n v="3"/>
    <n v="480"/>
    <s v="Cash "/>
    <x v="4"/>
    <s v="repeat customer"/>
  </r>
  <r>
    <s v="BC20056"/>
    <x v="51"/>
    <x v="10"/>
    <d v="1899-12-30T19:34:00"/>
    <s v="Burger Camp, Pune"/>
    <s v="Kiran Patil"/>
    <d v="1980-11-20T00:00:00"/>
    <x v="19"/>
    <n v="239"/>
    <n v="2"/>
    <n v="480"/>
    <s v="Cash "/>
    <x v="6"/>
    <s v="Less salt"/>
  </r>
  <r>
    <s v="BC20057"/>
    <x v="52"/>
    <x v="11"/>
    <d v="1899-12-30T11:44:00"/>
    <s v="Burger Camp, Pune"/>
    <s v="Pooja Deshmukh"/>
    <d v="2008-03-11T00:00:00"/>
    <x v="11"/>
    <n v="217"/>
    <n v="1"/>
    <n v="218"/>
    <s v="UPI"/>
    <x v="4"/>
    <s v="Spicy"/>
  </r>
  <r>
    <s v="BC20058"/>
    <x v="53"/>
    <x v="1"/>
    <d v="1899-12-30T13:48:10"/>
    <s v="Burger Camp, Pune"/>
    <s v="Rahul More"/>
    <d v="1971-02-13T00:00:00"/>
    <x v="17"/>
    <n v="137"/>
    <n v="2"/>
    <n v="275"/>
    <s v="Card"/>
    <x v="5"/>
    <s v="repeat customer"/>
  </r>
  <r>
    <s v="BC20059"/>
    <x v="37"/>
    <x v="5"/>
    <d v="1899-12-30T15:35:00"/>
    <s v="Burger Camp, Pune"/>
    <s v="Zaid Kulkarni"/>
    <d v="2009-11-20T00:00:00"/>
    <x v="5"/>
    <n v="319"/>
    <n v="2"/>
    <n v="639"/>
    <s v="UPI"/>
    <x v="2"/>
    <s v="Servd late"/>
  </r>
  <r>
    <s v="BC20060"/>
    <x v="54"/>
    <x v="8"/>
    <d v="1899-12-30T19:21:00"/>
    <s v="Burger Camp, Pune"/>
    <s v="Rahul More"/>
    <d v="1971-06-11T00:00:00"/>
    <x v="9"/>
    <n v="82"/>
    <n v="3"/>
    <n v="248"/>
    <s v="UPI"/>
    <x v="3"/>
    <s v="Less salt"/>
  </r>
  <r>
    <s v="BC20061"/>
    <x v="55"/>
    <x v="5"/>
    <d v="1899-12-30T13:01:28"/>
    <s v="Burger Camp, Pune"/>
    <s v="Zaid Patil"/>
    <d v="2002-10-16T00:00:00"/>
    <x v="5"/>
    <n v="349"/>
    <n v="2"/>
    <n v="700"/>
    <s v="Wallet"/>
    <x v="7"/>
    <s v="Less salt"/>
  </r>
  <r>
    <s v="BC20062"/>
    <x v="56"/>
    <x v="10"/>
    <d v="1899-12-30T22:18:00"/>
    <s v="Burger Camp, Pune"/>
    <s v="Aisha More"/>
    <d v="1987-05-04T00:00:00"/>
    <x v="10"/>
    <n v="87"/>
    <n v="2"/>
    <n v="175"/>
    <s v="Wallet"/>
    <x v="4"/>
    <s v="Less salt"/>
  </r>
  <r>
    <s v="BC20063"/>
    <x v="57"/>
    <x v="10"/>
    <d v="1899-12-30T12:06:00"/>
    <s v="Burger Camp, Pune"/>
    <s v="Zara Joshi"/>
    <d v="2003-04-21T00:00:00"/>
    <x v="21"/>
    <n v="248"/>
    <n v="2"/>
    <n v="498"/>
    <s v="Card"/>
    <x v="4"/>
    <s v="Less salt"/>
  </r>
  <r>
    <s v="BC20064"/>
    <x v="58"/>
    <x v="5"/>
    <d v="1899-12-30T16:56:00"/>
    <s v="Burger Camp, Pune"/>
    <s v="Aarav Deshmukh"/>
    <d v="1988-01-01T00:00:00"/>
    <x v="22"/>
    <n v="116"/>
    <n v="2"/>
    <n v="232"/>
    <s v="Cash"/>
    <x v="2"/>
    <s v="Custmer complaned"/>
  </r>
  <r>
    <s v="BC20065"/>
    <x v="59"/>
    <x v="6"/>
    <d v="1899-12-30T12:39:00"/>
    <s v="Burger Camp, Pune"/>
    <s v="Zaid Deshmukh"/>
    <d v="1991-12-12T00:00:00"/>
    <x v="6"/>
    <n v="91"/>
    <n v="1"/>
    <n v="100"/>
    <s v="Cash"/>
    <x v="1"/>
    <s v="Custmer complaned"/>
  </r>
  <r>
    <s v="BC20066"/>
    <x v="60"/>
    <x v="10"/>
    <d v="1899-12-30T21:07:40"/>
    <s v="Burger Camp, Pune"/>
    <s v="Farhan Gore"/>
    <d v="2000-03-15T00:00:00"/>
    <x v="10"/>
    <n v="130"/>
    <n v="3"/>
    <n v="390"/>
    <s v="Card"/>
    <x v="5"/>
    <s v="Custmer complaned"/>
  </r>
  <r>
    <s v="BC20067"/>
    <x v="9"/>
    <x v="2"/>
    <d v="1899-12-30T12:20:00"/>
    <s v="Burger Camp, Pune"/>
    <s v="Pooja Shaikh"/>
    <d v="2001-02-17T00:00:00"/>
    <x v="5"/>
    <n v="98"/>
    <n v="1"/>
    <n v="99"/>
    <s v="UPI"/>
    <x v="2"/>
    <s v="No onion"/>
  </r>
  <r>
    <s v="BC20068"/>
    <x v="61"/>
    <x v="2"/>
    <d v="1899-12-30T17:02:18"/>
    <s v="Burger Camp, Pune"/>
    <s v="Sneha Patil"/>
    <d v="1996-06-13T00:00:00"/>
    <x v="22"/>
    <n v="42"/>
    <n v="1"/>
    <n v="55"/>
    <s v="UPI"/>
    <x v="0"/>
    <s v="Less salt"/>
  </r>
  <r>
    <s v="BC20069"/>
    <x v="62"/>
    <x v="7"/>
    <d v="1899-12-30T14:12:00"/>
    <s v="Burger Camp, Pune"/>
    <s v="Mubin Khan"/>
    <d v="1971-04-07T00:00:00"/>
    <x v="0"/>
    <n v="101"/>
    <n v="2"/>
    <n v="203"/>
    <s v="Card"/>
    <x v="2"/>
    <s v="Less salt"/>
  </r>
  <r>
    <s v="BC20070"/>
    <x v="63"/>
    <x v="10"/>
    <d v="1899-12-30T16:19:00"/>
    <s v="Burger Camp, Pune"/>
    <s v="Rahul Gore"/>
    <d v="2010-11-14T00:00:00"/>
    <x v="23"/>
    <n v="105"/>
    <n v="2"/>
    <n v="212"/>
    <s v="Card"/>
    <x v="5"/>
    <s v="Less salt"/>
  </r>
  <r>
    <s v="BC20071"/>
    <x v="64"/>
    <x v="9"/>
    <d v="1899-12-30T16:15:00"/>
    <s v="Burger Camp, Pune"/>
    <s v="Farhan Shaikh"/>
    <d v="1975-09-24T00:00:00"/>
    <x v="19"/>
    <n v="258"/>
    <n v="1"/>
    <n v="258"/>
    <s v="Card"/>
    <x v="6"/>
    <s v="Less salt"/>
  </r>
  <r>
    <s v="BC20072"/>
    <x v="65"/>
    <x v="11"/>
    <d v="1899-12-30T16:58:00"/>
    <s v="Burger Camp, Pune"/>
    <s v="Farhan Naik"/>
    <d v="1992-05-09T00:00:00"/>
    <x v="10"/>
    <n v="42"/>
    <n v="3"/>
    <n v="127"/>
    <s v="UPI"/>
    <x v="7"/>
    <s v="Spicy"/>
  </r>
  <r>
    <s v="BC20073"/>
    <x v="66"/>
    <x v="7"/>
    <d v="1899-12-30T19:53:15"/>
    <s v="Burger Camp, Pune"/>
    <s v="Rahul Shinde"/>
    <d v="2001-08-06T00:00:00"/>
    <x v="5"/>
    <n v="220"/>
    <n v="1"/>
    <n v="221"/>
    <s v="Card"/>
    <x v="3"/>
    <s v="Extra cheese"/>
  </r>
  <r>
    <s v="BC20074"/>
    <x v="67"/>
    <x v="7"/>
    <d v="1899-12-30T10:39:00"/>
    <s v="Burger Camp, Pune"/>
    <s v=" Zara More "/>
    <d v="2001-08-06T00:00:00"/>
    <x v="18"/>
    <n v="176"/>
    <n v="1"/>
    <n v="176"/>
    <s v="UPI"/>
    <x v="4"/>
    <s v="Less salt"/>
  </r>
  <r>
    <s v="BC20075"/>
    <x v="68"/>
    <x v="0"/>
    <d v="1899-12-30T14:50:00"/>
    <s v="Burger Camp, Pune"/>
    <s v="Farhan Deshmukh"/>
    <d v="1984-05-22T00:00:00"/>
    <x v="19"/>
    <n v="286"/>
    <n v="2"/>
    <n v="573"/>
    <s v="Card"/>
    <x v="5"/>
    <s v="Less salt"/>
  </r>
  <r>
    <s v="BC20076"/>
    <x v="69"/>
    <x v="7"/>
    <d v="1899-12-30T14:02:00"/>
    <s v="Burger Camp, Pune"/>
    <s v="Kiran Naik"/>
    <d v="1972-03-28T00:00:00"/>
    <x v="19"/>
    <n v="272"/>
    <n v="1"/>
    <n v="273"/>
    <s v="Card"/>
    <x v="2"/>
    <s v="Extra cheese"/>
  </r>
  <r>
    <s v="BC20077"/>
    <x v="43"/>
    <x v="3"/>
    <d v="1899-12-30T15:38:00"/>
    <s v="Burger Camp, Pune"/>
    <s v="Zara Deshmukh"/>
    <d v="2010-05-26T00:00:00"/>
    <x v="20"/>
    <n v="309"/>
    <n v="1"/>
    <n v="310"/>
    <s v="UPI"/>
    <x v="0"/>
    <s v="Servd late"/>
  </r>
  <r>
    <s v="BC20078"/>
    <x v="70"/>
    <x v="1"/>
    <d v="1899-12-30T14:28:23"/>
    <s v="Burger Camp, Pune"/>
    <s v="Mubin Patil"/>
    <d v="2010-05-26T00:00:00"/>
    <x v="4"/>
    <n v="200"/>
    <n v="3"/>
    <n v="600"/>
    <s v="UPI"/>
    <x v="0"/>
    <s v="Spicy"/>
  </r>
  <r>
    <s v="BC20079"/>
    <x v="71"/>
    <x v="3"/>
    <d v="1899-12-30T17:09:00"/>
    <s v="Burger Camp, Pune"/>
    <s v="Zaid Naik"/>
    <d v="1974-06-09T00:00:00"/>
    <x v="12"/>
    <n v="232"/>
    <n v="2"/>
    <n v="465"/>
    <s v="Card"/>
    <x v="0"/>
    <s v="Spicy"/>
  </r>
  <r>
    <s v="BC20080"/>
    <x v="72"/>
    <x v="10"/>
    <d v="1899-12-30T17:20:11"/>
    <s v="Burger Camp, Pune"/>
    <s v="Farhan Naik"/>
    <d v="2006-04-11T00:00:00"/>
    <x v="7"/>
    <n v="99"/>
    <n v="1"/>
    <n v="99"/>
    <s v="Card"/>
    <x v="0"/>
    <s v="Spicy"/>
  </r>
  <r>
    <s v="BC20081"/>
    <x v="71"/>
    <x v="3"/>
    <d v="1899-12-30T14:42:00"/>
    <s v="Burger Camp, Pune"/>
    <s v="Zaid Deshmukh"/>
    <d v="2000-10-13T00:00:00"/>
    <x v="23"/>
    <n v="312"/>
    <n v="1"/>
    <n v="313"/>
    <s v="UPI"/>
    <x v="2"/>
    <s v="repeat customer"/>
  </r>
  <r>
    <s v="BC20082"/>
    <x v="71"/>
    <x v="3"/>
    <d v="1899-12-30T14:14:00"/>
    <s v="Burger Camp, Pune"/>
    <s v="Rahul Kulkarni"/>
    <d v="1998-06-13T00:00:00"/>
    <x v="14"/>
    <n v="220"/>
    <n v="1"/>
    <n v="220"/>
    <s v="Card"/>
    <x v="6"/>
    <s v="repeat customer"/>
  </r>
  <r>
    <s v="BC20083"/>
    <x v="73"/>
    <x v="1"/>
    <d v="1899-12-30T22:45:00"/>
    <s v="Burger Camp, Pune"/>
    <s v="Farhan Shaikh"/>
    <d v="1985-09-06T00:00:00"/>
    <x v="22"/>
    <n v="258"/>
    <n v="1"/>
    <n v="258"/>
    <s v="Card"/>
    <x v="1"/>
    <s v="repeat customer"/>
  </r>
  <r>
    <s v="BC20084"/>
    <x v="74"/>
    <x v="8"/>
    <d v="1899-12-30T17:07:00"/>
    <s v="Burger Camp, Pune"/>
    <s v="Pooja Kulkarni"/>
    <d v="1994-10-13T00:00:00"/>
    <x v="9"/>
    <n v="113"/>
    <n v="2"/>
    <n v="226"/>
    <s v="UPI"/>
    <x v="3"/>
    <s v="repeat customer"/>
  </r>
  <r>
    <s v="BC20085"/>
    <x v="75"/>
    <x v="0"/>
    <d v="1899-12-30T18:10:31"/>
    <s v="Burger Camp, Pune"/>
    <s v="Sneha Patil"/>
    <d v="1973-06-01T00:00:00"/>
    <x v="8"/>
    <n v="49"/>
    <n v="2"/>
    <n v="77"/>
    <s v="UPI"/>
    <x v="6"/>
    <s v="repeat customer"/>
  </r>
  <r>
    <s v="BC20086"/>
    <x v="5"/>
    <x v="2"/>
    <d v="1899-12-30T14:49:34"/>
    <s v="Burger Camp, Pune"/>
    <s v="Rahul Khan"/>
    <d v="1983-07-04T00:00:00"/>
    <x v="24"/>
    <n v="123"/>
    <n v="3"/>
    <n v="371"/>
    <s v="UPI"/>
    <x v="3"/>
    <s v="Spicy"/>
  </r>
  <r>
    <s v="BC20087"/>
    <x v="76"/>
    <x v="7"/>
    <d v="1899-12-30T19:22:34"/>
    <s v="Burger Camp, Pune"/>
    <s v="Zara Kulkarni"/>
    <d v="1988-05-19T00:00:00"/>
    <x v="11"/>
    <n v="234"/>
    <n v="1"/>
    <n v="235"/>
    <s v="Wallet"/>
    <x v="0"/>
    <s v="Spicy"/>
  </r>
  <r>
    <s v="BC20088"/>
    <x v="77"/>
    <x v="8"/>
    <d v="1899-12-30T20:26:24"/>
    <s v="Burger Camp, Pune"/>
    <s v="Mubin Shaikh"/>
    <d v="1988-05-19T00:00:00"/>
    <x v="10"/>
    <n v="50"/>
    <n v="1"/>
    <n v="51"/>
    <s v="Wallet"/>
    <x v="7"/>
    <s v="Servd late"/>
  </r>
  <r>
    <s v="BC20089"/>
    <x v="78"/>
    <x v="10"/>
    <d v="1899-12-30T19:54:31"/>
    <s v="Burger Camp, Pune"/>
    <s v="kiran khan"/>
    <d v="1999-01-04T00:00:00"/>
    <x v="2"/>
    <n v="321"/>
    <n v="2"/>
    <n v="643"/>
    <s v="UPI"/>
    <x v="5"/>
    <s v="repeat customer"/>
  </r>
  <r>
    <s v="BC20090"/>
    <x v="79"/>
    <x v="0"/>
    <d v="1899-12-30T16:41:00"/>
    <s v="Burger Camp, Pune"/>
    <s v="Mubin Khan"/>
    <d v="1999-01-04T00:00:00"/>
    <x v="15"/>
    <n v="327"/>
    <n v="1"/>
    <n v="327"/>
    <s v="Cash "/>
    <x v="3"/>
    <s v="repeat customer"/>
  </r>
  <r>
    <s v="BC20091"/>
    <x v="80"/>
    <x v="3"/>
    <d v="1899-12-30T11:33:00"/>
    <s v="Burger Camp, Pune"/>
    <s v="Zara Patil"/>
    <d v="2010-12-05T00:00:00"/>
    <x v="11"/>
    <n v="216"/>
    <n v="1"/>
    <n v="217"/>
    <s v="Cash "/>
    <x v="5"/>
    <s v="Custmer complaned"/>
  </r>
  <r>
    <s v="BC20092"/>
    <x v="76"/>
    <x v="7"/>
    <d v="1899-12-30T21:25:00"/>
    <s v="Burger Camp, Pune"/>
    <s v="Aarav Joshi"/>
    <d v="1991-12-12T00:00:00"/>
    <x v="4"/>
    <n v="232"/>
    <n v="1"/>
    <m/>
    <s v="Wallet"/>
    <x v="5"/>
    <s v="Extra cheese"/>
  </r>
  <r>
    <s v="BC20093"/>
    <x v="81"/>
    <x v="9"/>
    <d v="1899-12-30T16:44:00"/>
    <s v="Burger Camp, Pune"/>
    <s v="Kiran Kulkarni"/>
    <d v="1975-05-03T00:00:00"/>
    <x v="7"/>
    <n v="205"/>
    <n v="1"/>
    <n v="205"/>
    <s v="Wallet"/>
    <x v="5"/>
    <s v="Custmer complaned"/>
  </r>
  <r>
    <s v="BC20094"/>
    <x v="82"/>
    <x v="0"/>
    <d v="1899-12-30T11:00:00"/>
    <s v="Burger Camp, Pune"/>
    <s v="Aisha Khan"/>
    <d v="2003-09-26T00:00:00"/>
    <x v="25"/>
    <n v="115"/>
    <n v="1"/>
    <n v="115"/>
    <s v="Cash"/>
    <x v="6"/>
    <s v="Spicy"/>
  </r>
  <r>
    <s v="BC20095"/>
    <x v="83"/>
    <x v="1"/>
    <d v="1899-12-30T19:43:00"/>
    <s v="Burger Camp, Pune"/>
    <s v="riya kulkarni"/>
    <d v="1970-04-02T00:00:00"/>
    <x v="5"/>
    <n v="122"/>
    <n v="1"/>
    <n v="122"/>
    <s v="Cash"/>
    <x v="3"/>
    <s v="Less salt"/>
  </r>
  <r>
    <s v="BC20096"/>
    <x v="84"/>
    <x v="2"/>
    <d v="1899-12-30T11:56:29"/>
    <s v="Burger Camp, Pune"/>
    <s v="Anil Shinde"/>
    <d v="1993-04-10T00:00:00"/>
    <x v="10"/>
    <n v="89"/>
    <n v="2"/>
    <n v="180"/>
    <s v="Cash"/>
    <x v="2"/>
    <s v="Extra cheese"/>
  </r>
  <r>
    <s v="BC20097"/>
    <x v="85"/>
    <x v="0"/>
    <d v="1899-12-30T11:13:00"/>
    <s v="Burger Camp, Pune"/>
    <s v="Zaid More"/>
    <d v="1979-12-09T00:00:00"/>
    <x v="24"/>
    <n v="166"/>
    <n v="2"/>
    <n v="333"/>
    <s v="Cash "/>
    <x v="7"/>
    <s v="Servd late"/>
  </r>
  <r>
    <s v="BC20098"/>
    <x v="86"/>
    <x v="9"/>
    <d v="1899-12-30T15:28:00"/>
    <s v="Burger Camp, Pune"/>
    <s v="Mubin Joshi"/>
    <d v="1976-03-04T00:00:00"/>
    <x v="24"/>
    <n v="126"/>
    <n v="1"/>
    <n v="126"/>
    <s v="UPI"/>
    <x v="1"/>
    <s v="Less salt"/>
  </r>
  <r>
    <s v="BC20099"/>
    <x v="87"/>
    <x v="1"/>
    <d v="1899-12-30T20:19:00"/>
    <s v="Burger Camp, Pune"/>
    <s v="Aarav Deshmukh"/>
    <d v="1976-03-04T00:00:00"/>
    <x v="10"/>
    <n v="231"/>
    <n v="1"/>
    <n v="190"/>
    <s v="UPI"/>
    <x v="3"/>
    <s v="No onion"/>
  </r>
  <r>
    <s v="BC20100"/>
    <x v="88"/>
    <x v="1"/>
    <d v="1899-12-30T10:10:00"/>
    <s v="Burger Camp, Pune"/>
    <s v="Zaid Deshmukh"/>
    <d v="1997-03-12T00:00:00"/>
    <x v="9"/>
    <n v="145"/>
    <n v="2"/>
    <n v="290"/>
    <s v="Wallet"/>
    <x v="5"/>
    <s v="repeat customer"/>
  </r>
  <r>
    <s v="BC20101"/>
    <x v="89"/>
    <x v="11"/>
    <d v="1899-12-30T15:58:00"/>
    <s v="Burger Camp, Pune"/>
    <s v=" Farhan Deshmukh "/>
    <d v="2008-04-01T00:00:00"/>
    <x v="10"/>
    <n v="167"/>
    <n v="1"/>
    <n v="168"/>
    <s v="UPI"/>
    <x v="2"/>
    <s v="Spicy"/>
  </r>
  <r>
    <s v="BC20102"/>
    <x v="18"/>
    <x v="8"/>
    <d v="1899-12-30T22:47:44"/>
    <s v="Burger Camp, Pune"/>
    <s v="Zara Khan"/>
    <d v="2006-10-05T00:00:00"/>
    <x v="5"/>
    <n v="167"/>
    <n v="1"/>
    <m/>
    <s v="Wallet"/>
    <x v="3"/>
    <s v="Servd late"/>
  </r>
  <r>
    <s v="BC20103"/>
    <x v="18"/>
    <x v="8"/>
    <d v="1899-12-30T10:01:00"/>
    <s v="Burger Camp, Pune"/>
    <s v="Aisha Patil"/>
    <d v="1993-02-12T00:00:00"/>
    <x v="11"/>
    <n v="235"/>
    <n v="3"/>
    <n v="708"/>
    <s v="Card"/>
    <x v="4"/>
    <s v="Spicy"/>
  </r>
  <r>
    <s v="BC20104"/>
    <x v="90"/>
    <x v="9"/>
    <d v="1899-12-30T12:11:00"/>
    <s v="Burger Camp, Pune"/>
    <s v="Aisha Gore"/>
    <d v="2006-01-06T00:00:00"/>
    <x v="14"/>
    <n v="277"/>
    <n v="2"/>
    <n v="554"/>
    <s v="Wallet"/>
    <x v="1"/>
    <s v="Servd late"/>
  </r>
  <r>
    <s v="BC20105"/>
    <x v="91"/>
    <x v="10"/>
    <d v="1899-12-30T10:24:00"/>
    <s v="Burger Camp, Pune"/>
    <s v="Zaid Patil"/>
    <d v="1994-06-18T00:00:00"/>
    <x v="20"/>
    <n v="277"/>
    <n v="2"/>
    <n v="554"/>
    <s v="UPI"/>
    <x v="0"/>
    <s v="Spicy"/>
  </r>
  <r>
    <s v="BC20106"/>
    <x v="92"/>
    <x v="5"/>
    <d v="1899-12-30T15:38:39"/>
    <s v="Burger Camp, Pune"/>
    <s v="Aisha Khan"/>
    <d v="2008-07-06T00:00:00"/>
    <x v="3"/>
    <n v="178"/>
    <n v="1"/>
    <n v="178"/>
    <s v="UPI"/>
    <x v="4"/>
    <s v="No onion"/>
  </r>
  <r>
    <s v="BC20107"/>
    <x v="93"/>
    <x v="5"/>
    <d v="1899-12-30T11:30:00"/>
    <s v="Burger Camp, Pune"/>
    <s v="Anil Deshmukh"/>
    <d v="1986-02-21T00:00:00"/>
    <x v="1"/>
    <n v="216"/>
    <n v="1"/>
    <n v="217"/>
    <s v="UPI"/>
    <x v="4"/>
    <s v="No onion"/>
  </r>
  <r>
    <s v="BC20108"/>
    <x v="94"/>
    <x v="5"/>
    <d v="1899-12-30T18:43:55"/>
    <s v="Burger Camp, Pune"/>
    <s v="Zara Joshi"/>
    <d v="1972-09-19T00:00:00"/>
    <x v="10"/>
    <n v="78"/>
    <n v="2"/>
    <n v="158"/>
    <s v="UPI"/>
    <x v="7"/>
    <s v="Servd late"/>
  </r>
  <r>
    <s v="BC20109"/>
    <x v="95"/>
    <x v="5"/>
    <d v="1899-12-30T18:20:54"/>
    <s v="Burger Camp, Pune"/>
    <s v=" Rahul More "/>
    <d v="2009-10-17T00:00:00"/>
    <x v="12"/>
    <n v="283"/>
    <n v="2"/>
    <n v="567"/>
    <s v="UPI"/>
    <x v="7"/>
    <s v="repeat customer"/>
  </r>
  <r>
    <s v="BC20110"/>
    <x v="96"/>
    <x v="8"/>
    <d v="1899-12-30T10:25:56"/>
    <s v="Burger Camp, Pune"/>
    <s v="aisha joshi"/>
    <d v="1987-06-01T00:00:00"/>
    <x v="0"/>
    <n v="77"/>
    <n v="1"/>
    <n v="77"/>
    <s v="UPI"/>
    <x v="6"/>
    <s v="repeat customer"/>
  </r>
  <r>
    <s v="BC20111"/>
    <x v="97"/>
    <x v="1"/>
    <d v="1899-12-30T11:19:00"/>
    <s v="Burger Camp, Pune"/>
    <s v="Zaid Patil"/>
    <d v="2006-01-06T00:00:00"/>
    <x v="1"/>
    <n v="285"/>
    <n v="1"/>
    <n v="285"/>
    <s v="UPI"/>
    <x v="3"/>
    <s v="repeat customer"/>
  </r>
  <r>
    <s v="BC20112"/>
    <x v="98"/>
    <x v="6"/>
    <d v="1899-12-30T12:53:57"/>
    <s v="Burger Camp, Pune"/>
    <s v="Aisha Shaikh"/>
    <d v="1980-10-25T00:00:00"/>
    <x v="22"/>
    <n v="266"/>
    <n v="1"/>
    <n v="266"/>
    <s v="Cash "/>
    <x v="7"/>
    <s v="repeat customer"/>
  </r>
  <r>
    <s v="BC20113"/>
    <x v="99"/>
    <x v="9"/>
    <d v="1899-12-30T14:13:29"/>
    <s v="Burger Camp, Pune"/>
    <s v="Kiran Kulkarni"/>
    <d v="1976-01-17T00:00:00"/>
    <x v="17"/>
    <n v="149"/>
    <n v="2"/>
    <n v="298"/>
    <s v="Wallet"/>
    <x v="5"/>
    <s v="repeat customer"/>
  </r>
  <r>
    <s v="BC20114"/>
    <x v="100"/>
    <x v="0"/>
    <d v="1899-12-30T21:01:41"/>
    <s v="Burger Camp, Pune"/>
    <s v="Anil Naik"/>
    <d v="1972-10-23T00:00:00"/>
    <x v="3"/>
    <n v="288"/>
    <n v="2"/>
    <n v="577"/>
    <s v="UPI"/>
    <x v="2"/>
    <s v="No onion"/>
  </r>
  <r>
    <s v="BC20115"/>
    <x v="101"/>
    <x v="7"/>
    <d v="1899-12-30T16:50:56"/>
    <s v="Burger Camp, Pune"/>
    <s v="Farhan Naik"/>
    <d v="1977-08-02T00:00:00"/>
    <x v="18"/>
    <n v="280"/>
    <n v="2"/>
    <n v="560"/>
    <s v="UPI"/>
    <x v="3"/>
    <s v="Servd late"/>
  </r>
  <r>
    <s v="BC20116"/>
    <x v="102"/>
    <x v="8"/>
    <d v="1899-12-30T15:40:11"/>
    <s v="Burger Camp, Pune"/>
    <s v="kiran khan"/>
    <d v="1980-10-25T00:00:00"/>
    <x v="22"/>
    <n v="253"/>
    <n v="2"/>
    <n v="507"/>
    <s v="Cash"/>
    <x v="5"/>
    <s v="Less salt"/>
  </r>
  <r>
    <s v="BC20117"/>
    <x v="103"/>
    <x v="7"/>
    <d v="1899-12-30T14:08:06"/>
    <s v="Burger Camp, Pune"/>
    <s v="Rahul Gore"/>
    <d v="1972-05-10T00:00:00"/>
    <x v="16"/>
    <n v="223"/>
    <n v="1"/>
    <n v="224"/>
    <s v="Cash"/>
    <x v="3"/>
    <s v="No onion"/>
  </r>
  <r>
    <s v="BC20118"/>
    <x v="104"/>
    <x v="1"/>
    <d v="1899-12-30T16:56:40"/>
    <s v="Burger Camp, Pune"/>
    <s v="rahul gore"/>
    <d v="1972-05-10T00:00:00"/>
    <x v="15"/>
    <n v="232"/>
    <n v="2"/>
    <n v="466"/>
    <s v="Cash "/>
    <x v="3"/>
    <s v="repeat customer"/>
  </r>
  <r>
    <s v="BC20119"/>
    <x v="105"/>
    <x v="3"/>
    <d v="1899-12-30T14:07:00"/>
    <s v="Burger Camp, Pune"/>
    <s v="Pooja Joshi"/>
    <d v="2003-04-12T00:00:00"/>
    <x v="15"/>
    <n v="136"/>
    <n v="3"/>
    <n v="411"/>
    <s v="Card"/>
    <x v="1"/>
    <s v="No onion"/>
  </r>
  <r>
    <s v="BC20120"/>
    <x v="91"/>
    <x v="10"/>
    <d v="1899-12-30T14:16:00"/>
    <s v="Burger Camp, Pune"/>
    <s v="Mubin Patil"/>
    <d v="1993-11-11T00:00:00"/>
    <x v="11"/>
    <n v="209"/>
    <n v="2"/>
    <n v="419"/>
    <s v="Card"/>
    <x v="7"/>
    <s v="repeat customer"/>
  </r>
  <r>
    <s v="BC20121"/>
    <x v="106"/>
    <x v="11"/>
    <d v="1899-12-30T20:56:00"/>
    <s v="Burger Camp, Pune"/>
    <s v="Mubin Patil"/>
    <d v="1980-02-14T00:00:00"/>
    <x v="10"/>
    <n v="301"/>
    <n v="2"/>
    <n v="603"/>
    <s v="Card"/>
    <x v="5"/>
    <s v="repeat customer"/>
  </r>
  <r>
    <s v="BC20122"/>
    <x v="107"/>
    <x v="6"/>
    <d v="1899-12-30T20:55:00"/>
    <s v="Burger Camp, Pune"/>
    <s v="Rahul Gore"/>
    <d v="1985-08-12T00:00:00"/>
    <x v="21"/>
    <n v="219"/>
    <n v="1"/>
    <n v="220"/>
    <s v="Wallet"/>
    <x v="0"/>
    <s v="repeat customer"/>
  </r>
  <r>
    <s v="BC20123"/>
    <x v="14"/>
    <x v="7"/>
    <d v="1899-12-30T22:36:00"/>
    <s v="Burger Camp, Pune"/>
    <s v="Pooja More"/>
    <d v="1991-12-12T00:00:00"/>
    <x v="19"/>
    <n v="336"/>
    <n v="2"/>
    <n v="674"/>
    <s v="Wallet"/>
    <x v="6"/>
    <s v="Servd late"/>
  </r>
  <r>
    <s v="BC20124"/>
    <x v="10"/>
    <x v="6"/>
    <d v="1899-12-30T21:42:00"/>
    <s v="Burger Camp, Pune"/>
    <s v="Pooja Shaikh"/>
    <d v="1970-06-12T00:00:00"/>
    <x v="1"/>
    <n v="283"/>
    <n v="1"/>
    <n v="283"/>
    <s v="Wallet"/>
    <x v="4"/>
    <s v="Servd late"/>
  </r>
  <r>
    <s v="BC20125"/>
    <x v="17"/>
    <x v="3"/>
    <d v="1899-12-30T20:53:00"/>
    <s v="Burger Camp, Pune"/>
    <s v="Mubin More"/>
    <d v="1970-06-12T00:00:00"/>
    <x v="25"/>
    <n v="211"/>
    <n v="1"/>
    <n v="212"/>
    <s v="UPI"/>
    <x v="2"/>
    <s v="Servd late"/>
  </r>
  <r>
    <s v="BC20126"/>
    <x v="108"/>
    <x v="9"/>
    <d v="1899-12-30T14:25:21"/>
    <s v="Burger Camp, Pune"/>
    <s v="Pooja Patil"/>
    <d v="2002-05-27T00:00:00"/>
    <x v="2"/>
    <n v="231"/>
    <n v="1"/>
    <n v="231"/>
    <s v="Card"/>
    <x v="1"/>
    <s v="Servd late"/>
  </r>
  <r>
    <s v="BC20127"/>
    <x v="109"/>
    <x v="6"/>
    <d v="1899-12-30T20:47:00"/>
    <s v="Burger Camp, Pune"/>
    <s v="Anil Deshmukh"/>
    <d v="1971-07-05T00:00:00"/>
    <x v="3"/>
    <n v="165"/>
    <n v="3"/>
    <n v="496"/>
    <s v="Wallet"/>
    <x v="0"/>
    <s v="Less salt"/>
  </r>
  <r>
    <s v="BC20128"/>
    <x v="12"/>
    <x v="2"/>
    <d v="1899-12-30T21:42:03"/>
    <s v="Burger Camp, Pune"/>
    <s v="Zaid Deshmukh"/>
    <d v="1971-07-05T00:00:00"/>
    <x v="13"/>
    <n v="100"/>
    <n v="2"/>
    <n v="200"/>
    <s v="Wallet"/>
    <x v="4"/>
    <s v="Custmer complaned"/>
  </r>
  <r>
    <s v="BC20129"/>
    <x v="110"/>
    <x v="4"/>
    <d v="1899-12-30T12:11:00"/>
    <s v="Burger Camp, Pune"/>
    <s v="mubin deshmukh"/>
    <d v="1986-03-06T00:00:00"/>
    <x v="1"/>
    <n v="205"/>
    <n v="3"/>
    <n v="615"/>
    <s v="Card"/>
    <x v="4"/>
    <s v="Spicy"/>
  </r>
  <r>
    <s v="BC20130"/>
    <x v="111"/>
    <x v="2"/>
    <d v="1899-12-30T16:34:34"/>
    <s v="Burger Camp, Pune"/>
    <s v="Mubin Shinde"/>
    <d v="1991-06-12T00:00:00"/>
    <x v="12"/>
    <n v="296"/>
    <n v="2"/>
    <n v="593"/>
    <s v="Card"/>
    <x v="0"/>
    <s v="Custmer complaned"/>
  </r>
  <r>
    <s v="BC20131"/>
    <x v="23"/>
    <x v="2"/>
    <d v="1899-12-30T18:52:49"/>
    <s v="Burger Camp, Pune"/>
    <s v="Rahul Kulkarni"/>
    <d v="1982-06-17T00:00:00"/>
    <x v="22"/>
    <n v="211"/>
    <n v="2"/>
    <n v="422"/>
    <s v="UPI"/>
    <x v="5"/>
    <s v="Custmer complaned"/>
  </r>
  <r>
    <s v="BC20132"/>
    <x v="88"/>
    <x v="1"/>
    <d v="1899-12-30T10:11:50"/>
    <s v="Burger Camp, Pune"/>
    <s v="Rahul Shaikh"/>
    <d v="1986-07-13T00:00:00"/>
    <x v="5"/>
    <n v="219"/>
    <n v="1"/>
    <n v="220"/>
    <s v="Card"/>
    <x v="7"/>
    <s v="Custmer complaned"/>
  </r>
  <r>
    <s v="BC20133"/>
    <x v="112"/>
    <x v="9"/>
    <d v="1899-12-30T17:10:00"/>
    <s v="Burger Camp, Pune"/>
    <s v="Sneha Deshmukh"/>
    <d v="1988-11-05T00:00:00"/>
    <x v="21"/>
    <n v="219"/>
    <n v="1"/>
    <n v="220"/>
    <s v="Cash "/>
    <x v="4"/>
    <s v="Servd late"/>
  </r>
  <r>
    <s v="BC20134"/>
    <x v="69"/>
    <x v="7"/>
    <d v="1899-12-30T12:11:00"/>
    <s v="Burger Camp, Pune"/>
    <s v="Anil Joshi"/>
    <d v="2006-01-28T00:00:00"/>
    <x v="17"/>
    <n v="148"/>
    <n v="1"/>
    <n v="148"/>
    <s v="Wallet"/>
    <x v="2"/>
    <s v="Servd late"/>
  </r>
  <r>
    <s v="BC20135"/>
    <x v="113"/>
    <x v="4"/>
    <d v="1899-12-30T21:37:00"/>
    <s v="Burger Camp, Pune"/>
    <s v="Zara Shinde"/>
    <d v="1980-01-11T00:00:00"/>
    <x v="11"/>
    <n v="210"/>
    <n v="3"/>
    <n v="632"/>
    <s v="UPI"/>
    <x v="4"/>
    <s v="Custmer complaned"/>
  </r>
  <r>
    <s v="BC20136"/>
    <x v="79"/>
    <x v="0"/>
    <d v="1899-12-30T10:54:00"/>
    <s v="Burger Camp, Pune"/>
    <s v="Aarav Gore"/>
    <d v="1983-01-18T00:00:00"/>
    <x v="4"/>
    <n v="186"/>
    <n v="2"/>
    <n v="373"/>
    <s v="UPI"/>
    <x v="3"/>
    <s v="Custmer complaned"/>
  </r>
  <r>
    <s v="BC20137"/>
    <x v="114"/>
    <x v="8"/>
    <d v="1899-12-30T21:46:30"/>
    <s v="Burger Camp, Pune"/>
    <s v="Aarav Joshi"/>
    <d v="1986-06-08T00:00:00"/>
    <x v="24"/>
    <n v="160"/>
    <n v="3"/>
    <n v="483"/>
    <s v="Cash "/>
    <x v="3"/>
    <s v="repeat customer"/>
  </r>
  <r>
    <s v="BC20138"/>
    <x v="115"/>
    <x v="0"/>
    <d v="1899-12-30T18:16:00"/>
    <s v="Burger Camp, Pune"/>
    <s v="Rahul Deshmukh"/>
    <d v="1986-06-08T00:00:00"/>
    <x v="11"/>
    <n v="190"/>
    <n v="1"/>
    <n v="190"/>
    <s v="Card"/>
    <x v="1"/>
    <s v="repeat customer"/>
  </r>
  <r>
    <s v="BC20139"/>
    <x v="116"/>
    <x v="11"/>
    <d v="1899-12-30T19:10:41"/>
    <s v="Burger Camp, Pune"/>
    <s v="aarav joshi"/>
    <d v="1980-03-21T00:00:00"/>
    <x v="18"/>
    <n v="275"/>
    <n v="2"/>
    <n v="552"/>
    <s v="Card"/>
    <x v="6"/>
    <s v="Spicy"/>
  </r>
  <r>
    <s v="BC20140"/>
    <x v="13"/>
    <x v="7"/>
    <d v="1899-12-30T22:37:00"/>
    <s v="Burger Camp, Pune"/>
    <s v="Zara Kulkarni"/>
    <d v="1991-08-20T00:00:00"/>
    <x v="18"/>
    <n v="54"/>
    <n v="3"/>
    <n v="163"/>
    <s v="Card"/>
    <x v="3"/>
    <s v="Spicy"/>
  </r>
  <r>
    <s v="BC20141"/>
    <x v="117"/>
    <x v="11"/>
    <d v="1899-12-30T18:26:00"/>
    <s v="Burger Camp, Pune"/>
    <s v="Aisha Kulkarni"/>
    <d v="2000-07-12T00:00:00"/>
    <x v="8"/>
    <n v="38"/>
    <n v="1"/>
    <n v="84"/>
    <s v="Card"/>
    <x v="5"/>
    <s v="repeat customer"/>
  </r>
  <r>
    <s v="BC20142"/>
    <x v="40"/>
    <x v="0"/>
    <d v="1899-12-30T16:23:00"/>
    <s v="Burger Camp, Pune"/>
    <s v="Zaid Gore"/>
    <d v="1997-10-12T00:00:00"/>
    <x v="20"/>
    <n v="271"/>
    <n v="1"/>
    <n v="271"/>
    <s v="UPI"/>
    <x v="1"/>
    <s v="Less salt"/>
  </r>
  <r>
    <s v="BC20143"/>
    <x v="118"/>
    <x v="2"/>
    <d v="1899-12-30T22:35:00"/>
    <s v="Burger Camp, Pune"/>
    <s v="Kiran Khan"/>
    <d v="1970-02-27T00:00:00"/>
    <x v="4"/>
    <n v="159"/>
    <n v="3"/>
    <n v="479"/>
    <s v="Cash"/>
    <x v="3"/>
    <s v="Less salt"/>
  </r>
  <r>
    <s v="BC20144"/>
    <x v="118"/>
    <x v="2"/>
    <d v="1899-12-30T23:42:00"/>
    <s v="Burger Camp, Pune"/>
    <s v="anil joshi"/>
    <d v="2003-12-08T00:00:00"/>
    <x v="19"/>
    <n v="363"/>
    <n v="1"/>
    <n v="364"/>
    <s v="Card"/>
    <x v="2"/>
    <s v="Custmer complaned"/>
  </r>
  <r>
    <s v="BC20145"/>
    <x v="103"/>
    <x v="7"/>
    <d v="1899-12-30T17:59:00"/>
    <s v="Burger Camp, Pune"/>
    <s v="Aarav Naik"/>
    <d v="2005-02-17T00:00:00"/>
    <x v="15"/>
    <n v="110"/>
    <n v="3"/>
    <n v="332"/>
    <s v="Cash "/>
    <x v="1"/>
    <s v="repeat customer"/>
  </r>
  <r>
    <s v="BC20146"/>
    <x v="119"/>
    <x v="0"/>
    <d v="1899-12-30T20:44:14"/>
    <s v="Burger Camp, Pune"/>
    <s v=" Zaid Shinde "/>
    <d v="1986-04-10T00:00:00"/>
    <x v="14"/>
    <n v="269"/>
    <n v="1"/>
    <n v="269"/>
    <s v="Cash "/>
    <x v="4"/>
    <s v="Less salt"/>
  </r>
  <r>
    <s v="BC20147"/>
    <x v="120"/>
    <x v="7"/>
    <d v="1899-12-30T12:49:00"/>
    <s v="Burger Camp, Pune"/>
    <s v="Mubin More"/>
    <d v="2004-01-28T00:00:00"/>
    <x v="14"/>
    <n v="361"/>
    <n v="2"/>
    <n v="724"/>
    <s v="Card"/>
    <x v="0"/>
    <s v="Spicy"/>
  </r>
  <r>
    <s v="BC20148"/>
    <x v="121"/>
    <x v="4"/>
    <d v="1899-12-30T15:44:00"/>
    <s v="Burger Camp, Pune"/>
    <s v="Kiran Joshi"/>
    <d v="1993-10-28T00:00:00"/>
    <x v="4"/>
    <n v="168"/>
    <n v="3"/>
    <n v="506"/>
    <s v="Wallet"/>
    <x v="1"/>
    <s v="Custmer complaned"/>
  </r>
  <r>
    <s v="BC20149"/>
    <x v="14"/>
    <x v="7"/>
    <d v="1899-12-30T13:09:00"/>
    <s v="Burger Camp, Pune"/>
    <s v="Sneha More"/>
    <d v="2001-03-28T00:00:00"/>
    <x v="5"/>
    <n v="47"/>
    <n v="2"/>
    <n v="95"/>
    <s v="Card"/>
    <x v="7"/>
    <s v="Servd late"/>
  </r>
  <r>
    <s v="BC20150"/>
    <x v="122"/>
    <x v="5"/>
    <d v="1899-12-30T23:43:00"/>
    <s v="Burger Camp, Pune"/>
    <s v="Zara Gore"/>
    <d v="1988-06-11T00:00:00"/>
    <x v="9"/>
    <n v="192"/>
    <n v="2"/>
    <n v="385"/>
    <s v="UPI"/>
    <x v="2"/>
    <s v="Less salt"/>
  </r>
  <r>
    <s v="BC20151"/>
    <x v="123"/>
    <x v="10"/>
    <d v="1899-12-30T21:17:00"/>
    <s v="Burger Camp, Pune"/>
    <s v="Zaid Naik"/>
    <d v="1993-12-19T00:00:00"/>
    <x v="25"/>
    <n v="295"/>
    <n v="2"/>
    <m/>
    <s v="UPI"/>
    <x v="1"/>
    <s v="No onion"/>
  </r>
  <r>
    <s v="BC20152"/>
    <x v="124"/>
    <x v="10"/>
    <d v="1899-12-30T20:59:56"/>
    <s v="Burger Camp, Pune"/>
    <s v="Anil Joshi"/>
    <d v="2010-03-05T00:00:00"/>
    <x v="14"/>
    <n v="111"/>
    <n v="3"/>
    <n v="333"/>
    <s v="UPI"/>
    <x v="7"/>
    <s v="Servd late"/>
  </r>
  <r>
    <s v="BC20153"/>
    <x v="125"/>
    <x v="4"/>
    <d v="1899-12-30T17:19:23"/>
    <s v="Burger Camp, Pune"/>
    <s v=" Anil Patil "/>
    <d v="2010-03-05T00:00:00"/>
    <x v="14"/>
    <n v="102"/>
    <n v="1"/>
    <n v="102"/>
    <s v="Wallet"/>
    <x v="0"/>
    <s v="Servd late"/>
  </r>
  <r>
    <s v="BC20154"/>
    <x v="126"/>
    <x v="4"/>
    <d v="1899-12-30T21:47:41"/>
    <s v="Burger Camp, Pune"/>
    <s v="Zaid Joshi"/>
    <d v="1985-09-25T00:00:00"/>
    <x v="8"/>
    <n v="39"/>
    <n v="2"/>
    <m/>
    <s v="Cash"/>
    <x v="5"/>
    <s v="Spicy"/>
  </r>
  <r>
    <s v="BC20155"/>
    <x v="39"/>
    <x v="3"/>
    <d v="1899-12-30T21:28:00"/>
    <s v="Burger Camp, Pune"/>
    <s v="Riya Shaikh"/>
    <d v="1991-07-10T00:00:00"/>
    <x v="16"/>
    <n v="150"/>
    <n v="2"/>
    <n v="301"/>
    <s v="Card"/>
    <x v="4"/>
    <s v="repeat customer"/>
  </r>
  <r>
    <s v="BC20156"/>
    <x v="7"/>
    <x v="4"/>
    <d v="1899-12-30T13:29:00"/>
    <s v="Burger Camp, Pune"/>
    <s v="Rahul Joshi"/>
    <d v="1989-06-06T00:00:00"/>
    <x v="14"/>
    <n v="167"/>
    <n v="1"/>
    <n v="168"/>
    <s v="Card"/>
    <x v="0"/>
    <s v="Less salt"/>
  </r>
  <r>
    <s v="BC20157"/>
    <x v="127"/>
    <x v="11"/>
    <d v="1899-12-30T21:38:09"/>
    <s v="Burger Camp, Pune"/>
    <s v="Mubin Joshi"/>
    <d v="2009-06-25T00:00:00"/>
    <x v="11"/>
    <n v="194"/>
    <n v="1"/>
    <n v="194"/>
    <s v="UPI"/>
    <x v="7"/>
    <s v="Extra cheese"/>
  </r>
  <r>
    <s v="BC20158"/>
    <x v="128"/>
    <x v="4"/>
    <d v="1899-12-30T18:44:00"/>
    <s v="Burger Camp, Pune"/>
    <s v="Zara Patil"/>
    <d v="1999-05-28T00:00:00"/>
    <x v="24"/>
    <n v="194"/>
    <n v="1"/>
    <n v="194"/>
    <s v="Cash"/>
    <x v="2"/>
    <s v="Less salt"/>
  </r>
  <r>
    <s v="BC20159"/>
    <x v="34"/>
    <x v="1"/>
    <d v="1899-12-30T13:33:43"/>
    <s v="Burger Camp, Pune"/>
    <s v="Rahul Patil"/>
    <d v="1990-02-04T00:00:00"/>
    <x v="2"/>
    <n v="219"/>
    <n v="3"/>
    <n v="658"/>
    <s v="Card"/>
    <x v="5"/>
    <s v="Less salt"/>
  </r>
  <r>
    <s v="BC20160"/>
    <x v="40"/>
    <x v="0"/>
    <d v="1899-12-30T17:51:00"/>
    <s v="Burger Camp, Pune"/>
    <s v="Farhan Kulkarni"/>
    <d v="1993-12-02T00:00:00"/>
    <x v="19"/>
    <n v="356"/>
    <n v="1"/>
    <n v="357"/>
    <s v="UPI"/>
    <x v="1"/>
    <s v="Servd late"/>
  </r>
  <r>
    <s v="BC20161"/>
    <x v="116"/>
    <x v="11"/>
    <d v="1899-12-30T11:10:00"/>
    <s v="Burger Camp, Pune"/>
    <s v="Rahul Deshmukh"/>
    <d v="2004-10-15T00:00:00"/>
    <x v="8"/>
    <n v="51"/>
    <n v="2"/>
    <n v="103"/>
    <s v="UPI"/>
    <x v="5"/>
    <s v="Extra cheese"/>
  </r>
  <r>
    <s v="BC20162"/>
    <x v="78"/>
    <x v="10"/>
    <d v="1899-12-30T14:00:00"/>
    <s v="Burger Camp, Pune"/>
    <s v="riya shinde"/>
    <d v="1987-09-17T00:00:00"/>
    <x v="11"/>
    <n v="164"/>
    <n v="1"/>
    <n v="165"/>
    <s v="UPI"/>
    <x v="3"/>
    <s v="Extra cheese"/>
  </r>
  <r>
    <s v="BC20163"/>
    <x v="106"/>
    <x v="11"/>
    <d v="1899-12-30T19:41:00"/>
    <s v="Burger Camp, Pune"/>
    <s v="Aisha Gore"/>
    <d v="1991-06-27T00:00:00"/>
    <x v="22"/>
    <n v="109"/>
    <n v="1"/>
    <n v="152"/>
    <s v="UPI"/>
    <x v="1"/>
    <s v="Less salt"/>
  </r>
  <r>
    <s v="BC20164"/>
    <x v="129"/>
    <x v="9"/>
    <d v="1899-12-30T12:08:00"/>
    <s v="Burger Camp, Pune"/>
    <s v="Pooja Gore"/>
    <d v="1986-02-13T00:00:00"/>
    <x v="14"/>
    <n v="282"/>
    <n v="2"/>
    <n v="564"/>
    <s v="Card"/>
    <x v="0"/>
    <s v="repeat customer"/>
  </r>
  <r>
    <s v="BC20165"/>
    <x v="104"/>
    <x v="1"/>
    <d v="1899-12-30T15:38:00"/>
    <s v="Burger Camp, Pune"/>
    <s v="Anil Patil"/>
    <d v="1998-10-05T00:00:00"/>
    <x v="10"/>
    <n v="225"/>
    <n v="1"/>
    <n v="225"/>
    <s v="Cash "/>
    <x v="6"/>
    <s v="repeat customer"/>
  </r>
  <r>
    <s v="BC20166"/>
    <x v="130"/>
    <x v="5"/>
    <d v="1899-12-30T13:34:33"/>
    <s v="Burger Camp, Pune"/>
    <s v="Rahul More"/>
    <d v="1971-07-19T00:00:00"/>
    <x v="23"/>
    <n v="225"/>
    <n v="2"/>
    <n v="225"/>
    <s v="Card"/>
    <x v="5"/>
    <s v="Custmer complaned"/>
  </r>
  <r>
    <s v="BC20167"/>
    <x v="131"/>
    <x v="0"/>
    <d v="1899-12-30T18:45:06"/>
    <s v="Burger Camp, Pune"/>
    <s v="Pooja Gore"/>
    <d v="1971-07-19T00:00:00"/>
    <x v="0"/>
    <n v="108"/>
    <n v="2"/>
    <n v="218"/>
    <s v="Cash "/>
    <x v="5"/>
    <s v="Custmer complaned"/>
  </r>
  <r>
    <s v="BC20168"/>
    <x v="132"/>
    <x v="9"/>
    <d v="1899-12-30T18:17:00"/>
    <s v="Burger Camp, Pune"/>
    <s v="Farhan Deshmukh"/>
    <d v="1994-09-22T00:00:00"/>
    <x v="8"/>
    <n v="55"/>
    <n v="1"/>
    <n v="55"/>
    <s v="UPI"/>
    <x v="0"/>
    <s v="Spicy"/>
  </r>
  <r>
    <s v="BC20169"/>
    <x v="40"/>
    <x v="0"/>
    <d v="1899-12-30T15:04:00"/>
    <s v="Burger Camp, Pune"/>
    <s v="Aisha Shaikh"/>
    <d v="1979-12-01T00:00:00"/>
    <x v="25"/>
    <n v="157"/>
    <n v="3"/>
    <n v="472"/>
    <s v="Wallet"/>
    <x v="4"/>
    <s v="Less salt"/>
  </r>
  <r>
    <s v="BC20170"/>
    <x v="40"/>
    <x v="0"/>
    <d v="1899-12-30T11:44:49"/>
    <s v="Burger Camp, Pune"/>
    <s v="Sneha Kulkarni"/>
    <d v="1993-03-28T00:00:00"/>
    <x v="10"/>
    <n v="245"/>
    <n v="2"/>
    <n v="491"/>
    <s v="Card"/>
    <x v="6"/>
    <s v="Less salt"/>
  </r>
  <r>
    <s v="BC20171"/>
    <x v="133"/>
    <x v="9"/>
    <d v="1899-12-30T19:47:52"/>
    <s v="Burger Camp, Pune"/>
    <s v="Aisha Shinde"/>
    <d v="2006-10-18T00:00:00"/>
    <x v="24"/>
    <n v="157"/>
    <n v="2"/>
    <n v="315"/>
    <s v="UPI"/>
    <x v="5"/>
    <s v="Less salt"/>
  </r>
  <r>
    <s v="BC20172"/>
    <x v="134"/>
    <x v="10"/>
    <d v="1899-12-30T22:52:18"/>
    <s v="Burger Camp, Pune"/>
    <s v="Sneha Deshmukh"/>
    <d v="2003-03-15T00:00:00"/>
    <x v="6"/>
    <n v="99"/>
    <n v="2"/>
    <n v="199"/>
    <s v="UPI"/>
    <x v="1"/>
    <s v="No onion"/>
  </r>
  <r>
    <s v="BC20173"/>
    <x v="30"/>
    <x v="3"/>
    <d v="1899-12-30T11:33:45"/>
    <s v="Burger Camp, Pune"/>
    <s v="Aisha Kulkarni"/>
    <d v="2005-07-02T00:00:00"/>
    <x v="20"/>
    <n v="333"/>
    <n v="1"/>
    <n v="334"/>
    <s v="Wallet"/>
    <x v="5"/>
    <s v="Custmer complaned"/>
  </r>
  <r>
    <s v="BC20174"/>
    <x v="135"/>
    <x v="11"/>
    <d v="1899-12-30T18:51:00"/>
    <s v="Burger Camp, Pune"/>
    <s v="Pooja Joshi"/>
    <d v="1999-07-15T00:00:00"/>
    <x v="1"/>
    <n v="208"/>
    <n v="2"/>
    <n v="417"/>
    <s v="UPI"/>
    <x v="3"/>
    <s v="Spicy"/>
  </r>
  <r>
    <s v="BC20175"/>
    <x v="136"/>
    <x v="0"/>
    <d v="1899-12-30T17:47:37"/>
    <s v="Burger Camp, Pune"/>
    <s v="Aarav Shaikh"/>
    <d v="1994-02-25T00:00:00"/>
    <x v="16"/>
    <n v="186"/>
    <n v="1"/>
    <n v="186"/>
    <s v="Cash "/>
    <x v="0"/>
    <s v="Servd late"/>
  </r>
  <r>
    <s v="BC20176"/>
    <x v="137"/>
    <x v="10"/>
    <d v="1899-12-30T12:39:36"/>
    <s v="Burger Camp, Pune"/>
    <s v="Rahul More"/>
    <d v="2009-04-23T00:00:00"/>
    <x v="25"/>
    <n v="40"/>
    <n v="1"/>
    <n v="40"/>
    <s v="Card"/>
    <x v="7"/>
    <s v="Custmer complaned"/>
  </r>
  <r>
    <s v="BC20177"/>
    <x v="138"/>
    <x v="2"/>
    <d v="1899-12-30T11:43:21"/>
    <s v="Burger Camp, Pune"/>
    <s v=" Zaid Gore "/>
    <d v="1981-04-11T00:00:00"/>
    <x v="22"/>
    <n v="296"/>
    <n v="1"/>
    <n v="297"/>
    <s v="Card"/>
    <x v="5"/>
    <s v="Less salt"/>
  </r>
  <r>
    <s v="BC20178"/>
    <x v="107"/>
    <x v="6"/>
    <d v="1899-12-30T11:09:00"/>
    <s v="Burger Camp, Pune"/>
    <s v="Farhan Deshmukh"/>
    <d v="2006-10-13T00:00:00"/>
    <x v="15"/>
    <n v="186"/>
    <n v="1"/>
    <n v="186"/>
    <s v="Wallet"/>
    <x v="1"/>
    <s v="Less salt"/>
  </r>
  <r>
    <s v="BC20179"/>
    <x v="107"/>
    <x v="6"/>
    <d v="1899-12-30T17:57:00"/>
    <s v="Burger Camp, Pune"/>
    <s v="Riya Shinde"/>
    <d v="2003-05-25T00:00:00"/>
    <x v="2"/>
    <n v="290"/>
    <n v="3"/>
    <n v="871"/>
    <s v="Cash"/>
    <x v="1"/>
    <s v="Less salt"/>
  </r>
  <r>
    <s v="BC20180"/>
    <x v="139"/>
    <x v="0"/>
    <d v="1899-12-30T19:48:00"/>
    <s v="Burger Camp, Pune"/>
    <s v="Riya Shinde"/>
    <d v="2004-06-25T00:00:00"/>
    <x v="9"/>
    <n v="115"/>
    <n v="1"/>
    <n v="116"/>
    <s v="Card"/>
    <x v="6"/>
    <s v="Extra cheese"/>
  </r>
  <r>
    <s v="BC20181"/>
    <x v="139"/>
    <x v="0"/>
    <d v="1899-12-30T20:03:06"/>
    <s v="Burger Camp, Pune"/>
    <s v="Aarav Shaikh"/>
    <d v="2008-10-21T00:00:00"/>
    <x v="15"/>
    <n v="111"/>
    <n v="2"/>
    <n v="222"/>
    <s v="Card"/>
    <x v="6"/>
    <s v="Less salt"/>
  </r>
  <r>
    <s v="BC20182"/>
    <x v="140"/>
    <x v="7"/>
    <d v="1899-12-30T15:25:00"/>
    <s v="Burger Camp, Pune"/>
    <s v="Kiran Shinde"/>
    <d v="1999-08-01T00:00:00"/>
    <x v="10"/>
    <n v="300"/>
    <n v="2"/>
    <n v="601"/>
    <s v="UPI"/>
    <x v="4"/>
    <s v="Less salt"/>
  </r>
  <r>
    <s v="BC20183"/>
    <x v="141"/>
    <x v="2"/>
    <d v="1899-12-30T16:04:00"/>
    <s v="Burger Camp, Pune"/>
    <s v="Aisha Gore"/>
    <d v="2006-06-18T00:00:00"/>
    <x v="12"/>
    <n v="287"/>
    <n v="1"/>
    <n v="287"/>
    <s v="UPI"/>
    <x v="2"/>
    <s v="Less salt"/>
  </r>
  <r>
    <s v="BC20184"/>
    <x v="142"/>
    <x v="0"/>
    <d v="1899-12-30T13:52:00"/>
    <s v="Burger Camp, Pune"/>
    <s v="Kiran Khan"/>
    <d v="1998-09-10T00:00:00"/>
    <x v="17"/>
    <n v="142"/>
    <n v="1"/>
    <n v="142"/>
    <s v="UPI"/>
    <x v="3"/>
    <s v="Custmer complaned"/>
  </r>
  <r>
    <s v="BC20185"/>
    <x v="94"/>
    <x v="5"/>
    <d v="1899-12-30T10:45:35"/>
    <s v="Burger Camp, Pune"/>
    <s v="Mubin Naik"/>
    <d v="2007-07-21T00:00:00"/>
    <x v="14"/>
    <n v="258"/>
    <n v="1"/>
    <m/>
    <s v="UPI"/>
    <x v="0"/>
    <s v="Spicy"/>
  </r>
  <r>
    <s v="BC20186"/>
    <x v="35"/>
    <x v="3"/>
    <d v="1899-12-30T23:29:00"/>
    <s v="Burger Camp, Pune"/>
    <s v="Zara Deshmukh"/>
    <d v="1997-09-27T00:00:00"/>
    <x v="25"/>
    <n v="301"/>
    <n v="2"/>
    <n v="603"/>
    <s v="Card"/>
    <x v="3"/>
    <s v="Spicy"/>
  </r>
  <r>
    <s v="BC20187"/>
    <x v="143"/>
    <x v="10"/>
    <d v="1899-12-30T18:56:00"/>
    <s v="Burger Camp, Pune"/>
    <s v="Riya More"/>
    <d v="1974-11-21T00:00:00"/>
    <x v="14"/>
    <n v="92"/>
    <n v="1"/>
    <n v="93"/>
    <s v="Cash "/>
    <x v="7"/>
    <s v="Extra cheese"/>
  </r>
  <r>
    <s v="BC20188"/>
    <x v="144"/>
    <x v="0"/>
    <d v="1899-12-30T19:03:42"/>
    <s v="Burger Camp, Pune"/>
    <s v="aisha gore"/>
    <d v="1978-09-03T00:00:00"/>
    <x v="21"/>
    <n v="228"/>
    <n v="1"/>
    <n v="229"/>
    <s v="Cash"/>
    <x v="2"/>
    <s v="No onion"/>
  </r>
  <r>
    <s v="BC20189"/>
    <x v="145"/>
    <x v="8"/>
    <d v="1899-12-30T23:31:48"/>
    <s v="Burger Camp, Pune"/>
    <s v="Zaid Joshi"/>
    <d v="1980-04-19T00:00:00"/>
    <x v="1"/>
    <n v="206"/>
    <n v="2"/>
    <n v="413"/>
    <s v="UPI"/>
    <x v="5"/>
    <s v="Custmer complaned"/>
  </r>
  <r>
    <s v="BC20190"/>
    <x v="110"/>
    <x v="4"/>
    <d v="1899-12-30T18:43:00"/>
    <s v="Burger Camp, Pune"/>
    <s v="Rahul Shinde"/>
    <d v="1987-06-09T00:00:00"/>
    <x v="25"/>
    <n v="191"/>
    <n v="1"/>
    <n v="153"/>
    <s v="UPI"/>
    <x v="2"/>
    <s v="Less salt"/>
  </r>
  <r>
    <s v="BC20191"/>
    <x v="78"/>
    <x v="10"/>
    <d v="1899-12-30T10:39:00"/>
    <s v="Burger Camp, Pune"/>
    <s v="Zara Joshi"/>
    <d v="1977-02-28T00:00:00"/>
    <x v="12"/>
    <n v="299"/>
    <n v="2"/>
    <n v="599"/>
    <s v="Card"/>
    <x v="7"/>
    <s v="Spicy"/>
  </r>
  <r>
    <s v="BC20192"/>
    <x v="49"/>
    <x v="5"/>
    <d v="1899-12-30T16:24:00"/>
    <s v="Burger Camp, Pune"/>
    <s v="Anil Naik"/>
    <d v="1982-10-13T00:00:00"/>
    <x v="9"/>
    <n v="152"/>
    <n v="1"/>
    <n v="152"/>
    <s v="Cash"/>
    <x v="5"/>
    <s v="repeat customer"/>
  </r>
  <r>
    <s v="BC20193"/>
    <x v="146"/>
    <x v="10"/>
    <d v="1899-12-30T16:36:00"/>
    <s v="Burger Camp, Pune"/>
    <s v="Aisha More"/>
    <d v="1982-10-13T00:00:00"/>
    <x v="15"/>
    <n v="51"/>
    <n v="1"/>
    <n v="52"/>
    <s v="Card"/>
    <x v="1"/>
    <s v="repeat customer"/>
  </r>
  <r>
    <s v="BC20194"/>
    <x v="147"/>
    <x v="10"/>
    <d v="1899-12-30T18:02:00"/>
    <s v="Burger Camp, Pune"/>
    <s v="Riya Naik"/>
    <d v="2010-12-12T00:00:00"/>
    <x v="2"/>
    <n v="209"/>
    <n v="2"/>
    <m/>
    <s v="Card"/>
    <x v="5"/>
    <s v="Servd late"/>
  </r>
  <r>
    <s v="BC20195"/>
    <x v="148"/>
    <x v="5"/>
    <d v="1899-12-30T22:41:00"/>
    <s v="Burger Camp, Pune"/>
    <s v="Pooja Kulkarni"/>
    <d v="1974-01-24T00:00:00"/>
    <x v="0"/>
    <n v="100"/>
    <n v="1"/>
    <n v="100"/>
    <s v="Card"/>
    <x v="1"/>
    <s v="Servd late"/>
  </r>
  <r>
    <s v="BC20196"/>
    <x v="149"/>
    <x v="6"/>
    <d v="1899-12-30T11:51:12"/>
    <s v="Burger Camp, Pune"/>
    <s v="Farhan Deshmukh"/>
    <d v="2006-09-05T00:00:00"/>
    <x v="16"/>
    <n v="149"/>
    <n v="3"/>
    <n v="409"/>
    <s v="UPI"/>
    <x v="3"/>
    <s v="Extra cheese"/>
  </r>
  <r>
    <s v="BC20197"/>
    <x v="150"/>
    <x v="4"/>
    <d v="1899-12-30T12:59:00"/>
    <s v="Burger Camp, Pune"/>
    <s v="Kiran Gore"/>
    <d v="2000-12-05T00:00:00"/>
    <x v="9"/>
    <n v="156"/>
    <n v="1"/>
    <n v="156"/>
    <s v="Card"/>
    <x v="2"/>
    <s v="Extra cheese"/>
  </r>
  <r>
    <s v="BC20198"/>
    <x v="138"/>
    <x v="2"/>
    <d v="1899-12-30T14:03:00"/>
    <s v="Burger Camp, Pune"/>
    <s v="Sneha More"/>
    <d v="1972-01-21T00:00:00"/>
    <x v="1"/>
    <n v="199"/>
    <n v="1"/>
    <n v="200"/>
    <s v="Card"/>
    <x v="0"/>
    <s v="Less salt"/>
  </r>
  <r>
    <s v="BC20199"/>
    <x v="151"/>
    <x v="11"/>
    <d v="1899-12-30T22:07:00"/>
    <s v="Burger Camp, Pune"/>
    <s v="Mubin Joshi"/>
    <d v="1994-04-03T00:00:00"/>
    <x v="20"/>
    <n v="273"/>
    <n v="3"/>
    <n v="787"/>
    <s v="Card"/>
    <x v="6"/>
    <s v="repeat customer"/>
  </r>
  <r>
    <s v="BC20200"/>
    <x v="152"/>
    <x v="8"/>
    <d v="1899-12-30T14:38:00"/>
    <s v="Burger Camp, Pune"/>
    <s v="Zara Patil"/>
    <d v="1984-02-14T00:00:00"/>
    <x v="13"/>
    <n v="90"/>
    <n v="1"/>
    <n v="91"/>
    <s v="UPI"/>
    <x v="5"/>
    <s v="Extra cheese"/>
  </r>
  <r>
    <s v="BC20201"/>
    <x v="153"/>
    <x v="4"/>
    <d v="1899-12-30T16:33:25"/>
    <s v="Burger Camp, Pune"/>
    <s v="Aisha Shaikh"/>
    <d v="2005-01-23T00:00:00"/>
    <x v="21"/>
    <n v="205"/>
    <n v="1"/>
    <n v="205"/>
    <s v="Card"/>
    <x v="6"/>
    <s v="Extra cheese"/>
  </r>
  <r>
    <s v="BC20202"/>
    <x v="154"/>
    <x v="0"/>
    <d v="1899-12-30T18:02:18"/>
    <s v="Burger Camp, Pune"/>
    <s v="Anil Gore"/>
    <d v="1975-10-11T00:00:00"/>
    <x v="12"/>
    <n v="261"/>
    <n v="1"/>
    <n v="262"/>
    <s v="Card"/>
    <x v="6"/>
    <s v="Less salt"/>
  </r>
  <r>
    <s v="BC20203"/>
    <x v="103"/>
    <x v="7"/>
    <d v="1899-12-30T18:43:27"/>
    <s v="Burger Camp, Pune"/>
    <s v="Aarav Shaikh"/>
    <d v="2002-09-27T00:00:00"/>
    <x v="24"/>
    <n v="145"/>
    <n v="2"/>
    <n v="291"/>
    <s v="UPI"/>
    <x v="7"/>
    <s v="No onion"/>
  </r>
  <r>
    <s v="BC20204"/>
    <x v="17"/>
    <x v="3"/>
    <d v="1899-12-30T21:09:00"/>
    <s v="Burger Camp, Pune"/>
    <s v=" Riya Kulkarni "/>
    <d v="1996-11-18T00:00:00"/>
    <x v="17"/>
    <n v="119"/>
    <n v="3"/>
    <n v="358"/>
    <s v="Card"/>
    <x v="2"/>
    <s v="No onion"/>
  </r>
  <r>
    <s v="BC20205"/>
    <x v="155"/>
    <x v="6"/>
    <d v="1899-12-30T17:19:00"/>
    <s v="Burger Camp, Pune"/>
    <s v="Anil Patil"/>
    <d v="1993-05-25T00:00:00"/>
    <x v="15"/>
    <n v="104"/>
    <n v="1"/>
    <n v="104"/>
    <s v="Card"/>
    <x v="7"/>
    <s v="Servd late"/>
  </r>
  <r>
    <s v="BC20206"/>
    <x v="156"/>
    <x v="8"/>
    <d v="1899-12-30T20:20:00"/>
    <s v="Burger Camp, Pune"/>
    <s v="Farhan More"/>
    <d v="1989-02-01T00:00:00"/>
    <x v="11"/>
    <n v="153"/>
    <n v="3"/>
    <n v="460"/>
    <s v="Card"/>
    <x v="2"/>
    <s v="No onion"/>
  </r>
  <r>
    <s v="BC20207"/>
    <x v="50"/>
    <x v="4"/>
    <d v="1899-12-30T20:35:07"/>
    <s v="Burger Camp, Pune"/>
    <s v="Aarav Deshmukh"/>
    <d v="1992-02-11T00:00:00"/>
    <x v="2"/>
    <n v="209"/>
    <n v="2"/>
    <n v="419"/>
    <s v="Cash"/>
    <x v="2"/>
    <s v="repeat customer"/>
  </r>
  <r>
    <s v="BC20208"/>
    <x v="157"/>
    <x v="8"/>
    <d v="1899-12-30T15:24:00"/>
    <s v="Burger Camp, Pune"/>
    <s v="Anil Shinde"/>
    <d v="2005-02-07T00:00:00"/>
    <x v="20"/>
    <n v="325"/>
    <n v="1"/>
    <n v="326"/>
    <s v="Card"/>
    <x v="1"/>
    <s v="repeat customer"/>
  </r>
  <r>
    <s v="BC20209"/>
    <x v="157"/>
    <x v="8"/>
    <d v="1899-12-30T20:58:17"/>
    <s v="Burger Camp, Pune"/>
    <s v="Sneha Kulkarni"/>
    <d v="1978-04-06T00:00:00"/>
    <x v="7"/>
    <n v="195"/>
    <n v="2"/>
    <n v="390"/>
    <s v="Cash "/>
    <x v="0"/>
    <s v="Spicy"/>
  </r>
  <r>
    <s v="BC20210"/>
    <x v="158"/>
    <x v="4"/>
    <d v="1899-12-30T10:07:48"/>
    <s v="Burger Camp, Pune"/>
    <s v="Pooja Shaikh"/>
    <d v="2000-10-14T00:00:00"/>
    <x v="4"/>
    <n v="196"/>
    <n v="1"/>
    <n v="197"/>
    <s v="Card"/>
    <x v="0"/>
    <s v="Servd late"/>
  </r>
  <r>
    <s v="BC20211"/>
    <x v="159"/>
    <x v="5"/>
    <d v="1899-12-30T18:12:00"/>
    <s v="Burger Camp, Pune"/>
    <s v="Sneha Shaikh"/>
    <d v="1990-06-27T00:00:00"/>
    <x v="12"/>
    <n v="280"/>
    <n v="1"/>
    <n v="280"/>
    <s v="Wallet"/>
    <x v="4"/>
    <s v="Servd late"/>
  </r>
  <r>
    <s v="BC20212"/>
    <x v="160"/>
    <x v="0"/>
    <d v="1899-12-30T16:29:00"/>
    <s v="Burger Camp, Pune"/>
    <s v="Mubin Patil"/>
    <d v="1989-12-12T00:00:00"/>
    <x v="20"/>
    <n v="313"/>
    <n v="1"/>
    <n v="314"/>
    <s v="Wallet"/>
    <x v="3"/>
    <s v="No onion"/>
  </r>
  <r>
    <s v="BC20213"/>
    <x v="161"/>
    <x v="9"/>
    <d v="1899-12-30T11:01:49"/>
    <s v="Burger Camp, Pune"/>
    <s v=" Zaid Khan "/>
    <d v="2002-10-02T00:00:00"/>
    <x v="10"/>
    <n v="271"/>
    <n v="2"/>
    <n v="542"/>
    <s v="UPI"/>
    <x v="4"/>
    <s v="No onion"/>
  </r>
  <r>
    <s v="BC20214"/>
    <x v="162"/>
    <x v="6"/>
    <d v="1899-12-30T18:13:00"/>
    <s v="Burger Camp, Pune"/>
    <s v="Anil Patil"/>
    <d v="1976-04-17T00:00:00"/>
    <x v="20"/>
    <n v="329"/>
    <n v="2"/>
    <n v="659"/>
    <s v="Card"/>
    <x v="7"/>
    <s v="No onion"/>
  </r>
  <r>
    <s v="BC20215"/>
    <x v="163"/>
    <x v="5"/>
    <d v="1899-12-30T11:24:18"/>
    <s v="Burger Camp, Pune"/>
    <s v="Zara Naik"/>
    <d v="1984-09-14T00:00:00"/>
    <x v="3"/>
    <n v="247"/>
    <n v="1"/>
    <n v="247"/>
    <s v="Card"/>
    <x v="3"/>
    <s v="No onion"/>
  </r>
  <r>
    <s v="BC20216"/>
    <x v="164"/>
    <x v="1"/>
    <d v="1899-12-30T13:38:54"/>
    <s v="Burger Camp, Pune"/>
    <s v="Mubin Joshi"/>
    <d v="1987-12-25T00:00:00"/>
    <x v="4"/>
    <n v="193"/>
    <n v="2"/>
    <n v="387"/>
    <s v="UPI"/>
    <x v="5"/>
    <s v="No onion"/>
  </r>
  <r>
    <s v="BC20217"/>
    <x v="165"/>
    <x v="5"/>
    <d v="1899-12-30T20:01:11"/>
    <s v="Burger Camp, Pune"/>
    <s v="Zara Shinde"/>
    <d v="1976-02-22T00:00:00"/>
    <x v="14"/>
    <n v="103"/>
    <n v="1"/>
    <n v="103"/>
    <s v="UPI"/>
    <x v="6"/>
    <s v="No onion"/>
  </r>
  <r>
    <s v="BC20218"/>
    <x v="166"/>
    <x v="5"/>
    <d v="1899-12-30T21:10:31"/>
    <s v="Burger Camp, Pune"/>
    <s v="Sneha Naik"/>
    <d v="1977-10-22T00:00:00"/>
    <x v="18"/>
    <n v="197"/>
    <n v="1"/>
    <n v="197"/>
    <s v="Card"/>
    <x v="2"/>
    <s v="Extra cheese"/>
  </r>
  <r>
    <s v="BC20219"/>
    <x v="79"/>
    <x v="0"/>
    <d v="1899-12-30T16:22:22"/>
    <s v="Burger Camp, Pune"/>
    <s v="Farhan Khan"/>
    <d v="1989-10-03T00:00:00"/>
    <x v="5"/>
    <n v="229"/>
    <n v="1"/>
    <n v="230"/>
    <s v="UPI"/>
    <x v="2"/>
    <s v="No onion"/>
  </r>
  <r>
    <s v="BC20220"/>
    <x v="167"/>
    <x v="4"/>
    <d v="1899-12-30T15:31:00"/>
    <s v="Burger Camp, Pune"/>
    <s v="Farhan Patil"/>
    <d v="1997-04-16T00:00:00"/>
    <x v="17"/>
    <n v="123"/>
    <n v="3"/>
    <n v="372"/>
    <s v="Card"/>
    <x v="6"/>
    <s v="repeat customer"/>
  </r>
  <r>
    <s v="BC20221"/>
    <x v="168"/>
    <x v="7"/>
    <d v="1899-12-30T20:52:00"/>
    <s v="Burger Camp, Pune"/>
    <s v="Anil Deshmukh"/>
    <d v="1996-07-09T00:00:00"/>
    <x v="22"/>
    <n v="196"/>
    <n v="3"/>
    <n v="591"/>
    <s v="UPI"/>
    <x v="5"/>
    <s v="repeat customer"/>
  </r>
  <r>
    <s v="BC20222"/>
    <x v="42"/>
    <x v="7"/>
    <d v="1899-12-30T13:09:00"/>
    <s v="Burger Camp, Pune"/>
    <s v="Anil Deshmukh"/>
    <d v="1974-11-07T00:00:00"/>
    <x v="6"/>
    <n v="91"/>
    <n v="2"/>
    <n v="183"/>
    <s v="Cash"/>
    <x v="4"/>
    <s v="Spicy"/>
  </r>
  <r>
    <s v="BC20223"/>
    <x v="169"/>
    <x v="10"/>
    <d v="1899-12-30T22:51:00"/>
    <s v="Burger Camp, Pune"/>
    <s v="Rahul Patil"/>
    <d v="2001-01-02T00:00:00"/>
    <x v="4"/>
    <n v="210"/>
    <n v="3"/>
    <n v="630"/>
    <s v="Cash "/>
    <x v="6"/>
    <s v="No onion"/>
  </r>
  <r>
    <s v="BC20224"/>
    <x v="170"/>
    <x v="7"/>
    <d v="1899-12-30T15:53:00"/>
    <s v="Burger Camp, Pune"/>
    <s v="Zaid Joshi"/>
    <d v="1976-03-07T00:00:00"/>
    <x v="5"/>
    <n v="312"/>
    <n v="1"/>
    <n v="312"/>
    <s v="Cash "/>
    <x v="5"/>
    <s v="Extra cheese"/>
  </r>
  <r>
    <s v="BC20225"/>
    <x v="171"/>
    <x v="0"/>
    <d v="1899-12-30T21:58:00"/>
    <s v="Burger Camp, Pune"/>
    <s v="Riya Naik"/>
    <d v="1976-03-07T00:00:00"/>
    <x v="6"/>
    <n v="122"/>
    <n v="1"/>
    <n v="123"/>
    <s v="UPI"/>
    <x v="5"/>
    <s v="Custmer complaned"/>
  </r>
  <r>
    <s v="BC20226"/>
    <x v="172"/>
    <x v="3"/>
    <d v="1899-12-30T17:47:26"/>
    <s v="Burger Camp, Pune"/>
    <s v="Aisha Deshmukh"/>
    <d v="1980-12-09T00:00:00"/>
    <x v="24"/>
    <n v="149"/>
    <n v="1"/>
    <n v="150"/>
    <s v="Card"/>
    <x v="1"/>
    <s v="Spicy"/>
  </r>
  <r>
    <s v="BC20227"/>
    <x v="173"/>
    <x v="7"/>
    <d v="1899-12-30T23:38:43"/>
    <s v="Burger Camp, Pune"/>
    <s v="Farhan More"/>
    <d v="1986-03-22T00:00:00"/>
    <x v="20"/>
    <n v="274"/>
    <n v="3"/>
    <n v="823"/>
    <s v="Card"/>
    <x v="4"/>
    <s v="Custmer complaned"/>
  </r>
  <r>
    <s v="BC20228"/>
    <x v="174"/>
    <x v="11"/>
    <d v="1899-12-30T16:39:00"/>
    <s v="Burger Camp, Pune"/>
    <s v="Anil Patil"/>
    <d v="2006-02-01T00:00:00"/>
    <x v="12"/>
    <n v="242"/>
    <n v="2"/>
    <n v="486"/>
    <s v="Cash "/>
    <x v="4"/>
    <s v="repeat customer"/>
  </r>
  <r>
    <s v="BC20229"/>
    <x v="102"/>
    <x v="8"/>
    <d v="1899-12-30T10:18:00"/>
    <s v="Burger Camp, Pune"/>
    <s v="Zara More"/>
    <d v="1999-02-01T00:00:00"/>
    <x v="15"/>
    <n v="288"/>
    <n v="2"/>
    <n v="577"/>
    <s v="Cash"/>
    <x v="5"/>
    <s v="Custmer complaned"/>
  </r>
  <r>
    <s v="BC20230"/>
    <x v="9"/>
    <x v="2"/>
    <d v="1899-12-30T16:42:00"/>
    <s v="Burger Camp, Pune"/>
    <s v="Rahul Khan"/>
    <d v="2002-08-11T00:00:00"/>
    <x v="13"/>
    <n v="95"/>
    <n v="2"/>
    <n v="192"/>
    <s v="Cash "/>
    <x v="7"/>
    <s v="Custmer complaned"/>
  </r>
  <r>
    <s v="BC20231"/>
    <x v="84"/>
    <x v="2"/>
    <d v="1899-12-30T15:47:00"/>
    <s v="Burger Camp, Pune"/>
    <s v="rahul more"/>
    <d v="1984-03-02T00:00:00"/>
    <x v="1"/>
    <n v="235"/>
    <n v="2"/>
    <n v="471"/>
    <s v="UPI"/>
    <x v="3"/>
    <s v="Custmer complaned"/>
  </r>
  <r>
    <s v="BC20232"/>
    <x v="169"/>
    <x v="10"/>
    <d v="1899-12-30T19:00:00"/>
    <s v="Burger Camp, Pune"/>
    <s v="Sneha Deshmukh"/>
    <d v="1984-03-02T00:00:00"/>
    <x v="3"/>
    <n v="153"/>
    <n v="2"/>
    <n v="308"/>
    <s v="Cash"/>
    <x v="2"/>
    <s v="Extra cheese"/>
  </r>
  <r>
    <s v="BC20233"/>
    <x v="40"/>
    <x v="0"/>
    <d v="1899-12-30T15:46:00"/>
    <s v="Burger Camp, Pune"/>
    <s v="Sneha Joshi"/>
    <d v="1988-06-26T00:00:00"/>
    <x v="13"/>
    <n v="98"/>
    <n v="2"/>
    <n v="198"/>
    <s v="UPI"/>
    <x v="1"/>
    <s v="Custmer complaned"/>
  </r>
  <r>
    <s v="BC20234"/>
    <x v="158"/>
    <x v="4"/>
    <d v="1899-12-30T20:38:08"/>
    <s v="Burger Camp, Pune"/>
    <s v="Kiran Shaikh"/>
    <d v="2001-08-13T00:00:00"/>
    <x v="9"/>
    <n v="290"/>
    <n v="1"/>
    <n v="290"/>
    <s v="Card"/>
    <x v="7"/>
    <s v="Custmer complaned"/>
  </r>
  <r>
    <s v="BC20235"/>
    <x v="126"/>
    <x v="4"/>
    <d v="1899-12-30T14:09:00"/>
    <s v="Burger Camp, Pune"/>
    <s v="Anil Joshi"/>
    <d v="1973-09-03T00:00:00"/>
    <x v="3"/>
    <n v="201"/>
    <n v="1"/>
    <n v="201"/>
    <s v="Cash"/>
    <x v="1"/>
    <s v="repeat customer"/>
  </r>
  <r>
    <s v="BC20236"/>
    <x v="175"/>
    <x v="11"/>
    <d v="1899-12-30T22:42:00"/>
    <s v="Burger Camp, Pune"/>
    <s v="Anil Shinde"/>
    <d v="1981-04-06T00:00:00"/>
    <x v="5"/>
    <n v="162"/>
    <n v="3"/>
    <n v="488"/>
    <s v="Card"/>
    <x v="0"/>
    <s v="Custmer complaned"/>
  </r>
  <r>
    <s v="BC20237"/>
    <x v="176"/>
    <x v="3"/>
    <d v="1899-12-30T13:07:00"/>
    <s v="Burger Camp, Pune"/>
    <s v="Aisha Joshi"/>
    <d v="1979-11-08T00:00:00"/>
    <x v="10"/>
    <n v="77"/>
    <n v="1"/>
    <n v="78"/>
    <s v="Wallet"/>
    <x v="7"/>
    <s v="repeat customer"/>
  </r>
  <r>
    <s v="BC20238"/>
    <x v="37"/>
    <x v="5"/>
    <d v="1899-12-30T20:54:45"/>
    <s v="Burger Camp, Pune"/>
    <s v="Zaid More"/>
    <d v="2005-05-02T00:00:00"/>
    <x v="0"/>
    <n v="100"/>
    <n v="2"/>
    <n v="201"/>
    <s v="Card"/>
    <x v="6"/>
    <s v="repeat customer"/>
  </r>
  <r>
    <s v="BC20239"/>
    <x v="122"/>
    <x v="5"/>
    <d v="1899-12-30T17:22:00"/>
    <s v="Burger Camp, Pune"/>
    <s v="Rahul Joshi"/>
    <d v="2008-12-22T00:00:00"/>
    <x v="3"/>
    <n v="202"/>
    <n v="2"/>
    <n v="406"/>
    <s v="Card"/>
    <x v="1"/>
    <s v="repeat customer"/>
  </r>
  <r>
    <s v="BC20240"/>
    <x v="177"/>
    <x v="4"/>
    <d v="1899-12-30T18:03:01"/>
    <s v="Burger Camp, Pune"/>
    <s v="Anil Shinde"/>
    <d v="2002-01-26T00:00:00"/>
    <x v="14"/>
    <n v="237"/>
    <n v="3"/>
    <n v="712"/>
    <s v="Cash"/>
    <x v="6"/>
    <s v="repeat customer"/>
  </r>
  <r>
    <s v="BC20241"/>
    <x v="44"/>
    <x v="3"/>
    <d v="1899-12-30T23:35:00"/>
    <s v="Burger Camp, Pune"/>
    <s v="Mubin Patil"/>
    <d v="1993-03-24T00:00:00"/>
    <x v="11"/>
    <n v="208"/>
    <n v="1"/>
    <n v="208"/>
    <s v="Cash "/>
    <x v="3"/>
    <s v="No onion"/>
  </r>
  <r>
    <s v="BC20242"/>
    <x v="146"/>
    <x v="10"/>
    <d v="1899-12-30T15:40:00"/>
    <s v="Burger Camp, Pune"/>
    <s v="Sneha Kulkarni"/>
    <d v="1997-07-14T00:00:00"/>
    <x v="24"/>
    <n v="116"/>
    <n v="1"/>
    <n v="117"/>
    <s v="UPI"/>
    <x v="0"/>
    <s v="Extra cheese"/>
  </r>
  <r>
    <s v="BC20243"/>
    <x v="86"/>
    <x v="9"/>
    <d v="1899-12-30T19:03:00"/>
    <s v="Burger Camp, Pune"/>
    <s v="Kiran Kulkarni"/>
    <d v="1991-12-12T00:00:00"/>
    <x v="13"/>
    <n v="135"/>
    <n v="3"/>
    <n v="405"/>
    <s v="UPI"/>
    <x v="4"/>
    <s v="Custmer complaned"/>
  </r>
  <r>
    <s v="BC20244"/>
    <x v="35"/>
    <x v="3"/>
    <d v="1899-12-30T16:46:00"/>
    <s v="Burger Camp, Pune"/>
    <s v="Sneha Kulkarni"/>
    <d v="1991-12-12T00:00:00"/>
    <x v="23"/>
    <n v="119"/>
    <n v="2"/>
    <n v="239"/>
    <s v="Card"/>
    <x v="5"/>
    <s v="No onion"/>
  </r>
  <r>
    <s v="BC20245"/>
    <x v="110"/>
    <x v="4"/>
    <d v="1899-12-30T17:21:00"/>
    <s v="Burger Camp, Pune"/>
    <s v="Zara Gore"/>
    <d v="2004-10-08T00:00:00"/>
    <x v="15"/>
    <n v="266"/>
    <n v="2"/>
    <n v="534"/>
    <s v="Cash"/>
    <x v="0"/>
    <s v="Spicy"/>
  </r>
  <r>
    <s v="BC20246"/>
    <x v="178"/>
    <x v="4"/>
    <d v="1899-12-30T15:43:33"/>
    <s v="Burger Camp, Pune"/>
    <s v="Zara Kulkarni"/>
    <d v="1986-10-16T00:00:00"/>
    <x v="20"/>
    <n v="243"/>
    <n v="1"/>
    <n v="243"/>
    <s v="UPI"/>
    <x v="2"/>
    <s v="No onion"/>
  </r>
  <r>
    <s v="BC20247"/>
    <x v="179"/>
    <x v="6"/>
    <d v="1899-12-30T11:23:36"/>
    <s v="Burger Camp, Pune"/>
    <s v="Aarav Kulkarni"/>
    <d v="1993-05-10T00:00:00"/>
    <x v="17"/>
    <n v="161"/>
    <n v="2"/>
    <n v="323"/>
    <s v="UPI"/>
    <x v="2"/>
    <s v="repeat customer"/>
  </r>
  <r>
    <s v="BC20248"/>
    <x v="178"/>
    <x v="4"/>
    <d v="1899-12-30T22:08:00"/>
    <s v="Burger Camp, Pune"/>
    <s v="Pooja More"/>
    <d v="1990-02-26T00:00:00"/>
    <x v="5"/>
    <n v="248"/>
    <n v="2"/>
    <n v="496"/>
    <s v="Card"/>
    <x v="4"/>
    <s v="repeat customer"/>
  </r>
  <r>
    <s v="BC20249"/>
    <x v="107"/>
    <x v="6"/>
    <d v="1899-12-30T22:30:00"/>
    <s v="Burger Camp, Pune"/>
    <s v=" Mubin Kulkarni "/>
    <d v="1983-04-27T00:00:00"/>
    <x v="6"/>
    <n v="107"/>
    <n v="2"/>
    <n v="215"/>
    <s v="Card"/>
    <x v="3"/>
    <s v="Custmer complaned"/>
  </r>
  <r>
    <s v="BC20250"/>
    <x v="96"/>
    <x v="8"/>
    <d v="1899-12-30T12:19:00"/>
    <s v="Burger Camp, Pune"/>
    <s v="Sneha Khan"/>
    <d v="1971-12-02T00:00:00"/>
    <x v="6"/>
    <n v="123"/>
    <n v="3"/>
    <n v="370"/>
    <s v="Cash"/>
    <x v="2"/>
    <s v="Custmer complaned"/>
  </r>
  <r>
    <s v="BC20251"/>
    <x v="180"/>
    <x v="2"/>
    <d v="1899-12-30T10:26:00"/>
    <s v="Burger Camp, Pune"/>
    <s v="Aarav Naik"/>
    <d v="1976-04-25T00:00:00"/>
    <x v="22"/>
    <n v="100"/>
    <n v="3"/>
    <m/>
    <s v="Cash"/>
    <x v="7"/>
    <s v="Spicy"/>
  </r>
  <r>
    <s v="BC20252"/>
    <x v="117"/>
    <x v="11"/>
    <d v="1899-12-30T14:38:00"/>
    <s v="Burger Camp, Pune"/>
    <s v="Zaid Shinde"/>
    <d v="2002-05-02T00:00:00"/>
    <x v="11"/>
    <n v="214"/>
    <n v="2"/>
    <n v="429"/>
    <s v="Cash"/>
    <x v="7"/>
    <s v="Less salt"/>
  </r>
  <r>
    <s v="BC20253"/>
    <x v="171"/>
    <x v="0"/>
    <d v="1899-12-30T13:29:38"/>
    <s v="Burger Camp, Pune"/>
    <s v=" Aarav Patil "/>
    <d v="2000-01-01T00:00:00"/>
    <x v="5"/>
    <n v="271"/>
    <n v="2"/>
    <n v="543"/>
    <s v="Card"/>
    <x v="0"/>
    <s v="Spicy"/>
  </r>
  <r>
    <s v="BC20254"/>
    <x v="65"/>
    <x v="11"/>
    <d v="1899-12-30T17:23:00"/>
    <s v="Burger Camp, Pune"/>
    <s v=" Pooja Khan "/>
    <d v="1987-11-23T00:00:00"/>
    <x v="0"/>
    <n v="111"/>
    <n v="1"/>
    <n v="111"/>
    <s v="Card"/>
    <x v="7"/>
    <s v="Spicy"/>
  </r>
  <r>
    <s v="BC20255"/>
    <x v="177"/>
    <x v="4"/>
    <d v="1899-12-30T20:47:00"/>
    <s v="Burger Camp, Pune"/>
    <s v="Kiran Gore"/>
    <d v="1978-12-03T00:00:00"/>
    <x v="2"/>
    <n v="304"/>
    <n v="3"/>
    <n v="913"/>
    <s v="Card"/>
    <x v="5"/>
    <s v="repeat customer"/>
  </r>
  <r>
    <s v="BC20256"/>
    <x v="181"/>
    <x v="0"/>
    <d v="1899-12-30T23:20:27"/>
    <s v="Burger Camp, Pune"/>
    <s v="Anil Shaikh"/>
    <d v="1993-09-25T00:00:00"/>
    <x v="16"/>
    <n v="144"/>
    <n v="2"/>
    <n v="289"/>
    <s v="Wallet"/>
    <x v="3"/>
    <s v="Servd late"/>
  </r>
  <r>
    <s v="BC20257"/>
    <x v="182"/>
    <x v="10"/>
    <d v="1899-12-30T10:30:00"/>
    <s v="Burger Camp, Pune"/>
    <s v="Zara Shinde"/>
    <d v="2000-04-11T00:00:00"/>
    <x v="10"/>
    <n v="145"/>
    <n v="2"/>
    <n v="290"/>
    <s v="UPI"/>
    <x v="5"/>
    <s v="Servd late"/>
  </r>
  <r>
    <s v="BC20258"/>
    <x v="183"/>
    <x v="5"/>
    <d v="1899-12-30T11:06:00"/>
    <s v="Burger Camp, Pune"/>
    <s v="Rahul Khan"/>
    <d v="1976-10-25T00:00:00"/>
    <x v="6"/>
    <n v="101"/>
    <n v="3"/>
    <n v="306"/>
    <s v="Card"/>
    <x v="5"/>
    <s v="No onion"/>
  </r>
  <r>
    <s v="BC20259"/>
    <x v="155"/>
    <x v="6"/>
    <d v="1899-12-30T19:08:00"/>
    <s v="Burger Camp, Pune"/>
    <s v="Anil Shinde"/>
    <d v="1998-03-08T00:00:00"/>
    <x v="17"/>
    <n v="143"/>
    <n v="3"/>
    <n v="429"/>
    <s v="Cash"/>
    <x v="4"/>
    <s v="No onion"/>
  </r>
  <r>
    <s v="BC20260"/>
    <x v="10"/>
    <x v="6"/>
    <d v="1899-12-30T15:12:00"/>
    <s v="Burger Camp, Pune"/>
    <s v="Riya Shaikh"/>
    <d v="1999-10-23T00:00:00"/>
    <x v="16"/>
    <n v="156"/>
    <n v="1"/>
    <n v="100"/>
    <s v="Wallet"/>
    <x v="4"/>
    <s v="No onion"/>
  </r>
  <r>
    <s v="BC20261"/>
    <x v="88"/>
    <x v="1"/>
    <d v="1899-12-30T13:25:00"/>
    <s v="Burger Camp, Pune"/>
    <s v=" Farhan Khan "/>
    <d v="1977-03-10T00:00:00"/>
    <x v="2"/>
    <n v="229"/>
    <n v="1"/>
    <n v="230"/>
    <s v="Card"/>
    <x v="5"/>
    <s v="Spicy"/>
  </r>
  <r>
    <s v="BC20262"/>
    <x v="184"/>
    <x v="9"/>
    <d v="1899-12-30T15:59:13"/>
    <s v="Burger Camp, Pune"/>
    <s v="Pooja Joshi"/>
    <d v="1980-09-26T00:00:00"/>
    <x v="11"/>
    <n v="220"/>
    <n v="1"/>
    <n v="221"/>
    <s v="Cash "/>
    <x v="3"/>
    <s v="Servd late"/>
  </r>
  <r>
    <s v="BC20263"/>
    <x v="62"/>
    <x v="7"/>
    <d v="1899-12-30T23:08:00"/>
    <s v="Burger Camp, Pune"/>
    <s v="Zara More"/>
    <d v="2000-11-20T00:00:00"/>
    <x v="14"/>
    <n v="113"/>
    <n v="2"/>
    <n v="226"/>
    <s v="Cash"/>
    <x v="4"/>
    <s v="Less salt"/>
  </r>
  <r>
    <s v="BC20264"/>
    <x v="120"/>
    <x v="7"/>
    <d v="1899-12-30T16:13:19"/>
    <s v="Burger Camp, Pune"/>
    <s v="Zaid Gore"/>
    <d v="1986-09-03T00:00:00"/>
    <x v="24"/>
    <n v="138"/>
    <n v="1"/>
    <n v="139"/>
    <s v="Card"/>
    <x v="2"/>
    <s v="No onion"/>
  </r>
  <r>
    <s v="BC20265"/>
    <x v="185"/>
    <x v="10"/>
    <d v="1899-12-30T22:17:00"/>
    <s v="Burger Camp, Pune"/>
    <s v=" Mubin Shaikh "/>
    <d v="1982-06-07T00:00:00"/>
    <x v="2"/>
    <n v="288"/>
    <n v="1"/>
    <n v="288"/>
    <s v="UPI"/>
    <x v="0"/>
    <s v="Extra cheese"/>
  </r>
  <r>
    <s v="BC20266"/>
    <x v="186"/>
    <x v="4"/>
    <d v="1899-12-30T23:25:00"/>
    <s v="Burger Camp, Pune"/>
    <s v="Aisha Joshi"/>
    <d v="2005-08-24T00:00:00"/>
    <x v="10"/>
    <n v="188"/>
    <n v="1"/>
    <n v="188"/>
    <s v="Card"/>
    <x v="2"/>
    <s v="Less salt"/>
  </r>
  <r>
    <s v="BC20267"/>
    <x v="187"/>
    <x v="9"/>
    <d v="1899-12-30T22:49:00"/>
    <s v="Burger Camp, Pune"/>
    <s v="Anil Shinde"/>
    <d v="1972-03-05T00:00:00"/>
    <x v="6"/>
    <n v="90"/>
    <n v="2"/>
    <n v="180"/>
    <s v="UPI"/>
    <x v="5"/>
    <s v="Less salt"/>
  </r>
  <r>
    <s v="BC20268"/>
    <x v="93"/>
    <x v="5"/>
    <d v="1899-12-30T16:18:00"/>
    <s v="Burger Camp, Pune"/>
    <s v="anil kulkarni"/>
    <d v="2003-01-06T00:00:00"/>
    <x v="5"/>
    <n v="262"/>
    <n v="2"/>
    <n v="524"/>
    <s v="Cash "/>
    <x v="4"/>
    <s v="Less salt"/>
  </r>
  <r>
    <s v="BC20269"/>
    <x v="52"/>
    <x v="11"/>
    <d v="1899-12-30T10:09:00"/>
    <s v="Burger Camp, Pune"/>
    <s v="Zaid Gore"/>
    <d v="2006-08-15T00:00:00"/>
    <x v="4"/>
    <n v="212"/>
    <n v="3"/>
    <n v="638"/>
    <s v="UPI"/>
    <x v="1"/>
    <s v="repeat customer"/>
  </r>
  <r>
    <s v="BC20270"/>
    <x v="188"/>
    <x v="11"/>
    <d v="1899-12-30T23:10:00"/>
    <s v="Burger Camp, Pune"/>
    <s v="Rahul Naik"/>
    <d v="1983-08-14T00:00:00"/>
    <x v="18"/>
    <n v="116"/>
    <n v="2"/>
    <n v="232"/>
    <s v="Wallet"/>
    <x v="0"/>
    <s v="Extra cheese"/>
  </r>
  <r>
    <s v="BC20271"/>
    <x v="189"/>
    <x v="11"/>
    <d v="1899-12-30T15:42:47"/>
    <s v="Burger Camp, Pune"/>
    <s v="pooja more"/>
    <d v="1985-12-15T00:00:00"/>
    <x v="9"/>
    <n v="207"/>
    <n v="1"/>
    <n v="100"/>
    <s v="UPI"/>
    <x v="4"/>
    <s v="Extra cheese"/>
  </r>
  <r>
    <s v="BC20272"/>
    <x v="116"/>
    <x v="11"/>
    <d v="1899-12-30T21:03:00"/>
    <s v="Burger Camp, Pune"/>
    <s v="Rahul Shaikh"/>
    <d v="1973-10-01T00:00:00"/>
    <x v="2"/>
    <n v="217"/>
    <n v="1"/>
    <n v="218"/>
    <s v="UPI"/>
    <x v="3"/>
    <s v="Extra cheese"/>
  </r>
  <r>
    <s v="BC20273"/>
    <x v="25"/>
    <x v="9"/>
    <d v="1899-12-30T15:35:00"/>
    <s v="Burger Camp, Pune"/>
    <s v="Zara Joshi"/>
    <d v="1997-02-08T00:00:00"/>
    <x v="21"/>
    <n v="197"/>
    <n v="1"/>
    <n v="197"/>
    <s v="UPI"/>
    <x v="1"/>
    <s v="Extra cheese"/>
  </r>
  <r>
    <s v="BC20274"/>
    <x v="162"/>
    <x v="6"/>
    <d v="1899-12-30T19:20:00"/>
    <s v="Burger Camp, Pune"/>
    <s v="Zaid Patil"/>
    <d v="1997-02-08T00:00:00"/>
    <x v="7"/>
    <n v="87"/>
    <n v="1"/>
    <n v="87"/>
    <s v="Wallet"/>
    <x v="1"/>
    <s v="Extra cheese"/>
  </r>
  <r>
    <s v="BC20275"/>
    <x v="3"/>
    <x v="3"/>
    <d v="1899-12-30T13:09:00"/>
    <s v="Burger Camp, Pune"/>
    <s v="Kiran Khan"/>
    <d v="1998-12-11T00:00:00"/>
    <x v="22"/>
    <n v="41"/>
    <n v="1"/>
    <n v="42"/>
    <s v="Wallet"/>
    <x v="4"/>
    <s v="repeat customer"/>
  </r>
  <r>
    <s v="BC20276"/>
    <x v="111"/>
    <x v="2"/>
    <d v="1899-12-30T20:00:04"/>
    <s v="Burger Camp, Pune"/>
    <s v="mubin joshi"/>
    <d v="1983-03-03T00:00:00"/>
    <x v="8"/>
    <n v="50"/>
    <n v="2"/>
    <n v="101"/>
    <s v="Wallet"/>
    <x v="1"/>
    <s v="Servd late"/>
  </r>
  <r>
    <s v="BC20277"/>
    <x v="81"/>
    <x v="9"/>
    <d v="1899-12-30T17:27:00"/>
    <s v="Burger Camp, Pune"/>
    <s v="Aisha Deshmukh"/>
    <d v="2000-01-25T00:00:00"/>
    <x v="5"/>
    <n v="167"/>
    <n v="2"/>
    <n v="336"/>
    <s v="Cash"/>
    <x v="5"/>
    <s v="Servd late"/>
  </r>
  <r>
    <s v="BC20278"/>
    <x v="97"/>
    <x v="1"/>
    <d v="1899-12-30T16:47:23"/>
    <s v="Burger Camp, Pune"/>
    <s v="Pooja Naik"/>
    <d v="1996-01-04T00:00:00"/>
    <x v="10"/>
    <n v="153"/>
    <n v="2"/>
    <n v="306"/>
    <s v="Cash"/>
    <x v="2"/>
    <s v="Extra cheese"/>
  </r>
  <r>
    <s v="BC20279"/>
    <x v="188"/>
    <x v="11"/>
    <d v="1899-12-30T14:38:00"/>
    <s v="Burger Camp, Pune"/>
    <s v="Sneha Naik"/>
    <d v="1980-01-04T00:00:00"/>
    <x v="18"/>
    <n v="119"/>
    <n v="2"/>
    <n v="239"/>
    <s v="Card"/>
    <x v="1"/>
    <s v="Servd late"/>
  </r>
  <r>
    <s v="BC20280"/>
    <x v="96"/>
    <x v="8"/>
    <d v="1899-12-30T21:25:44"/>
    <s v="Burger Camp, Pune"/>
    <s v=" Aarav Patil "/>
    <d v="1974-12-14T00:00:00"/>
    <x v="20"/>
    <n v="313"/>
    <n v="1"/>
    <n v="313"/>
    <s v="Wallet"/>
    <x v="7"/>
    <s v="repeat customer"/>
  </r>
  <r>
    <s v="BC20281"/>
    <x v="190"/>
    <x v="4"/>
    <d v="1899-12-30T23:40:00"/>
    <s v="Burger Camp, Pune"/>
    <s v="Anil Shaikh"/>
    <d v="1974-12-14T00:00:00"/>
    <x v="13"/>
    <n v="127"/>
    <n v="1"/>
    <n v="128"/>
    <s v="UPI"/>
    <x v="7"/>
    <s v="repeat customer"/>
  </r>
  <r>
    <s v="BC20282"/>
    <x v="191"/>
    <x v="4"/>
    <d v="1899-12-30T15:23:43"/>
    <s v="Burger Camp, Pune"/>
    <s v="Farhan Joshi"/>
    <d v="1974-12-14T00:00:00"/>
    <x v="15"/>
    <n v="290"/>
    <n v="1"/>
    <n v="290"/>
    <s v="UPI"/>
    <x v="0"/>
    <s v="Less salt"/>
  </r>
  <r>
    <s v="BC20283"/>
    <x v="192"/>
    <x v="11"/>
    <d v="1899-12-30T10:40:00"/>
    <s v="Burger Camp, Pune"/>
    <s v="Aisha Shinde"/>
    <d v="2001-07-24T00:00:00"/>
    <x v="3"/>
    <n v="49"/>
    <n v="3"/>
    <n v="163"/>
    <s v="Cash "/>
    <x v="6"/>
    <s v="Spicy"/>
  </r>
  <r>
    <s v="BC20284"/>
    <x v="47"/>
    <x v="4"/>
    <d v="1899-12-30T20:34:00"/>
    <s v="Burger Camp, Pune"/>
    <s v="Riya Patil"/>
    <d v="2001-07-24T00:00:00"/>
    <x v="16"/>
    <n v="216"/>
    <n v="1"/>
    <n v="216"/>
    <s v="Cash "/>
    <x v="1"/>
    <s v="Servd late"/>
  </r>
  <r>
    <s v="BC20285"/>
    <x v="140"/>
    <x v="7"/>
    <d v="1899-12-30T20:21:00"/>
    <s v="Burger Camp, Pune"/>
    <s v="Aisha Deshmukh"/>
    <d v="1997-04-08T00:00:00"/>
    <x v="25"/>
    <n v="249"/>
    <n v="1"/>
    <n v="249"/>
    <s v="Card"/>
    <x v="2"/>
    <s v="Spicy"/>
  </r>
  <r>
    <s v="BC20286"/>
    <x v="111"/>
    <x v="2"/>
    <d v="1899-12-30T11:25:00"/>
    <s v="Burger Camp, Pune"/>
    <s v="Pooja Shinde"/>
    <d v="1984-08-22T00:00:00"/>
    <x v="9"/>
    <n v="263"/>
    <n v="2"/>
    <n v="527"/>
    <s v="Cash"/>
    <x v="2"/>
    <s v="Spicy"/>
  </r>
  <r>
    <s v="BC20287"/>
    <x v="168"/>
    <x v="7"/>
    <d v="1899-12-30T21:47:00"/>
    <s v="Burger Camp, Pune"/>
    <s v="Pooja Deshmukh"/>
    <d v="1980-01-18T00:00:00"/>
    <x v="6"/>
    <n v="84"/>
    <n v="2"/>
    <n v="168"/>
    <s v="Cash"/>
    <x v="7"/>
    <s v="Spicy"/>
  </r>
  <r>
    <s v="BC20288"/>
    <x v="40"/>
    <x v="0"/>
    <d v="1899-12-30T17:44:30"/>
    <s v="Burger Camp, Pune"/>
    <s v="Sneha Joshi"/>
    <d v="1970-06-24T00:00:00"/>
    <x v="8"/>
    <n v="49"/>
    <n v="3"/>
    <n v="149"/>
    <s v="UPI"/>
    <x v="0"/>
    <s v="Less salt"/>
  </r>
  <r>
    <s v="BC20289"/>
    <x v="193"/>
    <x v="5"/>
    <d v="1899-12-30T17:19:00"/>
    <s v="Burger Camp, Pune"/>
    <s v="Sneha Deshmukh"/>
    <d v="1975-08-28T00:00:00"/>
    <x v="12"/>
    <n v="230"/>
    <n v="2"/>
    <n v="460"/>
    <s v="UPI"/>
    <x v="0"/>
    <s v="Less salt"/>
  </r>
  <r>
    <s v="BC20290"/>
    <x v="142"/>
    <x v="0"/>
    <d v="1899-12-30T19:08:06"/>
    <s v="Burger Camp, Pune"/>
    <s v="Mubin Kulkarni"/>
    <d v="1971-07-18T00:00:00"/>
    <x v="10"/>
    <n v="90"/>
    <n v="1"/>
    <n v="100"/>
    <s v="Cash"/>
    <x v="3"/>
    <s v="Less salt"/>
  </r>
  <r>
    <s v="BC20291"/>
    <x v="115"/>
    <x v="0"/>
    <d v="1899-12-30T23:48:00"/>
    <s v="Burger Camp, Pune"/>
    <s v="Mubin Kulkarni"/>
    <d v="1971-07-18T00:00:00"/>
    <x v="17"/>
    <n v="110"/>
    <n v="2"/>
    <n v="222"/>
    <s v="Card"/>
    <x v="4"/>
    <s v="No onion"/>
  </r>
  <r>
    <s v="BC20292"/>
    <x v="171"/>
    <x v="0"/>
    <d v="1899-12-30T10:12:09"/>
    <s v="Burger Camp, Pune"/>
    <s v="Riya Patil"/>
    <d v="1992-05-05T00:00:00"/>
    <x v="6"/>
    <n v="101"/>
    <n v="2"/>
    <n v="203"/>
    <s v="Wallet"/>
    <x v="2"/>
    <s v="No onion"/>
  </r>
  <r>
    <s v="BC20293"/>
    <x v="48"/>
    <x v="6"/>
    <d v="1899-12-30T15:50:27"/>
    <s v="Burger Camp, Pune"/>
    <s v="Aarav Gore"/>
    <d v="2004-02-22T00:00:00"/>
    <x v="10"/>
    <n v="165"/>
    <n v="1"/>
    <n v="165"/>
    <s v="Cash "/>
    <x v="6"/>
    <s v="No onion"/>
  </r>
  <r>
    <s v="BC20294"/>
    <x v="194"/>
    <x v="2"/>
    <d v="1899-12-30T18:17:00"/>
    <s v="Burger Camp, Pune"/>
    <s v="Aarav Patil"/>
    <d v="1981-06-26T00:00:00"/>
    <x v="14"/>
    <n v="115"/>
    <n v="1"/>
    <n v="116"/>
    <s v="Cash "/>
    <x v="5"/>
    <s v="Servd late"/>
  </r>
  <r>
    <s v="BC20295"/>
    <x v="195"/>
    <x v="11"/>
    <d v="1899-12-30T21:29:11"/>
    <s v="Burger Camp, Pune"/>
    <s v="Farhan More"/>
    <d v="1997-09-23T00:00:00"/>
    <x v="8"/>
    <n v="51"/>
    <n v="1"/>
    <n v="51"/>
    <s v="Cash "/>
    <x v="5"/>
    <s v="repeat customer"/>
  </r>
  <r>
    <s v="BC20296"/>
    <x v="151"/>
    <x v="11"/>
    <d v="1899-12-30T17:31:00"/>
    <s v="Burger Camp, Pune"/>
    <s v="Kiran Kulkarni"/>
    <d v="2009-04-27T00:00:00"/>
    <x v="25"/>
    <n v="220"/>
    <n v="3"/>
    <n v="660"/>
    <s v="Card"/>
    <x v="3"/>
    <s v="repeat customer"/>
  </r>
  <r>
    <s v="BC20297"/>
    <x v="196"/>
    <x v="1"/>
    <d v="1899-12-30T17:24:10"/>
    <s v="Burger Camp, Pune"/>
    <s v="Mubin Shinde"/>
    <d v="2004-02-10T00:00:00"/>
    <x v="2"/>
    <n v="313"/>
    <n v="2"/>
    <n v="576"/>
    <s v="Card"/>
    <x v="7"/>
    <s v="Servd late"/>
  </r>
  <r>
    <s v="BC20298"/>
    <x v="196"/>
    <x v="1"/>
    <d v="1899-12-30T21:11:25"/>
    <s v="Burger Camp, Pune"/>
    <s v="Aarav Shaikh"/>
    <d v="1991-12-12T00:00:00"/>
    <x v="10"/>
    <n v="164"/>
    <n v="2"/>
    <n v="328"/>
    <s v="UPI"/>
    <x v="2"/>
    <s v="repeat customer"/>
  </r>
  <r>
    <s v="BC20299"/>
    <x v="197"/>
    <x v="11"/>
    <d v="1899-12-30T11:12:00"/>
    <s v="Burger Camp, Pune"/>
    <s v="Sneha Deshmukh"/>
    <d v="1972-03-22T00:00:00"/>
    <x v="14"/>
    <n v="114"/>
    <n v="2"/>
    <n v="230"/>
    <s v="Cash"/>
    <x v="3"/>
    <s v="Spicy"/>
  </r>
  <r>
    <s v="BC20300"/>
    <x v="45"/>
    <x v="1"/>
    <d v="1899-12-30T10:43:53"/>
    <s v="Burger Camp, Pune"/>
    <s v="Zaid Gore"/>
    <d v="1988-05-16T00:00:00"/>
    <x v="0"/>
    <n v="83"/>
    <n v="1"/>
    <n v="83"/>
    <s v="UPI"/>
    <x v="4"/>
    <s v="Spicy"/>
  </r>
  <r>
    <s v="BC20301"/>
    <x v="198"/>
    <x v="7"/>
    <d v="1899-12-30T10:17:00"/>
    <s v="Burger Camp, Pune"/>
    <s v="Zaid Khan"/>
    <d v="1973-07-14T00:00:00"/>
    <x v="14"/>
    <n v="207"/>
    <n v="2"/>
    <n v="416"/>
    <s v="Cash"/>
    <x v="5"/>
    <s v="Servd late"/>
  </r>
  <r>
    <s v="BC20302"/>
    <x v="69"/>
    <x v="7"/>
    <d v="1899-12-30T19:06:00"/>
    <s v="Burger Camp, Pune"/>
    <s v="Anil More"/>
    <d v="1976-11-01T00:00:00"/>
    <x v="25"/>
    <n v="107"/>
    <n v="3"/>
    <n v="322"/>
    <s v="Wallet"/>
    <x v="4"/>
    <s v="Servd late"/>
  </r>
  <r>
    <s v="BC20303"/>
    <x v="43"/>
    <x v="3"/>
    <d v="1899-12-30T14:46:00"/>
    <s v="Burger Camp, Pune"/>
    <s v="rahul patil"/>
    <d v="2005-12-09T00:00:00"/>
    <x v="4"/>
    <n v="191"/>
    <n v="1"/>
    <n v="191"/>
    <s v="UPI"/>
    <x v="7"/>
    <s v="Extra cheese"/>
  </r>
  <r>
    <s v="BC20304"/>
    <x v="199"/>
    <x v="6"/>
    <d v="1899-12-30T21:52:25"/>
    <s v="Burger Camp, Pune"/>
    <s v="Kiran Kulkarni"/>
    <d v="1980-08-25T00:00:00"/>
    <x v="20"/>
    <n v="191"/>
    <n v="3"/>
    <n v="191"/>
    <s v="Cash "/>
    <x v="7"/>
    <s v="Less salt"/>
  </r>
  <r>
    <s v="BC20305"/>
    <x v="200"/>
    <x v="10"/>
    <d v="1899-12-30T12:14:00"/>
    <s v="Burger Camp, Pune"/>
    <s v="riya naik"/>
    <d v="1987-03-09T00:00:00"/>
    <x v="5"/>
    <n v="189"/>
    <n v="1"/>
    <n v="189"/>
    <s v="Card"/>
    <x v="5"/>
    <s v="Extra cheese"/>
  </r>
  <r>
    <s v="BC20306"/>
    <x v="87"/>
    <x v="1"/>
    <d v="1899-12-30T12:16:00"/>
    <s v="Burger Camp, Pune"/>
    <s v="Kiran Gore"/>
    <d v="1994-11-09T00:00:00"/>
    <x v="16"/>
    <n v="165"/>
    <n v="2"/>
    <n v="331"/>
    <s v="Card"/>
    <x v="3"/>
    <s v="Extra cheese"/>
  </r>
  <r>
    <s v="BC20307"/>
    <x v="156"/>
    <x v="8"/>
    <d v="1899-12-30T13:36:00"/>
    <s v="Burger Camp, Pune"/>
    <s v="sneha naik"/>
    <d v="1981-07-22T00:00:00"/>
    <x v="12"/>
    <n v="165"/>
    <n v="1"/>
    <n v="331"/>
    <s v="Cash"/>
    <x v="5"/>
    <s v="Spicy"/>
  </r>
  <r>
    <s v="BC20308"/>
    <x v="173"/>
    <x v="7"/>
    <d v="1899-12-30T12:40:00"/>
    <s v="Burger Camp, Pune"/>
    <s v="Aarav Shaikh"/>
    <d v="1975-04-05T00:00:00"/>
    <x v="14"/>
    <n v="265"/>
    <n v="1"/>
    <n v="266"/>
    <s v="UPI"/>
    <x v="5"/>
    <s v="Less salt"/>
  </r>
  <r>
    <s v="BC20309"/>
    <x v="201"/>
    <x v="5"/>
    <d v="1899-12-30T12:22:41"/>
    <s v="Burger Camp, Pune"/>
    <s v="Riya Deshmukh"/>
    <d v="1977-08-06T00:00:00"/>
    <x v="9"/>
    <n v="239"/>
    <n v="3"/>
    <n v="719"/>
    <s v="Cash "/>
    <x v="7"/>
    <s v="Servd late"/>
  </r>
  <r>
    <s v="BC20310"/>
    <x v="105"/>
    <x v="3"/>
    <d v="1899-12-30T20:23:59"/>
    <s v="Burger Camp, Pune"/>
    <s v="Aisha Shaikh"/>
    <d v="1979-11-05T00:00:00"/>
    <x v="19"/>
    <n v="248"/>
    <n v="2"/>
    <n v="497"/>
    <s v="UPI"/>
    <x v="2"/>
    <s v="Spicy"/>
  </r>
  <r>
    <s v="BC20311"/>
    <x v="115"/>
    <x v="0"/>
    <d v="1899-12-30T16:35:00"/>
    <s v="Burger Camp, Pune"/>
    <s v="Rahul More"/>
    <d v="1994-02-19T00:00:00"/>
    <x v="15"/>
    <n v="213"/>
    <n v="3"/>
    <n v="641"/>
    <s v="Card"/>
    <x v="5"/>
    <s v="Servd late"/>
  </r>
  <r>
    <s v="BC20312"/>
    <x v="70"/>
    <x v="1"/>
    <d v="1899-12-30T14:29:00"/>
    <s v="Burger Camp, Pune"/>
    <s v="Zaid Joshi"/>
    <d v="1991-12-12T00:00:00"/>
    <x v="8"/>
    <n v="43"/>
    <n v="2"/>
    <n v="87"/>
    <s v="Cash"/>
    <x v="0"/>
    <s v="Spicy"/>
  </r>
  <r>
    <s v="BC20313"/>
    <x v="202"/>
    <x v="8"/>
    <d v="1899-12-30T21:33:44"/>
    <s v="Burger Camp, Pune"/>
    <s v="Pooja Deshmukh"/>
    <d v="1970-05-04T00:00:00"/>
    <x v="21"/>
    <n v="197"/>
    <n v="2"/>
    <n v="395"/>
    <s v="UPI"/>
    <x v="7"/>
    <s v="No onion"/>
  </r>
  <r>
    <s v="BC20314"/>
    <x v="203"/>
    <x v="2"/>
    <d v="1899-12-30T21:13:00"/>
    <s v="Burger Camp, Pune"/>
    <s v="Aarav Joshi"/>
    <d v="2005-10-27T00:00:00"/>
    <x v="6"/>
    <n v="88"/>
    <n v="2"/>
    <n v="163"/>
    <s v="Card"/>
    <x v="1"/>
    <s v="Less salt"/>
  </r>
  <r>
    <s v="BC20315"/>
    <x v="203"/>
    <x v="2"/>
    <d v="1899-12-30T14:12:00"/>
    <s v="Burger Camp, Pune"/>
    <s v="Kiran Khan"/>
    <d v="2006-10-02T00:00:00"/>
    <x v="21"/>
    <n v="250"/>
    <n v="1"/>
    <n v="250"/>
    <s v="UPI"/>
    <x v="1"/>
    <s v="Less salt"/>
  </r>
  <r>
    <s v="BC20316"/>
    <x v="203"/>
    <x v="2"/>
    <d v="1899-12-30T22:24:00"/>
    <s v="Burger Camp, Pune"/>
    <s v="Aarav Naik"/>
    <d v="1975-11-03T00:00:00"/>
    <x v="10"/>
    <n v="166"/>
    <n v="1"/>
    <n v="167"/>
    <s v="UPI"/>
    <x v="5"/>
    <s v="repeat customer"/>
  </r>
  <r>
    <s v="BC20317"/>
    <x v="204"/>
    <x v="7"/>
    <d v="1899-12-30T12:36:40"/>
    <s v="Burger Camp, Pune"/>
    <s v="Mubin Khan"/>
    <d v="2005-02-16T00:00:00"/>
    <x v="7"/>
    <n v="269"/>
    <n v="2"/>
    <n v="538"/>
    <s v="Card"/>
    <x v="6"/>
    <s v="Extra cheese"/>
  </r>
  <r>
    <s v="BC20318"/>
    <x v="164"/>
    <x v="1"/>
    <d v="1899-12-30T16:54:00"/>
    <s v="Burger Camp, Pune"/>
    <s v="Sneha More"/>
    <d v="1990-06-03T00:00:00"/>
    <x v="9"/>
    <n v="148"/>
    <n v="3"/>
    <n v="446"/>
    <s v="UPI"/>
    <x v="6"/>
    <s v="No onion"/>
  </r>
  <r>
    <s v="BC20319"/>
    <x v="205"/>
    <x v="1"/>
    <d v="1899-12-30T11:05:00"/>
    <s v="Burger Camp, Pune"/>
    <s v="Mubin Deshmukh"/>
    <d v="1991-02-11T00:00:00"/>
    <x v="13"/>
    <n v="112"/>
    <n v="2"/>
    <n v="221"/>
    <s v="UPI"/>
    <x v="4"/>
    <s v="Extra cheese"/>
  </r>
  <r>
    <s v="BC20320"/>
    <x v="69"/>
    <x v="7"/>
    <d v="1899-12-30T14:16:00"/>
    <s v="Burger Camp, Pune"/>
    <s v="mubin patil"/>
    <d v="1989-12-15T00:00:00"/>
    <x v="19"/>
    <n v="350"/>
    <n v="3"/>
    <n v="1051"/>
    <s v="UPI"/>
    <x v="2"/>
    <s v="repeat customer"/>
  </r>
  <r>
    <s v="BC20321"/>
    <x v="189"/>
    <x v="11"/>
    <d v="1899-12-30T11:46:00"/>
    <s v="Burger Camp, Pune"/>
    <s v="Zara Patil"/>
    <d v="1990-01-05T00:00:00"/>
    <x v="13"/>
    <n v="116"/>
    <n v="1"/>
    <n v="116"/>
    <s v="Card"/>
    <x v="5"/>
    <s v="Less salt"/>
  </r>
  <r>
    <s v="BC20322"/>
    <x v="206"/>
    <x v="8"/>
    <d v="1899-12-30T19:24:13"/>
    <s v="Burger Camp, Pune"/>
    <s v="Riya Joshi"/>
    <d v="1970-06-27T00:00:00"/>
    <x v="15"/>
    <n v="97"/>
    <n v="1"/>
    <n v="98"/>
    <s v="Card"/>
    <x v="3"/>
    <s v="Less salt"/>
  </r>
  <r>
    <s v="BC20323"/>
    <x v="149"/>
    <x v="6"/>
    <d v="1899-12-30T16:18:00"/>
    <s v="Burger Camp, Pune"/>
    <s v="Aisha Deshmukh"/>
    <d v="1991-12-12T00:00:00"/>
    <x v="8"/>
    <n v="38"/>
    <n v="2"/>
    <n v="76"/>
    <s v="Card"/>
    <x v="0"/>
    <s v="No onion"/>
  </r>
  <r>
    <s v="BC20324"/>
    <x v="66"/>
    <x v="7"/>
    <d v="1899-12-30T15:50:58"/>
    <s v="Burger Camp, Pune"/>
    <s v="zaid deshmukh"/>
    <d v="1984-09-10T00:00:00"/>
    <x v="3"/>
    <n v="38"/>
    <n v="3"/>
    <n v="76"/>
    <s v="Card"/>
    <x v="2"/>
    <s v="Spicy"/>
  </r>
  <r>
    <s v="BC20325"/>
    <x v="207"/>
    <x v="6"/>
    <d v="1899-12-30T18:25:00"/>
    <s v="Burger Camp, Pune"/>
    <s v="Kiran Deshmukh"/>
    <d v="2006-07-05T00:00:00"/>
    <x v="18"/>
    <n v="290"/>
    <n v="2"/>
    <n v="582"/>
    <s v="Card"/>
    <x v="4"/>
    <s v="No onion"/>
  </r>
  <r>
    <s v="BC20326"/>
    <x v="207"/>
    <x v="6"/>
    <d v="1899-12-30T10:40:00"/>
    <s v="Burger Camp, Pune"/>
    <s v="Sneha Khan"/>
    <d v="2006-07-05T00:00:00"/>
    <x v="25"/>
    <n v="361"/>
    <n v="1"/>
    <n v="362"/>
    <s v="UPI"/>
    <x v="7"/>
    <s v="Extra cheese"/>
  </r>
  <r>
    <s v="BC20327"/>
    <x v="51"/>
    <x v="10"/>
    <d v="1899-12-30T20:01:00"/>
    <s v="Burger Camp, Pune"/>
    <s v="Mubin Shaikh"/>
    <d v="1976-03-10T00:00:00"/>
    <x v="6"/>
    <n v="85"/>
    <n v="2"/>
    <n v="171"/>
    <s v="UPI"/>
    <x v="3"/>
    <s v="Custmer complaned"/>
  </r>
  <r>
    <s v="BC20328"/>
    <x v="189"/>
    <x v="11"/>
    <d v="1899-12-30T11:21:22"/>
    <s v="Burger Camp, Pune"/>
    <s v="Zara Gore"/>
    <d v="1986-02-07T00:00:00"/>
    <x v="4"/>
    <n v="162"/>
    <n v="2"/>
    <n v="326"/>
    <s v="Cash "/>
    <x v="6"/>
    <s v="Custmer complaned"/>
  </r>
  <r>
    <s v="BC20329"/>
    <x v="126"/>
    <x v="4"/>
    <d v="1899-12-30T13:16:00"/>
    <s v="Burger Camp, Pune"/>
    <s v="Kiran Naik"/>
    <d v="2007-05-06T00:00:00"/>
    <x v="9"/>
    <n v="176"/>
    <n v="1"/>
    <n v="176"/>
    <s v="Cash "/>
    <x v="0"/>
    <s v="Custmer complaned"/>
  </r>
  <r>
    <s v="BC20330"/>
    <x v="48"/>
    <x v="6"/>
    <d v="1899-12-30T16:01:00"/>
    <s v="Burger Camp, Pune"/>
    <s v="Farhan Deshmukh"/>
    <d v="2007-05-06T00:00:00"/>
    <x v="15"/>
    <n v="226"/>
    <n v="1"/>
    <n v="227"/>
    <s v="Cash "/>
    <x v="1"/>
    <s v="repeat customer"/>
  </r>
  <r>
    <s v="BC20331"/>
    <x v="208"/>
    <x v="11"/>
    <d v="1899-12-30T23:20:00"/>
    <s v="Burger Camp, Pune"/>
    <s v="Aarav More"/>
    <d v="1996-02-04T00:00:00"/>
    <x v="17"/>
    <n v="226"/>
    <n v="2"/>
    <n v="227"/>
    <s v="Cash"/>
    <x v="5"/>
    <s v="Servd late"/>
  </r>
  <r>
    <s v="BC20332"/>
    <x v="208"/>
    <x v="11"/>
    <d v="1899-12-30T17:06:53"/>
    <s v="Burger Camp, Pune"/>
    <s v="Aisha Naik"/>
    <d v="1995-02-18T00:00:00"/>
    <x v="14"/>
    <n v="48"/>
    <n v="1"/>
    <n v="49"/>
    <s v="UPI"/>
    <x v="4"/>
    <s v="Spicy"/>
  </r>
  <r>
    <s v="BC20333"/>
    <x v="209"/>
    <x v="3"/>
    <d v="1899-12-30T23:57:00"/>
    <s v="Burger Camp, Pune"/>
    <s v="Aisha Khan"/>
    <d v="1977-01-10T00:00:00"/>
    <x v="15"/>
    <n v="354"/>
    <n v="2"/>
    <n v="708"/>
    <s v="Wallet"/>
    <x v="6"/>
    <s v="Spicy"/>
  </r>
  <r>
    <s v="BC20334"/>
    <x v="143"/>
    <x v="10"/>
    <d v="1899-12-30T13:05:16"/>
    <s v="Burger Camp, Pune"/>
    <s v="Aisha Shaikh"/>
    <d v="1985-11-21T00:00:00"/>
    <x v="2"/>
    <n v="208"/>
    <n v="3"/>
    <n v="626"/>
    <s v="Cash "/>
    <x v="6"/>
    <s v="Spicy"/>
  </r>
  <r>
    <s v="BC20335"/>
    <x v="9"/>
    <x v="2"/>
    <d v="1899-12-30T13:58:23"/>
    <s v="Burger Camp, Pune"/>
    <s v="Pooja Gore"/>
    <d v="1982-02-09T00:00:00"/>
    <x v="11"/>
    <n v="208"/>
    <n v="2"/>
    <n v="626"/>
    <s v="Cash "/>
    <x v="2"/>
    <s v="Custmer complaned"/>
  </r>
  <r>
    <s v="BC20336"/>
    <x v="210"/>
    <x v="3"/>
    <d v="1899-12-30T15:27:00"/>
    <s v="Burger Camp, Pune"/>
    <s v="Zaid Kulkarni"/>
    <d v="1998-05-12T00:00:00"/>
    <x v="2"/>
    <n v="253"/>
    <n v="1"/>
    <n v="253"/>
    <s v="Cash"/>
    <x v="7"/>
    <s v="Less salt"/>
  </r>
  <r>
    <s v="BC20337"/>
    <x v="211"/>
    <x v="5"/>
    <d v="1899-12-30T13:56:00"/>
    <s v="Burger Camp, Pune"/>
    <s v="Aisha Deshmukh"/>
    <d v="1987-08-07T00:00:00"/>
    <x v="25"/>
    <n v="170"/>
    <n v="2"/>
    <n v="341"/>
    <s v="Card"/>
    <x v="6"/>
    <s v="Spicy"/>
  </r>
  <r>
    <s v="BC20338"/>
    <x v="135"/>
    <x v="11"/>
    <d v="1899-12-30T15:01:11"/>
    <s v="Burger Camp, Pune"/>
    <s v="Mubin Patil"/>
    <d v="2008-06-16T00:00:00"/>
    <x v="7"/>
    <n v="223"/>
    <n v="2"/>
    <n v="446"/>
    <s v="Cash "/>
    <x v="6"/>
    <s v="Custmer complaned"/>
  </r>
  <r>
    <s v="BC20339"/>
    <x v="164"/>
    <x v="1"/>
    <d v="1899-12-30T14:45:00"/>
    <s v="Burger Camp, Pune"/>
    <s v="Kiran Gore"/>
    <d v="2008-06-16T00:00:00"/>
    <x v="8"/>
    <n v="53"/>
    <n v="2"/>
    <n v="106"/>
    <s v="UPI"/>
    <x v="1"/>
    <s v="Custmer complaned"/>
  </r>
  <r>
    <s v="BC20340"/>
    <x v="79"/>
    <x v="0"/>
    <d v="1899-12-30T18:11:00"/>
    <s v="Burger Camp, Pune"/>
    <s v="Farhan Shinde"/>
    <d v="1987-05-07T00:00:00"/>
    <x v="23"/>
    <n v="94"/>
    <n v="1"/>
    <n v="95"/>
    <s v="UPI"/>
    <x v="7"/>
    <s v="Custmer complaned"/>
  </r>
  <r>
    <s v="BC20341"/>
    <x v="212"/>
    <x v="10"/>
    <d v="1899-12-30T10:29:00"/>
    <s v="Burger Camp, Pune"/>
    <s v="Anil Gore"/>
    <d v="1987-05-07T00:00:00"/>
    <x v="13"/>
    <n v="96"/>
    <n v="2"/>
    <n v="194"/>
    <s v="UPI"/>
    <x v="1"/>
    <s v="Custmer complaned"/>
  </r>
  <r>
    <s v="BC20342"/>
    <x v="13"/>
    <x v="7"/>
    <d v="1899-12-30T13:51:00"/>
    <s v="Burger Camp, Pune"/>
    <s v="Zaid Deshmukh"/>
    <d v="1986-05-20T00:00:00"/>
    <x v="3"/>
    <n v="89"/>
    <n v="3"/>
    <n v="270"/>
    <s v="UPI"/>
    <x v="1"/>
    <s v="Spicy"/>
  </r>
  <r>
    <s v="BC20343"/>
    <x v="213"/>
    <x v="2"/>
    <d v="1899-12-30T18:59:00"/>
    <s v="Burger Camp, Pune"/>
    <s v="Farhan More"/>
    <d v="1986-05-20T00:00:00"/>
    <x v="10"/>
    <n v="217"/>
    <n v="3"/>
    <n v="652"/>
    <s v="UPI"/>
    <x v="3"/>
    <s v="repeat customer"/>
  </r>
  <r>
    <s v="BC20344"/>
    <x v="213"/>
    <x v="2"/>
    <d v="1899-12-30T22:48:00"/>
    <s v="Burger Camp, Pune"/>
    <s v="Pooja Khan"/>
    <d v="1976-06-20T00:00:00"/>
    <x v="12"/>
    <n v="304"/>
    <n v="2"/>
    <n v="610"/>
    <s v="UPI"/>
    <x v="7"/>
    <s v="Custmer complaned"/>
  </r>
  <r>
    <s v="BC20345"/>
    <x v="214"/>
    <x v="11"/>
    <d v="1899-12-30T11:04:00"/>
    <s v="Burger Camp, Pune"/>
    <s v="Zara Shaikh"/>
    <d v="1976-08-01T00:00:00"/>
    <x v="14"/>
    <n v="340"/>
    <n v="2"/>
    <m/>
    <s v="UPI"/>
    <x v="4"/>
    <s v="Spicy"/>
  </r>
  <r>
    <s v="BC20346"/>
    <x v="12"/>
    <x v="2"/>
    <d v="1899-12-30T17:30:18"/>
    <s v="Burger Camp, Pune"/>
    <s v="Kiran Shaikh"/>
    <d v="1987-07-13T00:00:00"/>
    <x v="17"/>
    <n v="135"/>
    <n v="3"/>
    <n v="406"/>
    <s v="Card"/>
    <x v="3"/>
    <s v="Spicy"/>
  </r>
  <r>
    <s v="BC20347"/>
    <x v="121"/>
    <x v="4"/>
    <d v="1899-12-30T15:32:00"/>
    <s v="Burger Camp, Pune"/>
    <s v="Riya Shinde"/>
    <d v="2002-02-06T00:00:00"/>
    <x v="13"/>
    <n v="129"/>
    <n v="3"/>
    <n v="388"/>
    <s v="Cash "/>
    <x v="3"/>
    <s v="Servd late"/>
  </r>
  <r>
    <s v="BC20348"/>
    <x v="215"/>
    <x v="6"/>
    <d v="1899-12-30T19:39:53"/>
    <s v="Burger Camp, Pune"/>
    <s v="mubin khan"/>
    <d v="1984-02-22T00:00:00"/>
    <x v="12"/>
    <n v="323"/>
    <n v="1"/>
    <n v="369"/>
    <s v="Card"/>
    <x v="5"/>
    <s v="Spicy"/>
  </r>
  <r>
    <s v="BC20349"/>
    <x v="34"/>
    <x v="1"/>
    <d v="1899-12-30T16:08:00"/>
    <s v="Burger Camp, Pune"/>
    <s v="Rahul Joshi"/>
    <d v="1988-04-07T00:00:00"/>
    <x v="7"/>
    <n v="218"/>
    <n v="3"/>
    <n v="656"/>
    <s v="Card"/>
    <x v="4"/>
    <s v="Less salt"/>
  </r>
  <r>
    <s v="BC20350"/>
    <x v="207"/>
    <x v="6"/>
    <d v="1899-12-30T15:39:00"/>
    <s v="Burger Camp, Pune"/>
    <s v="Sneha Shaikh"/>
    <d v="1974-10-03T00:00:00"/>
    <x v="9"/>
    <n v="106"/>
    <n v="1"/>
    <n v="107"/>
    <s v="Wallet"/>
    <x v="7"/>
    <s v="repeat customer"/>
  </r>
  <r>
    <s v="BC20351"/>
    <x v="41"/>
    <x v="0"/>
    <d v="1899-12-30T19:30:59"/>
    <s v="Burger Camp, Pune"/>
    <s v="kiran khan"/>
    <d v="1982-06-25T00:00:00"/>
    <x v="0"/>
    <n v="91"/>
    <n v="1"/>
    <n v="92"/>
    <s v="Card"/>
    <x v="6"/>
    <s v="Spicy"/>
  </r>
  <r>
    <s v="BC20352"/>
    <x v="57"/>
    <x v="10"/>
    <d v="1899-12-30T10:31:00"/>
    <s v="Burger Camp, Pune"/>
    <s v="Kiran Shinde"/>
    <d v="1982-06-25T00:00:00"/>
    <x v="23"/>
    <n v="89"/>
    <n v="2"/>
    <n v="180"/>
    <s v="UPI"/>
    <x v="3"/>
    <s v="No onion"/>
  </r>
  <r>
    <s v="BC20353"/>
    <x v="216"/>
    <x v="4"/>
    <d v="1899-12-30T15:12:21"/>
    <s v="Burger Camp, Pune"/>
    <s v="Aarav Joshi"/>
    <d v="1984-07-24T00:00:00"/>
    <x v="25"/>
    <n v="313"/>
    <n v="1"/>
    <n v="314"/>
    <s v="UPI"/>
    <x v="6"/>
    <s v="No onion"/>
  </r>
  <r>
    <s v="BC20354"/>
    <x v="85"/>
    <x v="0"/>
    <d v="1899-12-30T18:13:00"/>
    <s v="Burger Camp, Pune"/>
    <s v="Aisha Shinde"/>
    <d v="1998-12-10T00:00:00"/>
    <x v="16"/>
    <n v="199"/>
    <n v="1"/>
    <n v="200"/>
    <s v="Wallet"/>
    <x v="7"/>
    <s v="No onion"/>
  </r>
  <r>
    <s v="BC20355"/>
    <x v="168"/>
    <x v="7"/>
    <d v="1899-12-30T10:15:44"/>
    <s v="Burger Camp, Pune"/>
    <s v=" Kiran More "/>
    <d v="1972-05-09T00:00:00"/>
    <x v="14"/>
    <n v="239"/>
    <n v="2"/>
    <n v="526"/>
    <s v="Cash"/>
    <x v="2"/>
    <s v="Custmer complaned"/>
  </r>
  <r>
    <s v="BC20356"/>
    <x v="217"/>
    <x v="6"/>
    <d v="1899-12-30T15:46:00"/>
    <s v="Burger Camp, Pune"/>
    <s v="Zaid Deshmukh"/>
    <d v="1973-02-18T00:00:00"/>
    <x v="8"/>
    <n v="47"/>
    <n v="1"/>
    <n v="47"/>
    <s v="Cash "/>
    <x v="1"/>
    <s v="Less salt"/>
  </r>
  <r>
    <s v="BC20357"/>
    <x v="61"/>
    <x v="2"/>
    <d v="1899-12-30T10:39:17"/>
    <s v="Burger Camp, Pune"/>
    <s v="Anil Naik"/>
    <d v="2008-01-04T00:00:00"/>
    <x v="24"/>
    <n v="109"/>
    <n v="3"/>
    <n v="327"/>
    <s v="Card"/>
    <x v="7"/>
    <s v="Less salt"/>
  </r>
  <r>
    <s v="BC20358"/>
    <x v="123"/>
    <x v="10"/>
    <d v="1899-12-30T12:16:49"/>
    <s v="Burger Camp, Pune"/>
    <s v="Anil More"/>
    <d v="1979-10-21T00:00:00"/>
    <x v="7"/>
    <n v="230"/>
    <n v="2"/>
    <n v="460"/>
    <s v="Wallet"/>
    <x v="2"/>
    <s v="No onion"/>
  </r>
  <r>
    <s v="BC20359"/>
    <x v="218"/>
    <x v="5"/>
    <d v="1899-12-30T18:04:00"/>
    <s v="Burger Camp, Pune"/>
    <s v="Farhan Gore"/>
    <d v="1991-12-12T00:00:00"/>
    <x v="9"/>
    <n v="97"/>
    <n v="2"/>
    <n v="163"/>
    <s v="Cash"/>
    <x v="1"/>
    <s v="Less salt"/>
  </r>
  <r>
    <s v="BC20360"/>
    <x v="123"/>
    <x v="10"/>
    <d v="1899-12-30T13:24:00"/>
    <s v="Burger Camp, Pune"/>
    <s v="Aarav Patil"/>
    <d v="1975-02-08T00:00:00"/>
    <x v="18"/>
    <n v="83"/>
    <n v="1"/>
    <n v="83"/>
    <s v="Card"/>
    <x v="4"/>
    <s v="Less salt"/>
  </r>
  <r>
    <s v="BC20361"/>
    <x v="219"/>
    <x v="1"/>
    <d v="1899-12-30T21:15:00"/>
    <s v="Burger Camp, Pune"/>
    <s v="Zaid Shinde"/>
    <d v="1974-06-21T00:00:00"/>
    <x v="5"/>
    <n v="309"/>
    <n v="1"/>
    <n v="309"/>
    <s v="UPI"/>
    <x v="6"/>
    <s v="Less salt"/>
  </r>
  <r>
    <s v="BC20362"/>
    <x v="102"/>
    <x v="8"/>
    <d v="1899-12-30T12:07:26"/>
    <s v="Burger Camp, Pune"/>
    <s v="Rahul More"/>
    <d v="1972-07-01T00:00:00"/>
    <x v="8"/>
    <n v="43"/>
    <n v="3"/>
    <n v="129"/>
    <s v="Cash"/>
    <x v="1"/>
    <s v="Servd late"/>
  </r>
  <r>
    <s v="BC20363"/>
    <x v="110"/>
    <x v="4"/>
    <d v="1899-12-30T21:53:27"/>
    <s v="Burger Camp, Pune"/>
    <s v="Pooja Patil"/>
    <d v="1972-07-01T00:00:00"/>
    <x v="7"/>
    <n v="309"/>
    <n v="1"/>
    <n v="309"/>
    <s v="UPI"/>
    <x v="7"/>
    <s v="Servd late"/>
  </r>
  <r>
    <s v="BC20364"/>
    <x v="108"/>
    <x v="9"/>
    <d v="1899-12-30T12:02:00"/>
    <s v="Burger Camp, Pune"/>
    <s v="Aisha Joshi"/>
    <d v="2009-06-04T00:00:00"/>
    <x v="20"/>
    <n v="261"/>
    <n v="1"/>
    <n v="261"/>
    <s v="UPI"/>
    <x v="5"/>
    <s v="Extra cheese"/>
  </r>
  <r>
    <s v="BC20365"/>
    <x v="23"/>
    <x v="2"/>
    <d v="1899-12-30T10:31:00"/>
    <s v="Burger Camp, Pune"/>
    <s v="Farhan Joshi"/>
    <d v="1997-12-15T00:00:00"/>
    <x v="24"/>
    <n v="161"/>
    <n v="1"/>
    <n v="161"/>
    <s v="Card"/>
    <x v="2"/>
    <s v="Spicy"/>
  </r>
  <r>
    <s v="BC20366"/>
    <x v="138"/>
    <x v="2"/>
    <d v="1899-12-30T20:47:00"/>
    <s v="Burger Camp, Pune"/>
    <s v=" Mubin Shinde "/>
    <d v="1976-12-26T00:00:00"/>
    <x v="22"/>
    <n v="144"/>
    <n v="1"/>
    <n v="145"/>
    <s v="Wallet"/>
    <x v="1"/>
    <s v="Spicy"/>
  </r>
  <r>
    <s v="BC20367"/>
    <x v="138"/>
    <x v="2"/>
    <d v="1899-12-30T11:31:00"/>
    <s v="Burger Camp, Pune"/>
    <s v="riya patil"/>
    <d v="2009-07-21T00:00:00"/>
    <x v="17"/>
    <n v="158"/>
    <n v="2"/>
    <n v="317"/>
    <s v="Cash "/>
    <x v="0"/>
    <s v="Spicy"/>
  </r>
  <r>
    <s v="BC20368"/>
    <x v="220"/>
    <x v="1"/>
    <d v="1899-12-30T11:11:29"/>
    <s v="Burger Camp, Pune"/>
    <s v="Kiran Shaikh"/>
    <d v="1978-08-27T00:00:00"/>
    <x v="13"/>
    <n v="115"/>
    <n v="2"/>
    <n v="231"/>
    <s v="Cash "/>
    <x v="5"/>
    <s v="Custmer complaned"/>
  </r>
  <r>
    <s v="BC20369"/>
    <x v="128"/>
    <x v="4"/>
    <d v="1899-12-30T20:52:02"/>
    <s v="Burger Camp, Pune"/>
    <s v="Pooja Deshmukh"/>
    <d v="2004-04-25T00:00:00"/>
    <x v="25"/>
    <n v="234"/>
    <n v="3"/>
    <n v="703"/>
    <s v="UPI"/>
    <x v="0"/>
    <s v="Less salt"/>
  </r>
  <r>
    <s v="BC20370"/>
    <x v="147"/>
    <x v="10"/>
    <d v="1899-12-30T15:26:00"/>
    <s v="Burger Camp, Pune"/>
    <s v=" Aisha Joshi "/>
    <d v="1971-09-04T00:00:00"/>
    <x v="0"/>
    <n v="97"/>
    <n v="2"/>
    <n v="195"/>
    <s v="UPI"/>
    <x v="5"/>
    <s v="Extra cheese"/>
  </r>
  <r>
    <s v="BC20371"/>
    <x v="61"/>
    <x v="2"/>
    <d v="1899-12-30T11:47:37"/>
    <s v="Burger Camp, Pune"/>
    <s v="Riya Gore"/>
    <d v="1971-09-04T00:00:00"/>
    <x v="13"/>
    <n v="112"/>
    <n v="2"/>
    <n v="226"/>
    <s v="Wallet"/>
    <x v="0"/>
    <s v="Extra cheese"/>
  </r>
  <r>
    <s v="BC20372"/>
    <x v="221"/>
    <x v="2"/>
    <d v="1899-12-30T22:34:00"/>
    <s v="Burger Camp, Pune"/>
    <s v=" Pooja Joshi "/>
    <d v="1984-08-12T00:00:00"/>
    <x v="12"/>
    <n v="283"/>
    <n v="3"/>
    <n v="850"/>
    <s v="Wallet"/>
    <x v="5"/>
    <s v="Extra cheese"/>
  </r>
  <r>
    <s v="BC20373"/>
    <x v="16"/>
    <x v="7"/>
    <d v="1899-12-30T23:09:02"/>
    <s v="Burger Camp, Pune"/>
    <s v="Aisha Gore"/>
    <d v="1987-12-07T00:00:00"/>
    <x v="16"/>
    <n v="180"/>
    <n v="1"/>
    <n v="181"/>
    <s v="UPI"/>
    <x v="1"/>
    <s v="Spicy"/>
  </r>
  <r>
    <s v="BC20374"/>
    <x v="222"/>
    <x v="7"/>
    <d v="1899-12-30T10:56:27"/>
    <s v="Burger Camp, Pune"/>
    <s v="Sneha Kulkarni"/>
    <d v="1987-12-07T00:00:00"/>
    <x v="12"/>
    <n v="268"/>
    <n v="1"/>
    <n v="268"/>
    <s v="Wallet"/>
    <x v="2"/>
    <s v="Spicy"/>
  </r>
  <r>
    <s v="BC20375"/>
    <x v="48"/>
    <x v="6"/>
    <d v="1899-12-30T13:59:00"/>
    <s v="Burger Camp, Pune"/>
    <s v="Aisha Patil"/>
    <d v="2000-01-11T00:00:00"/>
    <x v="15"/>
    <n v="239"/>
    <n v="3"/>
    <n v="720"/>
    <s v="Cash"/>
    <x v="4"/>
    <s v="Custmer complaned"/>
  </r>
  <r>
    <s v="BC20376"/>
    <x v="78"/>
    <x v="10"/>
    <d v="1899-12-30T19:46:19"/>
    <s v="Burger Camp, Pune"/>
    <s v="Zara Deshmukh"/>
    <d v="1982-02-19T00:00:00"/>
    <x v="11"/>
    <n v="220"/>
    <n v="3"/>
    <n v="662"/>
    <s v="UPI"/>
    <x v="5"/>
    <s v="Less salt"/>
  </r>
  <r>
    <s v="BC20377"/>
    <x v="223"/>
    <x v="7"/>
    <d v="1899-12-30T12:10:00"/>
    <s v="Burger Camp, Pune"/>
    <s v="Farhan Shaikh"/>
    <d v="2002-08-14T00:00:00"/>
    <x v="6"/>
    <n v="115"/>
    <n v="1"/>
    <n v="116"/>
    <s v="Cash "/>
    <x v="3"/>
    <s v="repeat customer"/>
  </r>
  <r>
    <s v="BC20378"/>
    <x v="10"/>
    <x v="6"/>
    <d v="1899-12-30T20:07:35"/>
    <s v="Burger Camp, Pune"/>
    <s v="Kiran Shinde"/>
    <d v="1999-11-12T00:00:00"/>
    <x v="6"/>
    <n v="97"/>
    <n v="2"/>
    <n v="196"/>
    <s v="Cash "/>
    <x v="5"/>
    <s v="Custmer complaned"/>
  </r>
  <r>
    <s v="BC20379"/>
    <x v="193"/>
    <x v="5"/>
    <d v="1899-12-30T16:02:00"/>
    <s v="Burger Camp, Pune"/>
    <s v="Anil Naik"/>
    <d v="1971-12-16T00:00:00"/>
    <x v="1"/>
    <n v="227"/>
    <n v="1"/>
    <n v="259"/>
    <s v="Card"/>
    <x v="1"/>
    <s v="Custmer complaned"/>
  </r>
  <r>
    <s v="BC20380"/>
    <x v="224"/>
    <x v="10"/>
    <d v="1899-12-30T20:39:00"/>
    <s v="Burger Camp, Pune"/>
    <s v="Farhan Shinde"/>
    <d v="2007-12-12T00:00:00"/>
    <x v="19"/>
    <n v="259"/>
    <n v="3"/>
    <n v="777"/>
    <s v="Cash"/>
    <x v="7"/>
    <s v="Custmer complaned"/>
  </r>
  <r>
    <s v="BC20381"/>
    <x v="109"/>
    <x v="6"/>
    <d v="1899-12-30T17:36:00"/>
    <s v="Burger Camp, Pune"/>
    <s v="Mubin Gore"/>
    <d v="2007-12-12T00:00:00"/>
    <x v="20"/>
    <n v="323"/>
    <n v="1"/>
    <n v="324"/>
    <s v="Cash "/>
    <x v="5"/>
    <s v="repeat customer"/>
  </r>
  <r>
    <s v="BC20382"/>
    <x v="225"/>
    <x v="11"/>
    <d v="1899-12-30T12:36:20"/>
    <s v="Burger Camp, Pune"/>
    <s v="Riya Joshi"/>
    <d v="1988-05-23T00:00:00"/>
    <x v="22"/>
    <n v="210"/>
    <n v="3"/>
    <n v="632"/>
    <s v="UPI"/>
    <x v="2"/>
    <s v="Custmer complaned"/>
  </r>
  <r>
    <s v="BC20383"/>
    <x v="226"/>
    <x v="7"/>
    <d v="1899-12-30T11:32:00"/>
    <s v="Burger Camp, Pune"/>
    <s v=" Anil Joshi "/>
    <d v="1977-09-22T00:00:00"/>
    <x v="3"/>
    <n v="162"/>
    <n v="2"/>
    <n v="324"/>
    <s v="Card"/>
    <x v="7"/>
    <s v="Spicy"/>
  </r>
  <r>
    <s v="BC20384"/>
    <x v="227"/>
    <x v="4"/>
    <d v="1899-12-30T17:51:39"/>
    <s v="Burger Camp, Pune"/>
    <s v="Zara Gore"/>
    <d v="2000-04-09T00:00:00"/>
    <x v="0"/>
    <n v="102"/>
    <n v="1"/>
    <n v="103"/>
    <s v="Cash "/>
    <x v="4"/>
    <s v="Spicy"/>
  </r>
  <r>
    <s v="BC20385"/>
    <x v="38"/>
    <x v="3"/>
    <d v="1899-12-30T11:19:00"/>
    <s v="Burger Camp, Pune"/>
    <s v="Farhan More"/>
    <d v="1979-04-06T00:00:00"/>
    <x v="25"/>
    <n v="102"/>
    <n v="3"/>
    <n v="103"/>
    <s v="UPI"/>
    <x v="4"/>
    <s v="Spicy"/>
  </r>
  <r>
    <s v="BC20386"/>
    <x v="6"/>
    <x v="0"/>
    <d v="1899-12-30T21:15:00"/>
    <s v="Burger Camp, Pune"/>
    <s v="Zaid Patil"/>
    <d v="1995-06-10T00:00:00"/>
    <x v="4"/>
    <n v="194"/>
    <n v="2"/>
    <m/>
    <s v="UPI"/>
    <x v="1"/>
    <s v="Less salt"/>
  </r>
  <r>
    <s v="BC20387"/>
    <x v="3"/>
    <x v="3"/>
    <d v="1899-12-30T13:19:00"/>
    <s v="Burger Camp, Pune"/>
    <s v="Farhan Deshmukh"/>
    <d v="1988-05-13T00:00:00"/>
    <x v="20"/>
    <n v="274"/>
    <n v="2"/>
    <m/>
    <s v="Card"/>
    <x v="3"/>
    <s v="Less salt"/>
  </r>
  <r>
    <s v="BC20388"/>
    <x v="108"/>
    <x v="9"/>
    <d v="1899-12-30T17:41:42"/>
    <s v="Burger Camp, Pune"/>
    <s v="Zaid Khan"/>
    <d v="2010-02-20T00:00:00"/>
    <x v="5"/>
    <n v="238"/>
    <n v="1"/>
    <n v="239"/>
    <s v="Cash "/>
    <x v="4"/>
    <s v="Less salt"/>
  </r>
  <r>
    <s v="BC20389"/>
    <x v="160"/>
    <x v="0"/>
    <d v="1899-12-30T16:03:29"/>
    <s v="Burger Camp, Pune"/>
    <s v="Aarav Shaikh"/>
    <d v="1973-10-22T00:00:00"/>
    <x v="5"/>
    <n v="168"/>
    <n v="3"/>
    <n v="505"/>
    <s v="UPI"/>
    <x v="4"/>
    <s v="Spicy"/>
  </r>
  <r>
    <s v="BC20390"/>
    <x v="35"/>
    <x v="3"/>
    <d v="1899-12-30T21:09:40"/>
    <s v="Burger Camp, Pune"/>
    <s v="Zaid Naik"/>
    <d v="2009-04-27T00:00:00"/>
    <x v="19"/>
    <n v="276"/>
    <n v="1"/>
    <n v="276"/>
    <s v="Card"/>
    <x v="2"/>
    <s v="Custmer complaned"/>
  </r>
  <r>
    <s v="BC20391"/>
    <x v="228"/>
    <x v="9"/>
    <d v="1899-12-30T21:16:00"/>
    <s v="Burger Camp, Pune"/>
    <s v="Aisha Shaikh"/>
    <d v="1977-04-19T00:00:00"/>
    <x v="15"/>
    <n v="83"/>
    <n v="3"/>
    <n v="250"/>
    <s v="UPI"/>
    <x v="7"/>
    <s v="Custmer complaned"/>
  </r>
  <r>
    <s v="BC20392"/>
    <x v="197"/>
    <x v="11"/>
    <d v="1899-12-30T22:26:00"/>
    <s v="Burger Camp, Pune"/>
    <s v="Anil Naik"/>
    <d v="1977-04-19T00:00:00"/>
    <x v="16"/>
    <n v="161"/>
    <n v="3"/>
    <n v="485"/>
    <s v="Cash"/>
    <x v="2"/>
    <s v="Servd late"/>
  </r>
  <r>
    <s v="BC20393"/>
    <x v="73"/>
    <x v="1"/>
    <d v="1899-12-30T12:29:00"/>
    <s v="Burger Camp, Pune"/>
    <s v="Pooja Joshi"/>
    <d v="1994-05-13T00:00:00"/>
    <x v="19"/>
    <n v="260"/>
    <n v="3"/>
    <n v="783"/>
    <s v="UPI"/>
    <x v="0"/>
    <s v="Extra cheese"/>
  </r>
  <r>
    <s v="BC20394"/>
    <x v="78"/>
    <x v="10"/>
    <d v="1899-12-30T13:24:00"/>
    <s v="Burger Camp, Pune"/>
    <s v="Sneha Deshmukh"/>
    <d v="1976-07-07T00:00:00"/>
    <x v="5"/>
    <n v="247"/>
    <n v="2"/>
    <n v="495"/>
    <s v="Wallet"/>
    <x v="0"/>
    <s v="Extra cheese"/>
  </r>
  <r>
    <s v="BC20395"/>
    <x v="229"/>
    <x v="4"/>
    <d v="1899-12-30T12:59:00"/>
    <s v="Burger Camp, Pune"/>
    <s v="zaid naik"/>
    <d v="1999-11-06T00:00:00"/>
    <x v="8"/>
    <n v="39"/>
    <n v="3"/>
    <n v="119"/>
    <s v="UPI"/>
    <x v="5"/>
    <s v="Servd late"/>
  </r>
  <r>
    <s v="BC20396"/>
    <x v="230"/>
    <x v="6"/>
    <d v="1899-12-30T20:05:00"/>
    <s v="Burger Camp, Pune"/>
    <s v="Aisha Gore"/>
    <d v="2005-09-28T00:00:00"/>
    <x v="20"/>
    <n v="284"/>
    <n v="2"/>
    <n v="568"/>
    <s v="Wallet"/>
    <x v="3"/>
    <s v="Servd late"/>
  </r>
  <r>
    <s v="BC20397"/>
    <x v="231"/>
    <x v="2"/>
    <d v="1899-12-30T23:58:00"/>
    <s v="Burger Camp, Pune"/>
    <s v="Riya More"/>
    <d v="1972-11-22T00:00:00"/>
    <x v="13"/>
    <n v="134"/>
    <n v="1"/>
    <n v="134"/>
    <s v="Cash"/>
    <x v="2"/>
    <s v="repeat customer"/>
  </r>
  <r>
    <s v="BC20398"/>
    <x v="12"/>
    <x v="2"/>
    <d v="1899-12-30T16:50:00"/>
    <s v="Burger Camp, Pune"/>
    <s v="Sneha Naik"/>
    <d v="1977-12-06T00:00:00"/>
    <x v="2"/>
    <n v="237"/>
    <n v="2"/>
    <n v="475"/>
    <s v="Cash"/>
    <x v="7"/>
    <s v="Custmer complaned"/>
  </r>
  <r>
    <s v="BC20399"/>
    <x v="149"/>
    <x v="6"/>
    <d v="1899-12-30T12:33:00"/>
    <s v="Burger Camp, Pune"/>
    <s v="Riya Shinde"/>
    <d v="1989-12-06T00:00:00"/>
    <x v="25"/>
    <n v="112"/>
    <n v="2"/>
    <m/>
    <s v="Card"/>
    <x v="0"/>
    <s v="Custmer complaned"/>
  </r>
  <r>
    <s v="BC20400"/>
    <x v="41"/>
    <x v="0"/>
    <d v="1899-12-30T20:09:00"/>
    <s v="Burger Camp, Pune"/>
    <s v="Farhan Kulkarni"/>
    <d v="2001-11-06T00:00:00"/>
    <x v="16"/>
    <n v="161"/>
    <n v="2"/>
    <n v="324"/>
    <s v="Cash"/>
    <x v="4"/>
    <s v="Less salt"/>
  </r>
  <r>
    <s v="BC20401"/>
    <x v="164"/>
    <x v="1"/>
    <d v="1899-12-30T20:06:00"/>
    <s v="Burger Camp, Pune"/>
    <s v="Mubin Naik"/>
    <d v="2004-02-26T00:00:00"/>
    <x v="15"/>
    <n v="147"/>
    <n v="1"/>
    <n v="147"/>
    <s v="Card"/>
    <x v="3"/>
    <s v="Less salt"/>
  </r>
  <r>
    <s v="BC20402"/>
    <x v="232"/>
    <x v="10"/>
    <d v="1899-12-30T13:37:00"/>
    <s v="Burger Camp, Pune"/>
    <s v="Pooja More"/>
    <d v="1973-06-26T00:00:00"/>
    <x v="12"/>
    <n v="281"/>
    <n v="2"/>
    <n v="562"/>
    <s v="Card"/>
    <x v="5"/>
    <s v="Custmer complaned"/>
  </r>
  <r>
    <s v="BC20403"/>
    <x v="233"/>
    <x v="9"/>
    <d v="1899-12-30T20:11:00"/>
    <s v="Burger Camp, Pune"/>
    <s v="Pooja Kulkarni"/>
    <d v="1986-09-08T00:00:00"/>
    <x v="10"/>
    <n v="297"/>
    <n v="2"/>
    <n v="595"/>
    <s v="Card"/>
    <x v="3"/>
    <s v="Less salt"/>
  </r>
  <r>
    <s v="BC20404"/>
    <x v="17"/>
    <x v="3"/>
    <d v="1899-12-30T14:32:19"/>
    <s v="Burger Camp, Pune"/>
    <s v="Rahul More"/>
    <d v="2009-04-19T00:00:00"/>
    <x v="20"/>
    <n v="301"/>
    <n v="2"/>
    <n v="603"/>
    <s v="Cash "/>
    <x v="2"/>
    <s v="Spicy"/>
  </r>
  <r>
    <s v="BC20405"/>
    <x v="234"/>
    <x v="10"/>
    <d v="1899-12-30T23:47:20"/>
    <s v="Burger Camp, Pune"/>
    <s v="Anil Deshmukh"/>
    <d v="1970-07-02T00:00:00"/>
    <x v="21"/>
    <n v="235"/>
    <n v="2"/>
    <n v="471"/>
    <s v="Wallet"/>
    <x v="4"/>
    <s v="Spicy"/>
  </r>
  <r>
    <s v="BC20406"/>
    <x v="190"/>
    <x v="4"/>
    <d v="1899-12-30T11:15:10"/>
    <s v="Burger Camp, Pune"/>
    <s v="Aisha More"/>
    <d v="1972-11-13T00:00:00"/>
    <x v="1"/>
    <n v="199"/>
    <n v="1"/>
    <n v="200"/>
    <s v="UPI"/>
    <x v="3"/>
    <s v="Spicy"/>
  </r>
  <r>
    <s v="BC20407"/>
    <x v="215"/>
    <x v="6"/>
    <d v="1899-12-30T18:05:00"/>
    <s v="Burger Camp, Pune"/>
    <s v="Farhan Gore"/>
    <d v="1972-11-13T00:00:00"/>
    <x v="10"/>
    <n v="84"/>
    <n v="1"/>
    <n v="84"/>
    <s v="UPI"/>
    <x v="2"/>
    <s v="Servd late"/>
  </r>
  <r>
    <s v="BC20408"/>
    <x v="222"/>
    <x v="7"/>
    <d v="1899-12-30T14:38:00"/>
    <s v="Burger Camp, Pune"/>
    <s v="Sneha Shaikh"/>
    <d v="1972-11-13T00:00:00"/>
    <x v="8"/>
    <n v="55"/>
    <n v="1"/>
    <n v="56"/>
    <s v="Card"/>
    <x v="3"/>
    <s v="Servd late"/>
  </r>
  <r>
    <s v="BC20409"/>
    <x v="176"/>
    <x v="3"/>
    <d v="1899-12-30T19:41:00"/>
    <s v="Burger Camp, Pune"/>
    <s v="Kiran Deshmukh"/>
    <d v="1979-11-11T00:00:00"/>
    <x v="21"/>
    <n v="198"/>
    <n v="1"/>
    <n v="198"/>
    <s v="Card"/>
    <x v="4"/>
    <s v="Servd late"/>
  </r>
  <r>
    <s v="BC20410"/>
    <x v="107"/>
    <x v="6"/>
    <d v="1899-12-30T13:19:00"/>
    <s v="Burger Camp, Pune"/>
    <s v="Aarav Kulkarni"/>
    <d v="1978-09-12T00:00:00"/>
    <x v="2"/>
    <n v="241"/>
    <n v="2"/>
    <n v="484"/>
    <s v="Cash"/>
    <x v="6"/>
    <s v="Less salt"/>
  </r>
  <r>
    <s v="BC20411"/>
    <x v="184"/>
    <x v="9"/>
    <d v="1899-12-30T16:12:13"/>
    <s v="Burger Camp, Pune"/>
    <s v="Zara Shaikh"/>
    <d v="2007-12-17T00:00:00"/>
    <x v="25"/>
    <n v="276"/>
    <n v="1"/>
    <n v="280"/>
    <s v="Card"/>
    <x v="2"/>
    <s v="Servd late"/>
  </r>
  <r>
    <s v="BC20412"/>
    <x v="235"/>
    <x v="10"/>
    <d v="1899-12-30T23:41:00"/>
    <s v="Burger Camp, Pune"/>
    <s v="Aisha Shaikh"/>
    <d v="2000-01-09T00:00:00"/>
    <x v="7"/>
    <n v="173"/>
    <n v="2"/>
    <n v="347"/>
    <s v="UPI"/>
    <x v="0"/>
    <s v="Spicy"/>
  </r>
  <r>
    <s v="BC20413"/>
    <x v="236"/>
    <x v="8"/>
    <d v="1899-12-30T21:51:00"/>
    <s v="Burger Camp, Pune"/>
    <s v="Sneha Shinde"/>
    <d v="1980-01-16T00:00:00"/>
    <x v="21"/>
    <n v="232"/>
    <n v="2"/>
    <n v="465"/>
    <s v="UPI"/>
    <x v="3"/>
    <s v="No onion"/>
  </r>
  <r>
    <s v="BC20414"/>
    <x v="33"/>
    <x v="11"/>
    <d v="1899-12-30T11:26:00"/>
    <s v="Burger Camp, Pune"/>
    <s v="Pooja More"/>
    <d v="1991-12-12T00:00:00"/>
    <x v="14"/>
    <n v="107"/>
    <n v="2"/>
    <n v="216"/>
    <s v="Wallet"/>
    <x v="3"/>
    <s v="Less salt"/>
  </r>
  <r>
    <s v="BC20415"/>
    <x v="237"/>
    <x v="2"/>
    <d v="1899-12-30T13:42:00"/>
    <s v="Burger Camp, Pune"/>
    <s v="Mubin Deshmukh"/>
    <d v="1985-04-09T00:00:00"/>
    <x v="10"/>
    <n v="115"/>
    <n v="2"/>
    <n v="232"/>
    <s v="UPI"/>
    <x v="5"/>
    <s v="Spicy"/>
  </r>
  <r>
    <s v="BC20416"/>
    <x v="119"/>
    <x v="0"/>
    <d v="1899-12-30T12:25:00"/>
    <s v="Burger Camp, Pune"/>
    <s v="Zara More"/>
    <d v="2010-10-13T00:00:00"/>
    <x v="25"/>
    <n v="208"/>
    <n v="3"/>
    <n v="626"/>
    <s v="Card"/>
    <x v="7"/>
    <s v="No onion"/>
  </r>
  <r>
    <s v="BC20417"/>
    <x v="104"/>
    <x v="1"/>
    <d v="1899-12-30T18:08:00"/>
    <s v="Burger Camp, Pune"/>
    <s v="Pooja Shaikh"/>
    <d v="1978-06-10T00:00:00"/>
    <x v="6"/>
    <n v="117"/>
    <n v="2"/>
    <n v="236"/>
    <s v="Cash"/>
    <x v="2"/>
    <s v="No onion"/>
  </r>
  <r>
    <s v="BC20418"/>
    <x v="198"/>
    <x v="7"/>
    <d v="1899-12-30T15:10:00"/>
    <s v="Burger Camp, Pune"/>
    <s v="Sneha Gore"/>
    <d v="1979-09-20T00:00:00"/>
    <x v="17"/>
    <n v="131"/>
    <n v="1"/>
    <n v="131"/>
    <s v="Cash "/>
    <x v="4"/>
    <s v="No onion"/>
  </r>
  <r>
    <s v="BC20419"/>
    <x v="238"/>
    <x v="5"/>
    <d v="1899-12-30T12:30:00"/>
    <s v="Burger Camp, Pune"/>
    <s v="Riya Deshmukh"/>
    <d v="1995-10-07T00:00:00"/>
    <x v="6"/>
    <n v="86"/>
    <n v="1"/>
    <n v="87"/>
    <s v="Card"/>
    <x v="6"/>
    <s v="Less salt"/>
  </r>
  <r>
    <s v="BC20420"/>
    <x v="100"/>
    <x v="0"/>
    <d v="1899-12-30T18:47:39"/>
    <s v="Burger Camp, Pune"/>
    <s v="Sneha Shaikh"/>
    <d v="1991-05-02T00:00:00"/>
    <x v="15"/>
    <n v="226"/>
    <n v="2"/>
    <n v="453"/>
    <s v="Card"/>
    <x v="0"/>
    <s v="repeat customer"/>
  </r>
  <r>
    <s v="BC20421"/>
    <x v="8"/>
    <x v="5"/>
    <d v="1899-12-30T23:46:46"/>
    <s v="Burger Camp, Pune"/>
    <s v="Anil Kulkarni"/>
    <d v="1991-05-02T00:00:00"/>
    <x v="15"/>
    <n v="102"/>
    <n v="2"/>
    <n v="206"/>
    <s v="UPI"/>
    <x v="0"/>
    <s v="Extra cheese"/>
  </r>
  <r>
    <s v="BC20422"/>
    <x v="179"/>
    <x v="6"/>
    <d v="1899-12-30T19:06:00"/>
    <s v="Burger Camp, Pune"/>
    <s v="Farhan Gore"/>
    <d v="1996-07-23T00:00:00"/>
    <x v="6"/>
    <n v="117"/>
    <n v="2"/>
    <n v="235"/>
    <s v="Cash"/>
    <x v="6"/>
    <s v="Custmer complaned"/>
  </r>
  <r>
    <s v="BC20423"/>
    <x v="1"/>
    <x v="1"/>
    <d v="1899-12-30T15:15:17"/>
    <s v="Burger Camp, Pune"/>
    <s v="Aarav Shinde"/>
    <d v="1986-03-07T00:00:00"/>
    <x v="10"/>
    <n v="39"/>
    <n v="2"/>
    <n v="79"/>
    <s v="Card"/>
    <x v="0"/>
    <s v="Servd late"/>
  </r>
  <r>
    <s v="BC20424"/>
    <x v="36"/>
    <x v="0"/>
    <d v="1899-12-30T22:24:12"/>
    <s v="Burger Camp, Pune"/>
    <s v="Aisha More"/>
    <d v="1993-03-06T00:00:00"/>
    <x v="10"/>
    <n v="116"/>
    <n v="2"/>
    <n v="234"/>
    <s v="Card"/>
    <x v="2"/>
    <s v="repeat customer"/>
  </r>
  <r>
    <s v="BC20425"/>
    <x v="80"/>
    <x v="3"/>
    <d v="1899-12-30T23:47:52"/>
    <s v="Burger Camp, Pune"/>
    <s v="Zara Gore"/>
    <d v="1984-08-27T00:00:00"/>
    <x v="0"/>
    <n v="105"/>
    <n v="1"/>
    <n v="105"/>
    <s v="Card"/>
    <x v="6"/>
    <s v="repeat customer"/>
  </r>
  <r>
    <s v="BC20426"/>
    <x v="239"/>
    <x v="6"/>
    <d v="1899-12-30T16:11:00"/>
    <s v="Burger Camp, Pune"/>
    <s v="Zara Deshmukh"/>
    <d v="1994-12-09T00:00:00"/>
    <x v="4"/>
    <n v="229"/>
    <n v="1"/>
    <n v="230"/>
    <s v="Card"/>
    <x v="6"/>
    <s v="repeat customer"/>
  </r>
  <r>
    <s v="BC20427"/>
    <x v="123"/>
    <x v="10"/>
    <d v="1899-12-30T21:22:00"/>
    <s v="Burger Camp, Pune"/>
    <s v="Kiran Kulkarni"/>
    <d v="1987-10-27T00:00:00"/>
    <x v="21"/>
    <n v="212"/>
    <n v="1"/>
    <n v="212"/>
    <s v="Cash "/>
    <x v="5"/>
    <s v="repeat customer"/>
  </r>
  <r>
    <s v="BC20428"/>
    <x v="240"/>
    <x v="9"/>
    <d v="1899-12-30T16:13:42"/>
    <s v="Burger Camp, Pune"/>
    <s v="Anil Kulkarni"/>
    <d v="1984-10-26T00:00:00"/>
    <x v="21"/>
    <n v="249"/>
    <n v="2"/>
    <n v="499"/>
    <s v="Wallet"/>
    <x v="3"/>
    <s v="Spicy"/>
  </r>
  <r>
    <s v="BC20429"/>
    <x v="241"/>
    <x v="5"/>
    <d v="1899-12-30T21:07:00"/>
    <s v="Burger Camp, Pune"/>
    <s v="Mubin Deshmukh"/>
    <d v="1994-07-13T00:00:00"/>
    <x v="20"/>
    <n v="313"/>
    <n v="1"/>
    <n v="313"/>
    <s v="Cash "/>
    <x v="5"/>
    <s v="Extra cheese"/>
  </r>
  <r>
    <s v="BC20430"/>
    <x v="242"/>
    <x v="6"/>
    <d v="1899-12-30T11:10:00"/>
    <s v="Burger Camp, Pune"/>
    <s v="Aarav Khan"/>
    <d v="2006-10-12T00:00:00"/>
    <x v="5"/>
    <n v="333"/>
    <n v="1"/>
    <n v="333"/>
    <s v="Cash "/>
    <x v="5"/>
    <s v="Extra cheese"/>
  </r>
  <r>
    <s v="BC20431"/>
    <x v="243"/>
    <x v="2"/>
    <d v="1899-12-30T22:59:19"/>
    <s v="Burger Camp, Pune"/>
    <s v="Mubin Shinde"/>
    <d v="1980-02-16T00:00:00"/>
    <x v="3"/>
    <n v="131"/>
    <n v="2"/>
    <n v="263"/>
    <s v="Card"/>
    <x v="5"/>
    <s v="Extra cheese"/>
  </r>
  <r>
    <s v="BC20432"/>
    <x v="139"/>
    <x v="0"/>
    <d v="1899-12-30T23:33:00"/>
    <s v="Burger Camp, Pune"/>
    <s v="Kiran Shinde"/>
    <d v="2004-09-13T00:00:00"/>
    <x v="17"/>
    <n v="164"/>
    <n v="3"/>
    <n v="494"/>
    <s v="Cash "/>
    <x v="5"/>
    <s v="Extra cheese"/>
  </r>
  <r>
    <s v="BC20433"/>
    <x v="148"/>
    <x v="5"/>
    <d v="1899-12-30T14:57:00"/>
    <s v="Burger Camp, Pune"/>
    <s v="Zara Kulkarni"/>
    <d v="1973-09-01T00:00:00"/>
    <x v="3"/>
    <n v="44"/>
    <n v="2"/>
    <n v="89"/>
    <s v="Card"/>
    <x v="1"/>
    <s v="Less salt"/>
  </r>
  <r>
    <s v="BC20434"/>
    <x v="244"/>
    <x v="2"/>
    <d v="1899-12-30T10:59:00"/>
    <s v="Burger Camp, Pune"/>
    <s v=" Aisha Shaikh "/>
    <d v="1985-11-27T00:00:00"/>
    <x v="4"/>
    <n v="230"/>
    <n v="3"/>
    <n v="693"/>
    <s v="Cash "/>
    <x v="4"/>
    <s v="Custmer complaned"/>
  </r>
  <r>
    <s v="BC20435"/>
    <x v="24"/>
    <x v="9"/>
    <d v="1899-12-30T23:26:24"/>
    <s v="Burger Camp, Pune"/>
    <s v=" Riya More "/>
    <d v="1995-01-23T00:00:00"/>
    <x v="12"/>
    <n v="235"/>
    <n v="2"/>
    <n v="470"/>
    <s v="Cash "/>
    <x v="1"/>
    <s v="No onion"/>
  </r>
  <r>
    <s v="BC20436"/>
    <x v="245"/>
    <x v="9"/>
    <d v="1899-12-30T11:35:54"/>
    <s v="Burger Camp, Pune"/>
    <s v=" Riya Patil "/>
    <d v="2000-02-04T00:00:00"/>
    <x v="0"/>
    <n v="89"/>
    <n v="1"/>
    <n v="89"/>
    <s v="Cash"/>
    <x v="5"/>
    <s v="Spicy"/>
  </r>
  <r>
    <s v="BC20437"/>
    <x v="246"/>
    <x v="1"/>
    <d v="1899-12-30T12:22:00"/>
    <s v="Burger Camp, Pune"/>
    <s v="Kiran Khan"/>
    <d v="1988-09-03T00:00:00"/>
    <x v="24"/>
    <n v="112"/>
    <n v="1"/>
    <n v="112"/>
    <s v="UPI"/>
    <x v="2"/>
    <s v="Servd late"/>
  </r>
  <r>
    <s v="BC20438"/>
    <x v="58"/>
    <x v="5"/>
    <d v="1899-12-30T20:14:00"/>
    <s v="Burger Camp, Pune"/>
    <s v="aarav gore"/>
    <d v="2006-02-28T00:00:00"/>
    <x v="7"/>
    <n v="174"/>
    <n v="2"/>
    <n v="350"/>
    <s v="UPI"/>
    <x v="2"/>
    <s v="Less salt"/>
  </r>
  <r>
    <s v="BC20439"/>
    <x v="96"/>
    <x v="8"/>
    <d v="1899-12-30T16:16:00"/>
    <s v="Burger Camp, Pune"/>
    <s v="Farhan Khan"/>
    <d v="1972-08-14T00:00:00"/>
    <x v="2"/>
    <n v="315"/>
    <n v="2"/>
    <n v="631"/>
    <s v="Wallet"/>
    <x v="4"/>
    <s v="Less salt"/>
  </r>
  <r>
    <s v="BC20440"/>
    <x v="247"/>
    <x v="11"/>
    <d v="1899-12-30T23:46:00"/>
    <s v="Burger Camp, Pune"/>
    <s v="Farhan More"/>
    <d v="1996-06-21T00:00:00"/>
    <x v="17"/>
    <n v="162"/>
    <n v="2"/>
    <n v="325"/>
    <s v="Wallet"/>
    <x v="5"/>
    <s v="Less salt"/>
  </r>
  <r>
    <s v="BC20441"/>
    <x v="248"/>
    <x v="9"/>
    <d v="1899-12-30T14:47:00"/>
    <s v="Burger Camp, Pune"/>
    <s v="Sneha Deshmukh"/>
    <d v="1979-07-11T00:00:00"/>
    <x v="9"/>
    <n v="153"/>
    <n v="1"/>
    <n v="154"/>
    <s v="Card"/>
    <x v="4"/>
    <s v="Spicy"/>
  </r>
  <r>
    <s v="BC20442"/>
    <x v="249"/>
    <x v="7"/>
    <d v="1899-12-30T15:39:58"/>
    <s v="Burger Camp, Pune"/>
    <s v="Zara More"/>
    <d v="1988-05-04T00:00:00"/>
    <x v="5"/>
    <n v="145"/>
    <n v="1"/>
    <n v="145"/>
    <s v="Card"/>
    <x v="1"/>
    <s v="Extra cheese"/>
  </r>
  <r>
    <s v="BC20443"/>
    <x v="250"/>
    <x v="3"/>
    <d v="1899-12-30T16:30:00"/>
    <s v="Burger Camp, Pune"/>
    <s v="Zara Shinde"/>
    <d v="1981-08-01T00:00:00"/>
    <x v="4"/>
    <n v="158"/>
    <n v="1"/>
    <n v="159"/>
    <s v="Card"/>
    <x v="2"/>
    <s v="Extra cheese"/>
  </r>
  <r>
    <s v="BC20444"/>
    <x v="251"/>
    <x v="11"/>
    <d v="1899-12-30T12:23:54"/>
    <s v="Burger Camp, Pune"/>
    <s v="Riya Kulkarni"/>
    <d v="1971-08-11T00:00:00"/>
    <x v="8"/>
    <n v="42"/>
    <n v="3"/>
    <m/>
    <s v="UPI"/>
    <x v="4"/>
    <s v="Extra cheese"/>
  </r>
  <r>
    <s v="BC20445"/>
    <x v="184"/>
    <x v="9"/>
    <d v="1899-12-30T21:24:21"/>
    <s v="Burger Camp, Pune"/>
    <s v="Rahul Deshmukh"/>
    <d v="1992-12-09T00:00:00"/>
    <x v="23"/>
    <n v="42"/>
    <n v="1"/>
    <m/>
    <s v="Card"/>
    <x v="3"/>
    <s v="Servd late"/>
  </r>
  <r>
    <s v="BC20446"/>
    <x v="211"/>
    <x v="5"/>
    <d v="1899-12-30T22:05:00"/>
    <s v="Burger Camp, Pune"/>
    <s v="Aarav Khan"/>
    <d v="2009-02-05T00:00:00"/>
    <x v="23"/>
    <n v="152"/>
    <n v="1"/>
    <n v="189"/>
    <s v="Cash"/>
    <x v="1"/>
    <s v="repeat customer"/>
  </r>
  <r>
    <s v="BC20447"/>
    <x v="34"/>
    <x v="1"/>
    <d v="1899-12-30T17:52:00"/>
    <s v="Burger Camp, Pune"/>
    <s v="Pooja Gore"/>
    <d v="2009-02-05T00:00:00"/>
    <x v="20"/>
    <n v="346"/>
    <n v="1"/>
    <n v="347"/>
    <s v="Wallet"/>
    <x v="3"/>
    <s v="repeat customer"/>
  </r>
  <r>
    <s v="BC20448"/>
    <x v="75"/>
    <x v="0"/>
    <d v="1899-12-30T19:26:00"/>
    <s v="Burger Camp, Pune"/>
    <s v="Anil Joshi"/>
    <d v="1985-09-01T00:00:00"/>
    <x v="1"/>
    <n v="195"/>
    <n v="2"/>
    <n v="436"/>
    <s v="Card"/>
    <x v="2"/>
    <s v="No onion"/>
  </r>
  <r>
    <s v="BC20449"/>
    <x v="162"/>
    <x v="6"/>
    <d v="1899-12-30T17:22:47"/>
    <s v="Burger Camp, Pune"/>
    <s v="Farhan More"/>
    <d v="2004-12-07T00:00:00"/>
    <x v="16"/>
    <n v="217"/>
    <n v="2"/>
    <m/>
    <s v="UPI"/>
    <x v="2"/>
    <s v="repeat customer"/>
  </r>
  <r>
    <s v="BC20450"/>
    <x v="252"/>
    <x v="0"/>
    <d v="1899-12-30T10:27:00"/>
    <s v="Burger Camp, Pune"/>
    <s v="Sneha Patil"/>
    <d v="1976-01-13T00:00:00"/>
    <x v="17"/>
    <n v="157"/>
    <n v="1"/>
    <n v="158"/>
    <s v="Card"/>
    <x v="1"/>
    <s v="No onion"/>
  </r>
  <r>
    <s v="BC20451"/>
    <x v="253"/>
    <x v="1"/>
    <d v="1899-12-30T12:15:33"/>
    <s v="Burger Camp, Pune"/>
    <s v="Riya Deshmukh"/>
    <d v="2010-03-11T00:00:00"/>
    <x v="18"/>
    <n v="181"/>
    <n v="2"/>
    <n v="364"/>
    <s v="Card"/>
    <x v="4"/>
    <s v="Servd late"/>
  </r>
  <r>
    <s v="BC20452"/>
    <x v="119"/>
    <x v="0"/>
    <d v="1899-12-30T22:17:35"/>
    <s v="Burger Camp, Pune"/>
    <s v="Zara Shinde"/>
    <d v="1990-11-19T00:00:00"/>
    <x v="14"/>
    <n v="136"/>
    <n v="1"/>
    <n v="136"/>
    <s v="Card"/>
    <x v="6"/>
    <s v="Custmer complaned"/>
  </r>
  <r>
    <s v="BC20453"/>
    <x v="95"/>
    <x v="5"/>
    <d v="1899-12-30T22:49:00"/>
    <s v="Burger Camp, Pune"/>
    <s v="Sneha Shinde"/>
    <d v="1990-11-19T00:00:00"/>
    <x v="4"/>
    <n v="223"/>
    <n v="3"/>
    <n v="669"/>
    <s v="Wallet"/>
    <x v="1"/>
    <s v="Custmer complaned"/>
  </r>
  <r>
    <s v="BC20454"/>
    <x v="94"/>
    <x v="5"/>
    <d v="1899-12-30T18:51:32"/>
    <s v="Burger Camp, Pune"/>
    <s v="Riya Deshmukh"/>
    <d v="1991-12-12T00:00:00"/>
    <x v="22"/>
    <n v="99"/>
    <n v="2"/>
    <n v="200"/>
    <s v="Cash "/>
    <x v="6"/>
    <s v="Custmer complaned"/>
  </r>
  <r>
    <s v="BC20455"/>
    <x v="222"/>
    <x v="7"/>
    <d v="1899-12-30T14:10:00"/>
    <s v="Burger Camp, Pune"/>
    <s v="Farhan Khan"/>
    <d v="1991-12-12T00:00:00"/>
    <x v="8"/>
    <n v="48"/>
    <n v="3"/>
    <n v="162"/>
    <s v="UPI"/>
    <x v="6"/>
    <s v="No onion"/>
  </r>
  <r>
    <s v="BC20456"/>
    <x v="95"/>
    <x v="5"/>
    <d v="1899-12-30T18:10:00"/>
    <s v="Burger Camp, Pune"/>
    <s v="Mubin Shinde"/>
    <d v="1996-06-25T00:00:00"/>
    <x v="15"/>
    <n v="305"/>
    <n v="1"/>
    <n v="305"/>
    <s v="Cash"/>
    <x v="4"/>
    <s v="No onion"/>
  </r>
  <r>
    <s v="BC20457"/>
    <x v="148"/>
    <x v="5"/>
    <d v="1899-12-30T12:55:00"/>
    <s v="Burger Camp, Pune"/>
    <s v="Farhan Shinde"/>
    <d v="1995-01-17T00:00:00"/>
    <x v="1"/>
    <n v="210"/>
    <n v="2"/>
    <n v="420"/>
    <s v="Card"/>
    <x v="3"/>
    <s v="repeat customer"/>
  </r>
  <r>
    <s v="BC20458"/>
    <x v="69"/>
    <x v="7"/>
    <d v="1899-12-30T20:47:39"/>
    <s v="Burger Camp, Pune"/>
    <s v="Anil Kulkarni"/>
    <d v="1982-10-09T00:00:00"/>
    <x v="24"/>
    <n v="109"/>
    <n v="1"/>
    <n v="110"/>
    <s v="Wallet"/>
    <x v="7"/>
    <s v="Less salt"/>
  </r>
  <r>
    <s v="BC20459"/>
    <x v="155"/>
    <x v="6"/>
    <d v="1899-12-30T17:03:00"/>
    <s v="Burger Camp, Pune"/>
    <s v="Riya Gore"/>
    <d v="1983-09-01T00:00:00"/>
    <x v="25"/>
    <n v="289"/>
    <n v="1"/>
    <n v="290"/>
    <s v="Cash"/>
    <x v="5"/>
    <s v="Extra cheese"/>
  </r>
  <r>
    <s v="BC20460"/>
    <x v="189"/>
    <x v="11"/>
    <d v="1899-12-30T14:28:00"/>
    <s v="Burger Camp, Pune"/>
    <s v="Zara Patil"/>
    <d v="1983-09-01T00:00:00"/>
    <x v="10"/>
    <n v="242"/>
    <n v="1"/>
    <n v="243"/>
    <s v="UPI"/>
    <x v="5"/>
    <s v="No onion"/>
  </r>
  <r>
    <s v="BC20461"/>
    <x v="176"/>
    <x v="3"/>
    <d v="1899-12-30T23:56:00"/>
    <s v="Burger Camp, Pune"/>
    <s v="Rahul Naik"/>
    <d v="2000-02-24T00:00:00"/>
    <x v="14"/>
    <n v="302"/>
    <n v="2"/>
    <n v="605"/>
    <s v="Wallet"/>
    <x v="7"/>
    <s v="Extra cheese"/>
  </r>
  <r>
    <s v="BC20462"/>
    <x v="254"/>
    <x v="0"/>
    <d v="1899-12-30T13:44:00"/>
    <s v="Burger Camp, Pune"/>
    <s v="Kiran Khan"/>
    <d v="1997-09-23T00:00:00"/>
    <x v="19"/>
    <n v="311"/>
    <n v="1"/>
    <n v="312"/>
    <s v="UPI"/>
    <x v="3"/>
    <s v="repeat customer"/>
  </r>
  <r>
    <s v="BC20463"/>
    <x v="255"/>
    <x v="1"/>
    <d v="1899-12-30T22:18:00"/>
    <s v="Burger Camp, Pune"/>
    <s v="Pooja Kulkarni"/>
    <d v="1975-10-09T00:00:00"/>
    <x v="1"/>
    <n v="225"/>
    <n v="3"/>
    <n v="675"/>
    <s v="Wallet"/>
    <x v="0"/>
    <s v="No onion"/>
  </r>
  <r>
    <s v="BC20464"/>
    <x v="187"/>
    <x v="9"/>
    <d v="1899-12-30T18:06:00"/>
    <s v="Burger Camp, Pune"/>
    <s v="Anil Kulkarni"/>
    <d v="1984-11-23T00:00:00"/>
    <x v="5"/>
    <n v="131"/>
    <n v="1"/>
    <n v="132"/>
    <s v="Wallet"/>
    <x v="5"/>
    <s v="No onion"/>
  </r>
  <r>
    <s v="BC20465"/>
    <x v="17"/>
    <x v="3"/>
    <d v="1899-12-30T21:19:15"/>
    <s v="Burger Camp, Pune"/>
    <s v="Anil Joshi"/>
    <d v="1982-01-01T00:00:00"/>
    <x v="19"/>
    <n v="266"/>
    <n v="2"/>
    <n v="534"/>
    <s v="Wallet"/>
    <x v="5"/>
    <s v="No onion"/>
  </r>
  <r>
    <s v="BC20466"/>
    <x v="55"/>
    <x v="5"/>
    <d v="1899-12-30T10:16:44"/>
    <s v="Burger Camp, Pune"/>
    <s v="Zaid Kulkarni"/>
    <d v="2007-10-12T00:00:00"/>
    <x v="10"/>
    <n v="113"/>
    <n v="2"/>
    <n v="226"/>
    <s v="Wallet"/>
    <x v="5"/>
    <s v="Servd late"/>
  </r>
  <r>
    <s v="BC20467"/>
    <x v="235"/>
    <x v="10"/>
    <d v="1899-12-30T13:39:00"/>
    <s v="Burger Camp, Pune"/>
    <s v="Aarav Patil"/>
    <d v="1971-09-15T00:00:00"/>
    <x v="13"/>
    <n v="119"/>
    <n v="2"/>
    <n v="239"/>
    <s v="Card"/>
    <x v="4"/>
    <s v="Servd late"/>
  </r>
  <r>
    <s v="BC20468"/>
    <x v="128"/>
    <x v="4"/>
    <d v="1899-12-30T22:47:00"/>
    <s v="Burger Camp, Pune"/>
    <s v="sneha deshmukh"/>
    <d v="1991-11-19T00:00:00"/>
    <x v="12"/>
    <n v="235"/>
    <n v="2"/>
    <n v="488"/>
    <s v="Card"/>
    <x v="1"/>
    <s v="repeat customer"/>
  </r>
  <r>
    <s v="BC20469"/>
    <x v="191"/>
    <x v="4"/>
    <d v="1899-12-30T18:44:00"/>
    <s v="Burger Camp, Pune"/>
    <s v="Mubin Shaikh"/>
    <d v="1992-08-13T00:00:00"/>
    <x v="20"/>
    <n v="235"/>
    <n v="1"/>
    <n v="236"/>
    <s v="Cash"/>
    <x v="4"/>
    <s v="Less salt"/>
  </r>
  <r>
    <s v="BC20470"/>
    <x v="157"/>
    <x v="8"/>
    <d v="1899-12-30T10:23:00"/>
    <s v="Burger Camp, Pune"/>
    <s v="Aarav Shaikh"/>
    <d v="2003-01-10T00:00:00"/>
    <x v="2"/>
    <n v="283"/>
    <n v="1"/>
    <n v="283"/>
    <s v="UPI"/>
    <x v="1"/>
    <s v="Less salt"/>
  </r>
  <r>
    <s v="BC20471"/>
    <x v="256"/>
    <x v="2"/>
    <d v="1899-12-30T19:10:00"/>
    <s v="Burger Camp, Pune"/>
    <s v="Zaid Shinde"/>
    <d v="2003-01-10T00:00:00"/>
    <x v="3"/>
    <n v="232"/>
    <n v="3"/>
    <n v="696"/>
    <s v="UPI"/>
    <x v="4"/>
    <s v="Less salt"/>
  </r>
  <r>
    <s v="BC20472"/>
    <x v="212"/>
    <x v="10"/>
    <d v="1899-12-30T16:38:01"/>
    <s v="Burger Camp, Pune"/>
    <s v="Mubin Kulkarni"/>
    <d v="1979-11-02T00:00:00"/>
    <x v="17"/>
    <n v="158"/>
    <n v="3"/>
    <n v="475"/>
    <s v="UPI"/>
    <x v="6"/>
    <s v="Servd late"/>
  </r>
  <r>
    <s v="BC20473"/>
    <x v="257"/>
    <x v="3"/>
    <d v="1899-12-30T18:33:00"/>
    <s v="Burger Camp, Pune"/>
    <s v="Mubin Naik"/>
    <d v="1988-10-17T00:00:00"/>
    <x v="4"/>
    <n v="235"/>
    <n v="1"/>
    <n v="236"/>
    <s v="UPI"/>
    <x v="7"/>
    <s v="Less salt"/>
  </r>
  <r>
    <s v="BC20474"/>
    <x v="258"/>
    <x v="11"/>
    <d v="1899-12-30T13:51:00"/>
    <s v="Burger Camp, Pune"/>
    <s v="Rahul Patil"/>
    <d v="1988-11-08T00:00:00"/>
    <x v="4"/>
    <n v="173"/>
    <n v="2"/>
    <n v="348"/>
    <s v="UPI"/>
    <x v="5"/>
    <s v="No onion"/>
  </r>
  <r>
    <s v="BC20475"/>
    <x v="206"/>
    <x v="8"/>
    <d v="1899-12-30T17:29:00"/>
    <s v="Burger Camp, Pune"/>
    <s v="Zara Naik"/>
    <d v="1987-01-14T00:00:00"/>
    <x v="12"/>
    <n v="232"/>
    <n v="3"/>
    <n v="698"/>
    <s v="UPI"/>
    <x v="4"/>
    <s v="Extra cheese"/>
  </r>
  <r>
    <s v="BC20476"/>
    <x v="100"/>
    <x v="0"/>
    <d v="1899-12-30T11:21:00"/>
    <s v="Burger Camp, Pune"/>
    <s v="Anil Naik"/>
    <d v="2009-10-19T00:00:00"/>
    <x v="5"/>
    <n v="127"/>
    <n v="1"/>
    <n v="127"/>
    <s v="Cash "/>
    <x v="6"/>
    <s v="No onion"/>
  </r>
  <r>
    <s v="BC20477"/>
    <x v="259"/>
    <x v="3"/>
    <d v="1899-12-30T13:15:00"/>
    <s v="Burger Camp, Pune"/>
    <s v="Sneha Patil"/>
    <d v="1970-04-22T00:00:00"/>
    <x v="0"/>
    <n v="76"/>
    <n v="2"/>
    <n v="199"/>
    <s v="Cash "/>
    <x v="0"/>
    <s v="No onion"/>
  </r>
  <r>
    <s v="BC20478"/>
    <x v="260"/>
    <x v="1"/>
    <d v="1899-12-30T18:39:24"/>
    <s v="Burger Camp, Pune"/>
    <s v="Zara Joshi"/>
    <d v="2008-12-22T00:00:00"/>
    <x v="13"/>
    <n v="102"/>
    <n v="1"/>
    <n v="102"/>
    <s v="Cash"/>
    <x v="0"/>
    <s v="Servd late"/>
  </r>
  <r>
    <s v="BC20479"/>
    <x v="70"/>
    <x v="1"/>
    <d v="1899-12-30T16:46:28"/>
    <s v="Burger Camp, Pune"/>
    <s v="Mubin Deshmukh"/>
    <d v="1993-05-16T00:00:00"/>
    <x v="1"/>
    <n v="291"/>
    <n v="1"/>
    <n v="292"/>
    <s v="Cash "/>
    <x v="6"/>
    <s v="Spicy"/>
  </r>
  <r>
    <s v="BC20480"/>
    <x v="185"/>
    <x v="10"/>
    <d v="1899-12-30T14:55:00"/>
    <s v="Burger Camp, Pune"/>
    <s v="Riya Deshmukh"/>
    <d v="1984-02-20T00:00:00"/>
    <x v="17"/>
    <n v="140"/>
    <n v="1"/>
    <n v="141"/>
    <s v="UPI"/>
    <x v="1"/>
    <s v="Spicy"/>
  </r>
  <r>
    <s v="BC20481"/>
    <x v="180"/>
    <x v="2"/>
    <d v="1899-12-30T12:34:00"/>
    <s v="Burger Camp, Pune"/>
    <s v="Riya Khan"/>
    <d v="1984-02-20T00:00:00"/>
    <x v="18"/>
    <n v="111"/>
    <n v="3"/>
    <n v="334"/>
    <s v="UPI"/>
    <x v="3"/>
    <s v="No onion"/>
  </r>
  <r>
    <s v="BC20482"/>
    <x v="89"/>
    <x v="11"/>
    <d v="1899-12-30T11:24:00"/>
    <s v="Burger Camp, Pune"/>
    <s v="Anil More"/>
    <d v="1995-09-18T00:00:00"/>
    <x v="23"/>
    <n v="142"/>
    <n v="1"/>
    <n v="143"/>
    <s v="Card"/>
    <x v="7"/>
    <s v="No onion"/>
  </r>
  <r>
    <s v="BC20483"/>
    <x v="48"/>
    <x v="6"/>
    <d v="1899-12-30T16:19:00"/>
    <s v="Burger Camp, Pune"/>
    <s v=" Farhan More "/>
    <d v="1997-11-25T00:00:00"/>
    <x v="6"/>
    <n v="92"/>
    <n v="2"/>
    <n v="184"/>
    <s v="Card"/>
    <x v="4"/>
    <s v="No onion"/>
  </r>
  <r>
    <s v="BC20484"/>
    <x v="38"/>
    <x v="3"/>
    <d v="1899-12-30T13:09:00"/>
    <s v="Burger Camp, Pune"/>
    <s v="Mubin Naik"/>
    <d v="1994-11-28T00:00:00"/>
    <x v="1"/>
    <n v="287"/>
    <n v="1"/>
    <n v="287"/>
    <s v="Cash "/>
    <x v="5"/>
    <s v="Extra cheese"/>
  </r>
  <r>
    <s v="BC20485"/>
    <x v="118"/>
    <x v="2"/>
    <d v="1899-12-30T10:28:25"/>
    <s v="Burger Camp, Pune"/>
    <s v="Zara More"/>
    <d v="1993-01-26T00:00:00"/>
    <x v="3"/>
    <n v="105"/>
    <n v="2"/>
    <n v="211"/>
    <s v="UPI"/>
    <x v="3"/>
    <s v="Less salt"/>
  </r>
  <r>
    <s v="BC20486"/>
    <x v="261"/>
    <x v="3"/>
    <d v="1899-12-30T16:14:00"/>
    <s v="Burger Camp, Pune"/>
    <s v="Anil Khan"/>
    <d v="2006-04-14T00:00:00"/>
    <x v="21"/>
    <n v="251"/>
    <n v="1"/>
    <n v="251"/>
    <s v="Card"/>
    <x v="6"/>
    <s v="Servd late"/>
  </r>
  <r>
    <s v="BC20487"/>
    <x v="262"/>
    <x v="0"/>
    <d v="1899-12-30T23:30:00"/>
    <s v="Burger Camp, Pune"/>
    <s v="Rahul Kulkarni"/>
    <d v="1991-11-22T00:00:00"/>
    <x v="23"/>
    <n v="154"/>
    <n v="2"/>
    <n v="334"/>
    <s v="Cash "/>
    <x v="1"/>
    <s v="Spicy"/>
  </r>
  <r>
    <s v="BC20488"/>
    <x v="239"/>
    <x v="6"/>
    <d v="1899-12-30T13:29:00"/>
    <s v="Burger Camp, Pune"/>
    <s v="Mubin Kulkarni"/>
    <d v="1995-07-19T00:00:00"/>
    <x v="10"/>
    <n v="340"/>
    <n v="2"/>
    <n v="682"/>
    <s v="Cash "/>
    <x v="0"/>
    <s v="Less salt"/>
  </r>
  <r>
    <s v="BC20489"/>
    <x v="263"/>
    <x v="9"/>
    <d v="1899-12-30T14:15:00"/>
    <s v="Burger Camp, Pune"/>
    <s v="Farhan Patil"/>
    <d v="1975-02-03T00:00:00"/>
    <x v="23"/>
    <n v="112"/>
    <n v="2"/>
    <n v="225"/>
    <s v="UPI"/>
    <x v="7"/>
    <s v="Servd late"/>
  </r>
  <r>
    <s v="BC20490"/>
    <x v="264"/>
    <x v="3"/>
    <d v="1899-12-30T10:39:00"/>
    <s v="Burger Camp, Pune"/>
    <s v="Sneha Deshmukh"/>
    <d v="1987-10-10T00:00:00"/>
    <x v="24"/>
    <n v="144"/>
    <n v="1"/>
    <n v="144"/>
    <s v="UPI"/>
    <x v="6"/>
    <s v="Servd late"/>
  </r>
  <r>
    <s v="BC20491"/>
    <x v="1"/>
    <x v="1"/>
    <d v="1899-12-30T14:41:45"/>
    <s v="Burger Camp, Pune"/>
    <s v="Zaid Joshi"/>
    <d v="1990-04-08T00:00:00"/>
    <x v="11"/>
    <n v="162"/>
    <n v="2"/>
    <n v="324"/>
    <s v="Cash "/>
    <x v="4"/>
    <s v="Servd late"/>
  </r>
  <r>
    <s v="BC20492"/>
    <x v="40"/>
    <x v="0"/>
    <d v="1899-12-30T16:12:00"/>
    <s v="Burger Camp, Pune"/>
    <s v="Aarav Khan"/>
    <d v="1994-03-27T00:00:00"/>
    <x v="24"/>
    <n v="115"/>
    <n v="1"/>
    <n v="166"/>
    <s v="Cash "/>
    <x v="0"/>
    <s v="No onion"/>
  </r>
  <r>
    <s v="BC20493"/>
    <x v="150"/>
    <x v="4"/>
    <d v="1899-12-30T12:02:00"/>
    <s v="Burger Camp, Pune"/>
    <s v="Riya Kulkarni"/>
    <d v="1982-12-06T00:00:00"/>
    <x v="16"/>
    <n v="144"/>
    <n v="3"/>
    <n v="433"/>
    <s v="Wallet"/>
    <x v="0"/>
    <s v="Extra cheese"/>
  </r>
  <r>
    <s v="BC20494"/>
    <x v="265"/>
    <x v="4"/>
    <d v="1899-12-30T18:48:00"/>
    <s v="Burger Camp, Pune"/>
    <s v="anil shinde"/>
    <d v="1974-08-27T00:00:00"/>
    <x v="16"/>
    <n v="210"/>
    <n v="3"/>
    <n v="632"/>
    <s v="Wallet"/>
    <x v="5"/>
    <s v="Less salt"/>
  </r>
  <r>
    <s v="BC20495"/>
    <x v="113"/>
    <x v="4"/>
    <d v="1899-12-30T16:03:04"/>
    <s v="Burger Camp, Pune"/>
    <s v=" Rahul Kulkarni "/>
    <d v="2010-05-25T00:00:00"/>
    <x v="10"/>
    <n v="278"/>
    <n v="2"/>
    <n v="558"/>
    <s v="Wallet"/>
    <x v="5"/>
    <s v="No onion"/>
  </r>
  <r>
    <s v="BC20496"/>
    <x v="38"/>
    <x v="3"/>
    <d v="1899-12-30T12:42:00"/>
    <s v="Burger Camp, Pune"/>
    <s v="Anil Deshmukh"/>
    <d v="1980-06-04T00:00:00"/>
    <x v="19"/>
    <n v="278"/>
    <n v="2"/>
    <n v="558"/>
    <s v="UPI"/>
    <x v="1"/>
    <s v="No onion"/>
  </r>
  <r>
    <s v="BC20497"/>
    <x v="266"/>
    <x v="1"/>
    <d v="1899-12-30T18:07:00"/>
    <s v="Burger Camp, Pune"/>
    <s v="Zara Naik"/>
    <d v="1975-06-06T00:00:00"/>
    <x v="19"/>
    <n v="255"/>
    <n v="2"/>
    <n v="509"/>
    <s v="UPI"/>
    <x v="1"/>
    <s v="No onion"/>
  </r>
  <r>
    <s v="BC20498"/>
    <x v="267"/>
    <x v="9"/>
    <d v="1899-12-30T19:40:00"/>
    <s v="Burger Camp, Pune"/>
    <s v="Aisha Shaikh"/>
    <d v="2001-09-25T00:00:00"/>
    <x v="24"/>
    <n v="119"/>
    <n v="2"/>
    <n v="239"/>
    <s v="Card"/>
    <x v="6"/>
    <s v="No onion"/>
  </r>
  <r>
    <s v="BC20499"/>
    <x v="80"/>
    <x v="3"/>
    <d v="1899-12-30T19:08:30"/>
    <s v="Burger Camp, Pune"/>
    <s v="Rahul Kulkarni"/>
    <d v="2009-01-26T00:00:00"/>
    <x v="1"/>
    <n v="279"/>
    <n v="1"/>
    <n v="279"/>
    <s v="Card"/>
    <x v="2"/>
    <s v="No onion"/>
  </r>
  <r>
    <s v="BC20500"/>
    <x v="268"/>
    <x v="2"/>
    <d v="1899-12-30T16:01:01"/>
    <s v="Burger Camp, Pune"/>
    <s v="Farhan Patil"/>
    <d v="2003-10-20T00:00:00"/>
    <x v="16"/>
    <n v="215"/>
    <n v="3"/>
    <n v="645"/>
    <s v="Card"/>
    <x v="7"/>
    <s v="No onion"/>
  </r>
  <r>
    <s v="BC20501"/>
    <x v="85"/>
    <x v="0"/>
    <d v="1899-12-30T22:59:02"/>
    <s v="Burger Camp, Pune"/>
    <s v="Zaid Shaikh"/>
    <d v="1991-12-12T00:00:00"/>
    <x v="14"/>
    <n v="204"/>
    <n v="1"/>
    <n v="204"/>
    <s v="Card"/>
    <x v="5"/>
    <s v="No onion"/>
  </r>
  <r>
    <s v="BC20502"/>
    <x v="67"/>
    <x v="7"/>
    <d v="1899-12-30T12:47:00"/>
    <s v="Burger Camp, Pune"/>
    <s v=" Rahul Joshi "/>
    <d v="2003-05-19T00:00:00"/>
    <x v="8"/>
    <n v="40"/>
    <n v="3"/>
    <n v="121"/>
    <s v="Card"/>
    <x v="0"/>
    <s v="Custmer complaned"/>
  </r>
  <r>
    <s v="BC20503"/>
    <x v="46"/>
    <x v="0"/>
    <d v="1899-12-30T11:25:00"/>
    <s v="Burger Camp, Pune"/>
    <s v="Aisha Naik"/>
    <d v="2007-02-22T00:00:00"/>
    <x v="25"/>
    <n v="260"/>
    <n v="1"/>
    <n v="261"/>
    <s v="Card"/>
    <x v="3"/>
    <s v="Spicy"/>
  </r>
  <r>
    <s v="BC20504"/>
    <x v="46"/>
    <x v="0"/>
    <d v="1899-12-30T15:26:00"/>
    <s v="Burger Camp, Pune"/>
    <s v="Rahul Naik"/>
    <d v="2010-03-07T00:00:00"/>
    <x v="14"/>
    <n v="109"/>
    <n v="2"/>
    <n v="220"/>
    <s v="Card"/>
    <x v="7"/>
    <s v="Spicy"/>
  </r>
  <r>
    <s v="BC20505"/>
    <x v="78"/>
    <x v="10"/>
    <d v="1899-12-30T22:00:00"/>
    <s v="Burger Camp, Pune"/>
    <s v="Mubin Gore"/>
    <d v="1984-08-07T00:00:00"/>
    <x v="14"/>
    <n v="268"/>
    <n v="1"/>
    <n v="269"/>
    <s v="Cash "/>
    <x v="1"/>
    <s v="Custmer complaned"/>
  </r>
  <r>
    <s v="BC20506"/>
    <x v="139"/>
    <x v="0"/>
    <d v="1899-12-30T21:25:00"/>
    <s v="Burger Camp, Pune"/>
    <s v="Zara Shaikh"/>
    <d v="1985-11-18T00:00:00"/>
    <x v="18"/>
    <n v="175"/>
    <n v="2"/>
    <m/>
    <s v="Wallet"/>
    <x v="3"/>
    <s v="No onion"/>
  </r>
  <r>
    <s v="BC20507"/>
    <x v="234"/>
    <x v="10"/>
    <d v="1899-12-30T14:44:51"/>
    <s v="Burger Camp, Pune"/>
    <s v="Zara Joshi"/>
    <d v="2008-10-19T00:00:00"/>
    <x v="1"/>
    <n v="279"/>
    <n v="1"/>
    <n v="279"/>
    <s v="Wallet"/>
    <x v="0"/>
    <s v="Extra cheese"/>
  </r>
  <r>
    <s v="BC20508"/>
    <x v="269"/>
    <x v="7"/>
    <d v="1899-12-30T11:43:35"/>
    <s v="Burger Camp, Pune"/>
    <s v="Aisha Patil"/>
    <d v="1993-02-02T00:00:00"/>
    <x v="2"/>
    <n v="217"/>
    <n v="1"/>
    <n v="256"/>
    <s v="UPI"/>
    <x v="5"/>
    <s v="Extra cheese"/>
  </r>
  <r>
    <s v="BC20509"/>
    <x v="223"/>
    <x v="7"/>
    <d v="1899-12-30T11:05:00"/>
    <s v="Burger Camp, Pune"/>
    <s v="Riya Gore"/>
    <d v="1991-12-12T00:00:00"/>
    <x v="12"/>
    <n v="333"/>
    <n v="1"/>
    <n v="334"/>
    <s v="UPI"/>
    <x v="7"/>
    <s v="Extra cheese"/>
  </r>
  <r>
    <s v="BC20510"/>
    <x v="94"/>
    <x v="5"/>
    <d v="1899-12-30T19:08:00"/>
    <s v="Burger Camp, Pune"/>
    <s v="Aisha Joshi"/>
    <d v="1989-11-14T00:00:00"/>
    <x v="20"/>
    <n v="271"/>
    <n v="1"/>
    <n v="272"/>
    <s v="UPI"/>
    <x v="7"/>
    <s v="Extra cheese"/>
  </r>
  <r>
    <s v="BC20511"/>
    <x v="89"/>
    <x v="11"/>
    <d v="1899-12-30T17:10:00"/>
    <s v="Burger Camp, Pune"/>
    <s v="Rahul Gore"/>
    <d v="1981-10-27T00:00:00"/>
    <x v="2"/>
    <n v="253"/>
    <n v="1"/>
    <n v="254"/>
    <s v="Card"/>
    <x v="6"/>
    <s v="repeat customer"/>
  </r>
  <r>
    <s v="BC20512"/>
    <x v="131"/>
    <x v="0"/>
    <d v="1899-12-30T10:33:00"/>
    <s v="Burger Camp, Pune"/>
    <s v="Riya Patil"/>
    <d v="2008-09-03T00:00:00"/>
    <x v="13"/>
    <n v="106"/>
    <n v="1"/>
    <n v="107"/>
    <s v="UPI"/>
    <x v="6"/>
    <s v="No onion"/>
  </r>
  <r>
    <s v="BC20513"/>
    <x v="228"/>
    <x v="9"/>
    <d v="1899-12-30T21:48:20"/>
    <s v="Burger Camp, Pune"/>
    <s v="Sneha Naik"/>
    <d v="2008-09-03T00:00:00"/>
    <x v="3"/>
    <n v="155"/>
    <n v="1"/>
    <n v="155"/>
    <s v="Card"/>
    <x v="6"/>
    <s v="No onion"/>
  </r>
  <r>
    <s v="BC20514"/>
    <x v="46"/>
    <x v="0"/>
    <d v="1899-12-30T21:09:22"/>
    <s v="Burger Camp, Pune"/>
    <s v="Zaid Shaikh"/>
    <d v="1988-05-09T00:00:00"/>
    <x v="17"/>
    <n v="137"/>
    <n v="2"/>
    <n v="275"/>
    <s v="UPI"/>
    <x v="6"/>
    <s v="Extra cheese"/>
  </r>
  <r>
    <s v="BC20515"/>
    <x v="270"/>
    <x v="5"/>
    <d v="1899-12-30T20:16:00"/>
    <s v="Burger Camp, Pune"/>
    <s v="Zaid Shinde"/>
    <d v="2003-05-17T00:00:00"/>
    <x v="18"/>
    <n v="334"/>
    <n v="3"/>
    <n v="1005"/>
    <s v="Cash"/>
    <x v="0"/>
    <s v="Less salt"/>
  </r>
  <r>
    <s v="BC20516"/>
    <x v="271"/>
    <x v="7"/>
    <d v="1899-12-30T19:22:00"/>
    <s v="Burger Camp, Pune"/>
    <s v="Zara Kulkarni"/>
    <d v="1987-01-04T00:00:00"/>
    <x v="13"/>
    <n v="121"/>
    <n v="3"/>
    <n v="364"/>
    <s v="Wallet"/>
    <x v="1"/>
    <s v="repeat customer"/>
  </r>
  <r>
    <s v="BC20517"/>
    <x v="272"/>
    <x v="10"/>
    <d v="1899-12-30T12:44:00"/>
    <s v="Burger Camp, Pune"/>
    <s v="Kiran Naik"/>
    <d v="1989-07-10T00:00:00"/>
    <x v="25"/>
    <n v="224"/>
    <n v="2"/>
    <n v="450"/>
    <s v="UPI"/>
    <x v="3"/>
    <s v="Servd late"/>
  </r>
  <r>
    <s v="BC20518"/>
    <x v="97"/>
    <x v="1"/>
    <d v="1899-12-30T12:25:00"/>
    <s v="Burger Camp, Pune"/>
    <s v="Aisha Shinde"/>
    <d v="1989-07-10T00:00:00"/>
    <x v="19"/>
    <n v="295"/>
    <n v="1"/>
    <n v="295"/>
    <s v="Card"/>
    <x v="4"/>
    <s v="Servd late"/>
  </r>
  <r>
    <s v="BC20519"/>
    <x v="188"/>
    <x v="11"/>
    <d v="1899-12-30T23:17:00"/>
    <s v="Burger Camp, Pune"/>
    <s v="Sneha More"/>
    <d v="1991-01-10T00:00:00"/>
    <x v="2"/>
    <n v="318"/>
    <n v="1"/>
    <n v="319"/>
    <s v="Card"/>
    <x v="1"/>
    <s v="Servd late"/>
  </r>
  <r>
    <s v="BC20520"/>
    <x v="213"/>
    <x v="2"/>
    <d v="1899-12-30T18:03:00"/>
    <s v="Burger Camp, Pune"/>
    <s v="Riya Gore"/>
    <d v="2001-04-05T00:00:00"/>
    <x v="25"/>
    <n v="289"/>
    <n v="2"/>
    <n v="579"/>
    <s v="Cash"/>
    <x v="5"/>
    <s v="Spicy"/>
  </r>
  <r>
    <s v="BC20521"/>
    <x v="226"/>
    <x v="7"/>
    <d v="1899-12-30T19:06:21"/>
    <s v="Burger Camp, Pune"/>
    <s v="Mubin Kulkarni"/>
    <d v="1970-04-23T00:00:00"/>
    <x v="9"/>
    <n v="289"/>
    <n v="2"/>
    <n v="580"/>
    <s v="Cash "/>
    <x v="1"/>
    <s v="No onion"/>
  </r>
  <r>
    <s v="BC20522"/>
    <x v="213"/>
    <x v="2"/>
    <d v="1899-12-30T11:34:00"/>
    <s v="Burger Camp, Pune"/>
    <s v="Riya Deshmukh"/>
    <d v="1971-10-05T00:00:00"/>
    <x v="9"/>
    <n v="138"/>
    <n v="2"/>
    <n v="277"/>
    <s v="Cash"/>
    <x v="2"/>
    <s v="Extra cheese"/>
  </r>
  <r>
    <s v="BC20523"/>
    <x v="266"/>
    <x v="1"/>
    <d v="1899-12-30T16:27:00"/>
    <s v="Burger Camp, Pune"/>
    <s v="Aarav Kulkarni"/>
    <d v="1978-07-25T00:00:00"/>
    <x v="18"/>
    <n v="120"/>
    <n v="2"/>
    <n v="240"/>
    <s v="Wallet"/>
    <x v="1"/>
    <s v="Spicy"/>
  </r>
  <r>
    <s v="BC20524"/>
    <x v="67"/>
    <x v="7"/>
    <d v="1899-12-30T15:03:52"/>
    <s v="Burger Camp, Pune"/>
    <s v="Rahul Kulkarni"/>
    <d v="2001-11-28T00:00:00"/>
    <x v="18"/>
    <n v="41"/>
    <n v="1"/>
    <n v="100"/>
    <s v="Wallet"/>
    <x v="2"/>
    <s v="Custmer complaned"/>
  </r>
  <r>
    <s v="BC20525"/>
    <x v="170"/>
    <x v="7"/>
    <d v="1899-12-30T16:02:00"/>
    <s v="Burger Camp, Pune"/>
    <s v="Kiran Shinde"/>
    <d v="1976-11-12T00:00:00"/>
    <x v="7"/>
    <n v="150"/>
    <n v="3"/>
    <n v="451"/>
    <s v="UPI"/>
    <x v="0"/>
    <s v="Custmer complaned"/>
  </r>
  <r>
    <s v="BC20526"/>
    <x v="273"/>
    <x v="2"/>
    <d v="1899-12-30T11:56:33"/>
    <s v="Burger Camp, Pune"/>
    <s v="Sneha Kulkarni"/>
    <d v="2010-10-08T00:00:00"/>
    <x v="7"/>
    <n v="155"/>
    <n v="1"/>
    <n v="156"/>
    <s v="UPI"/>
    <x v="0"/>
    <s v="Custmer complaned"/>
  </r>
  <r>
    <s v="BC20527"/>
    <x v="183"/>
    <x v="5"/>
    <d v="1899-12-30T18:30:09"/>
    <s v="Burger Camp, Pune"/>
    <s v="Kiran Shaikh"/>
    <d v="1971-11-15T00:00:00"/>
    <x v="18"/>
    <n v="121"/>
    <n v="3"/>
    <n v="364"/>
    <s v="Cash "/>
    <x v="5"/>
    <s v="Servd late"/>
  </r>
  <r>
    <s v="BC20528"/>
    <x v="233"/>
    <x v="9"/>
    <d v="1899-12-30T12:57:00"/>
    <s v="Burger Camp, Pune"/>
    <s v="Zara Deshmukh"/>
    <d v="1979-07-19T00:00:00"/>
    <x v="23"/>
    <n v="109"/>
    <n v="1"/>
    <n v="100"/>
    <s v="UPI"/>
    <x v="4"/>
    <s v="Servd late"/>
  </r>
  <r>
    <s v="BC20529"/>
    <x v="123"/>
    <x v="10"/>
    <d v="1899-12-30T14:53:12"/>
    <s v="Burger Camp, Pune"/>
    <s v="Zaid Kulkarni"/>
    <d v="1991-12-12T00:00:00"/>
    <x v="20"/>
    <n v="284"/>
    <n v="2"/>
    <n v="570"/>
    <s v="Cash"/>
    <x v="1"/>
    <s v="repeat customer"/>
  </r>
  <r>
    <s v="BC20530"/>
    <x v="274"/>
    <x v="2"/>
    <d v="1899-12-30T20:12:00"/>
    <s v="Burger Camp, Pune"/>
    <s v="farhan khan"/>
    <d v="2003-01-20T00:00:00"/>
    <x v="1"/>
    <n v="236"/>
    <n v="1"/>
    <n v="234"/>
    <s v="Cash "/>
    <x v="7"/>
    <s v="Extra cheese"/>
  </r>
  <r>
    <s v="BC20531"/>
    <x v="244"/>
    <x v="2"/>
    <d v="1899-12-30T16:10:00"/>
    <s v="Burger Camp, Pune"/>
    <s v="Pooja Patil"/>
    <d v="1996-11-05T00:00:00"/>
    <x v="25"/>
    <n v="210"/>
    <n v="2"/>
    <n v="437"/>
    <s v="Cash "/>
    <x v="1"/>
    <s v="Less salt"/>
  </r>
  <r>
    <s v="BC20532"/>
    <x v="222"/>
    <x v="7"/>
    <d v="1899-12-30T11:59:08"/>
    <s v="Burger Camp, Pune"/>
    <s v="Farhan Patil"/>
    <d v="1991-12-12T00:00:00"/>
    <x v="20"/>
    <n v="309"/>
    <n v="2"/>
    <n v="620"/>
    <s v="Card"/>
    <x v="0"/>
    <s v="No onion"/>
  </r>
  <r>
    <s v="BC20533"/>
    <x v="19"/>
    <x v="8"/>
    <d v="1899-12-30T20:34:18"/>
    <s v="Burger Camp, Pune"/>
    <s v="anil gore"/>
    <d v="2007-06-02T00:00:00"/>
    <x v="8"/>
    <n v="41"/>
    <n v="1"/>
    <n v="42"/>
    <s v="Card"/>
    <x v="3"/>
    <s v="Spicy"/>
  </r>
  <r>
    <s v="BC20534"/>
    <x v="19"/>
    <x v="8"/>
    <d v="1899-12-30T12:40:05"/>
    <s v="Burger Camp, Pune"/>
    <s v="Zara Kulkarni"/>
    <d v="1982-05-17T00:00:00"/>
    <x v="23"/>
    <n v="211"/>
    <n v="1"/>
    <n v="211"/>
    <s v="Card"/>
    <x v="0"/>
    <s v="Extra cheese"/>
  </r>
  <r>
    <s v="BC20535"/>
    <x v="275"/>
    <x v="1"/>
    <d v="1899-12-30T21:01:00"/>
    <s v="Burger Camp, Pune"/>
    <s v="Zara Kulkarni"/>
    <d v="1977-08-16T00:00:00"/>
    <x v="18"/>
    <n v="117"/>
    <n v="1"/>
    <n v="117"/>
    <s v="UPI"/>
    <x v="4"/>
    <s v="Servd late"/>
  </r>
  <r>
    <s v="BC20536"/>
    <x v="53"/>
    <x v="1"/>
    <d v="1899-12-30T16:43:00"/>
    <s v="Burger Camp, Pune"/>
    <s v="Farhan Khan"/>
    <d v="1998-02-22T00:00:00"/>
    <x v="19"/>
    <n v="361"/>
    <n v="3"/>
    <n v="1085"/>
    <s v="UPI"/>
    <x v="7"/>
    <s v="Servd late"/>
  </r>
  <r>
    <s v="BC20537"/>
    <x v="251"/>
    <x v="11"/>
    <d v="1899-12-30T10:54:00"/>
    <s v="Burger Camp, Pune"/>
    <s v="Zara Joshi"/>
    <d v="2008-12-23T00:00:00"/>
    <x v="25"/>
    <n v="138"/>
    <n v="1"/>
    <n v="139"/>
    <s v="Card"/>
    <x v="3"/>
    <s v="Less salt"/>
  </r>
  <r>
    <s v="BC20538"/>
    <x v="276"/>
    <x v="2"/>
    <d v="1899-12-30T17:12:00"/>
    <s v="Burger Camp, Pune"/>
    <s v="Sneha Khan"/>
    <d v="1994-02-20T00:00:00"/>
    <x v="6"/>
    <n v="105"/>
    <n v="1"/>
    <n v="105"/>
    <s v="Card"/>
    <x v="5"/>
    <s v="Less salt"/>
  </r>
  <r>
    <s v="BC20539"/>
    <x v="277"/>
    <x v="1"/>
    <d v="1899-12-30T16:41:00"/>
    <s v="Burger Camp, Pune"/>
    <s v="Kiran Joshi"/>
    <d v="1971-11-28T00:00:00"/>
    <x v="7"/>
    <n v="164"/>
    <n v="2"/>
    <n v="330"/>
    <s v="Card"/>
    <x v="0"/>
    <s v="Less salt"/>
  </r>
  <r>
    <s v="BC20540"/>
    <x v="71"/>
    <x v="3"/>
    <d v="1899-12-30T12:40:00"/>
    <s v="Burger Camp, Pune"/>
    <s v="Sneha Kulkarni"/>
    <d v="1995-04-28T00:00:00"/>
    <x v="16"/>
    <n v="176"/>
    <n v="2"/>
    <n v="353"/>
    <s v="UPI"/>
    <x v="3"/>
    <s v="Spicy"/>
  </r>
  <r>
    <s v="BC20541"/>
    <x v="267"/>
    <x v="9"/>
    <d v="1899-12-30T23:44:14"/>
    <s v="Burger Camp, Pune"/>
    <s v="Rahul Gore"/>
    <d v="1984-09-04T00:00:00"/>
    <x v="18"/>
    <n v="176"/>
    <n v="2"/>
    <n v="353"/>
    <s v="Cash "/>
    <x v="4"/>
    <s v="Extra cheese"/>
  </r>
  <r>
    <s v="BC20542"/>
    <x v="278"/>
    <x v="8"/>
    <d v="1899-12-30T20:57:00"/>
    <s v="Burger Camp, Pune"/>
    <s v="Mubin Shaikh"/>
    <d v="1980-01-07T00:00:00"/>
    <x v="19"/>
    <n v="343"/>
    <n v="1"/>
    <n v="343"/>
    <s v="Wallet"/>
    <x v="0"/>
    <s v="Extra cheese"/>
  </r>
  <r>
    <s v="BC20543"/>
    <x v="279"/>
    <x v="2"/>
    <d v="1899-12-30T17:54:00"/>
    <s v="Burger Camp, Pune"/>
    <s v="Aarav Gore"/>
    <d v="1976-05-25T00:00:00"/>
    <x v="15"/>
    <n v="139"/>
    <n v="1"/>
    <n v="100"/>
    <s v="Card"/>
    <x v="0"/>
    <s v="Spicy"/>
  </r>
  <r>
    <s v="BC20544"/>
    <x v="3"/>
    <x v="3"/>
    <d v="1899-12-30T16:03:00"/>
    <s v="Burger Camp, Pune"/>
    <s v="Rahul Deshmukh"/>
    <d v="1998-05-10T00:00:00"/>
    <x v="5"/>
    <n v="171"/>
    <n v="1"/>
    <n v="171"/>
    <s v="Card"/>
    <x v="1"/>
    <s v="repeat customer"/>
  </r>
  <r>
    <s v="BC20545"/>
    <x v="3"/>
    <x v="3"/>
    <d v="1899-12-30T23:00:00"/>
    <s v="Burger Camp, Pune"/>
    <s v="Aarav Patil"/>
    <d v="1984-10-21T00:00:00"/>
    <x v="23"/>
    <n v="333"/>
    <n v="1"/>
    <n v="334"/>
    <s v="UPI"/>
    <x v="1"/>
    <s v="Custmer complaned"/>
  </r>
  <r>
    <s v="BC20546"/>
    <x v="232"/>
    <x v="10"/>
    <d v="1899-12-30T16:37:00"/>
    <s v="Burger Camp, Pune"/>
    <s v="Pooja Patil"/>
    <d v="1984-07-15T00:00:00"/>
    <x v="11"/>
    <n v="216"/>
    <n v="1"/>
    <n v="216"/>
    <s v="UPI"/>
    <x v="1"/>
    <s v="Spicy"/>
  </r>
  <r>
    <s v="BC20547"/>
    <x v="19"/>
    <x v="8"/>
    <d v="1899-12-30T13:38:00"/>
    <s v="Burger Camp, Pune"/>
    <s v="Aarav Naik"/>
    <d v="1970-02-17T00:00:00"/>
    <x v="4"/>
    <n v="155"/>
    <n v="2"/>
    <n v="310"/>
    <s v="Card"/>
    <x v="7"/>
    <s v="Spicy"/>
  </r>
  <r>
    <s v="BC20548"/>
    <x v="250"/>
    <x v="3"/>
    <d v="1899-12-30T15:09:00"/>
    <s v="Burger Camp, Pune"/>
    <s v="Rahul More"/>
    <d v="1985-12-04T00:00:00"/>
    <x v="22"/>
    <n v="79"/>
    <n v="3"/>
    <n v="237"/>
    <s v="Cash"/>
    <x v="2"/>
    <s v="Spicy"/>
  </r>
  <r>
    <s v="BC20549"/>
    <x v="280"/>
    <x v="8"/>
    <d v="1899-12-30T21:26:00"/>
    <s v="Burger Camp, Pune"/>
    <s v="Mubin Deshmukh"/>
    <d v="2007-02-21T00:00:00"/>
    <x v="22"/>
    <n v="312"/>
    <n v="2"/>
    <n v="626"/>
    <s v="Cash"/>
    <x v="6"/>
    <s v="Less salt"/>
  </r>
  <r>
    <s v="BC20550"/>
    <x v="281"/>
    <x v="8"/>
    <d v="1899-12-30T13:01:36"/>
    <s v="Burger Camp, Pune"/>
    <s v="Anil Naik"/>
    <d v="2001-10-23T00:00:00"/>
    <x v="21"/>
    <n v="178"/>
    <n v="3"/>
    <n v="536"/>
    <s v="Wallet"/>
    <x v="6"/>
    <s v="Servd late"/>
  </r>
  <r>
    <s v="BC20551"/>
    <x v="3"/>
    <x v="3"/>
    <d v="1899-12-30T12:09:00"/>
    <s v="Burger Camp, Pune"/>
    <s v="Mubin Patil"/>
    <d v="1973-09-07T00:00:00"/>
    <x v="18"/>
    <n v="115"/>
    <n v="3"/>
    <n v="346"/>
    <s v="UPI"/>
    <x v="5"/>
    <s v="Extra cheese"/>
  </r>
  <r>
    <s v="BC20552"/>
    <x v="3"/>
    <x v="3"/>
    <d v="1899-12-30T14:15:59"/>
    <s v="Burger Camp, Pune"/>
    <s v="Kiran Shaikh"/>
    <d v="2006-06-04T00:00:00"/>
    <x v="21"/>
    <n v="232"/>
    <n v="1"/>
    <n v="232"/>
    <s v="Wallet"/>
    <x v="5"/>
    <s v="Less salt"/>
  </r>
  <r>
    <s v="BC20553"/>
    <x v="197"/>
    <x v="11"/>
    <d v="1899-12-30T11:13:00"/>
    <s v="Burger Camp, Pune"/>
    <s v="Pooja Shaikh"/>
    <d v="1995-01-21T00:00:00"/>
    <x v="8"/>
    <n v="45"/>
    <n v="2"/>
    <n v="91"/>
    <s v="Cash"/>
    <x v="1"/>
    <s v="Extra cheese"/>
  </r>
  <r>
    <s v="BC20554"/>
    <x v="47"/>
    <x v="4"/>
    <d v="1899-12-30T20:47:00"/>
    <s v="Burger Camp, Pune"/>
    <s v="Pooja Joshi"/>
    <d v="1983-01-10T00:00:00"/>
    <x v="24"/>
    <n v="147"/>
    <n v="1"/>
    <n v="147"/>
    <s v="UPI"/>
    <x v="3"/>
    <s v="Servd late"/>
  </r>
  <r>
    <s v="BC20555"/>
    <x v="127"/>
    <x v="11"/>
    <d v="1899-12-30T12:09:38"/>
    <s v="Burger Camp, Pune"/>
    <s v="zaid patil"/>
    <d v="1982-12-28T00:00:00"/>
    <x v="23"/>
    <n v="215"/>
    <n v="3"/>
    <n v="647"/>
    <s v="UPI"/>
    <x v="5"/>
    <s v="No onion"/>
  </r>
  <r>
    <s v="BC20556"/>
    <x v="198"/>
    <x v="7"/>
    <d v="1899-12-30T12:17:12"/>
    <s v="Burger Camp, Pune"/>
    <s v="Farhan Kulkarni"/>
    <d v="1989-03-07T00:00:00"/>
    <x v="21"/>
    <n v="174"/>
    <n v="2"/>
    <n v="375"/>
    <s v="UPI"/>
    <x v="1"/>
    <s v="repeat customer"/>
  </r>
  <r>
    <s v="BC20557"/>
    <x v="133"/>
    <x v="9"/>
    <d v="1899-12-30T16:14:00"/>
    <s v="Burger Camp, Pune"/>
    <s v="Anil Kulkarni"/>
    <d v="1991-06-09T00:00:00"/>
    <x v="0"/>
    <n v="100"/>
    <n v="2"/>
    <n v="200"/>
    <s v="UPI"/>
    <x v="2"/>
    <s v="repeat customer"/>
  </r>
  <r>
    <s v="BC20558"/>
    <x v="60"/>
    <x v="10"/>
    <d v="1899-12-30T17:37:43"/>
    <s v="Burger Camp, Pune"/>
    <s v="Farhan Naik"/>
    <d v="1985-05-16T00:00:00"/>
    <x v="12"/>
    <n v="221"/>
    <n v="2"/>
    <n v="443"/>
    <s v="UPI"/>
    <x v="7"/>
    <s v="No onion"/>
  </r>
  <r>
    <s v="BC20559"/>
    <x v="167"/>
    <x v="4"/>
    <d v="1899-12-30T18:00:00"/>
    <s v="Burger Camp, Pune"/>
    <s v="Aisha Shinde"/>
    <d v="1971-12-04T00:00:00"/>
    <x v="8"/>
    <n v="45"/>
    <n v="2"/>
    <n v="90"/>
    <s v="UPI"/>
    <x v="7"/>
    <s v="Less salt"/>
  </r>
  <r>
    <s v="BC20560"/>
    <x v="282"/>
    <x v="9"/>
    <d v="1899-12-30T10:01:36"/>
    <s v="Burger Camp, Pune"/>
    <s v="Sneha Shinde"/>
    <d v="1992-08-14T00:00:00"/>
    <x v="16"/>
    <n v="159"/>
    <n v="2"/>
    <n v="320"/>
    <s v="UPI"/>
    <x v="0"/>
    <s v="Spicy"/>
  </r>
  <r>
    <s v="BC20561"/>
    <x v="283"/>
    <x v="5"/>
    <d v="1899-12-30T18:15:00"/>
    <s v="Burger Camp, Pune"/>
    <s v="aisha more"/>
    <d v="1987-07-14T00:00:00"/>
    <x v="23"/>
    <n v="194"/>
    <n v="1"/>
    <n v="100"/>
    <s v="Card"/>
    <x v="7"/>
    <s v="Extra cheese"/>
  </r>
  <r>
    <s v="BC20562"/>
    <x v="219"/>
    <x v="1"/>
    <d v="1899-12-30T15:50:00"/>
    <s v="Burger Camp, Pune"/>
    <s v=" Anil Gore "/>
    <d v="2007-05-21T00:00:00"/>
    <x v="22"/>
    <n v="293"/>
    <n v="2"/>
    <n v="588"/>
    <s v="Card"/>
    <x v="3"/>
    <s v="Less salt"/>
  </r>
  <r>
    <s v="BC20563"/>
    <x v="128"/>
    <x v="4"/>
    <d v="1899-12-30T17:30:36"/>
    <s v="Burger Camp, Pune"/>
    <s v="Riya Joshi"/>
    <d v="1997-03-07T00:00:00"/>
    <x v="9"/>
    <n v="104"/>
    <n v="1"/>
    <n v="113"/>
    <s v="Card"/>
    <x v="3"/>
    <s v="No onion"/>
  </r>
  <r>
    <s v="BC20564"/>
    <x v="209"/>
    <x v="3"/>
    <d v="1899-12-30T20:42:00"/>
    <s v="Burger Camp, Pune"/>
    <s v="Kiran Naik"/>
    <d v="2004-02-08T00:00:00"/>
    <x v="11"/>
    <n v="104"/>
    <n v="3"/>
    <n v="113"/>
    <s v="Cash "/>
    <x v="5"/>
    <s v="No onion"/>
  </r>
  <r>
    <s v="BC20565"/>
    <x v="15"/>
    <x v="2"/>
    <d v="1899-12-30T14:34:00"/>
    <s v="Burger Camp, Pune"/>
    <s v="Mubin More"/>
    <d v="2003-09-24T00:00:00"/>
    <x v="21"/>
    <n v="210"/>
    <n v="2"/>
    <n v="421"/>
    <s v="UPI"/>
    <x v="4"/>
    <s v="repeat customer"/>
  </r>
  <r>
    <s v="BC20566"/>
    <x v="284"/>
    <x v="6"/>
    <d v="1899-12-30T11:48:00"/>
    <s v="Burger Camp, Pune"/>
    <s v="Mubin Patil"/>
    <d v="2007-05-26T00:00:00"/>
    <x v="25"/>
    <n v="98"/>
    <n v="2"/>
    <n v="197"/>
    <s v="Card"/>
    <x v="0"/>
    <s v="No onion"/>
  </r>
  <r>
    <s v="BC20567"/>
    <x v="285"/>
    <x v="1"/>
    <d v="1899-12-30T18:41:00"/>
    <s v="Burger Camp, Pune"/>
    <s v="Pooja Naik"/>
    <d v="2005-09-08T00:00:00"/>
    <x v="20"/>
    <n v="261"/>
    <n v="2"/>
    <n v="523"/>
    <s v="Wallet"/>
    <x v="7"/>
    <s v="repeat customer"/>
  </r>
  <r>
    <s v="BC20568"/>
    <x v="93"/>
    <x v="5"/>
    <d v="1899-12-30T12:04:00"/>
    <s v="Burger Camp, Pune"/>
    <s v="Sneha Kulkarni"/>
    <d v="1980-06-19T00:00:00"/>
    <x v="21"/>
    <n v="207"/>
    <n v="3"/>
    <n v="627"/>
    <s v="Cash "/>
    <x v="0"/>
    <s v="repeat customer"/>
  </r>
  <r>
    <s v="BC20569"/>
    <x v="21"/>
    <x v="8"/>
    <d v="1899-12-30T19:36:04"/>
    <s v="Burger Camp, Pune"/>
    <s v="Aarav Gore"/>
    <d v="1974-04-27T00:00:00"/>
    <x v="2"/>
    <n v="289"/>
    <n v="1"/>
    <n v="289"/>
    <s v="Card"/>
    <x v="0"/>
    <s v="Servd late"/>
  </r>
  <r>
    <s v="BC20570"/>
    <x v="21"/>
    <x v="8"/>
    <d v="1899-12-30T12:23:58"/>
    <s v="Burger Camp, Pune"/>
    <s v="Anil More"/>
    <d v="1976-07-11T00:00:00"/>
    <x v="6"/>
    <n v="119"/>
    <n v="2"/>
    <n v="238"/>
    <s v="Cash"/>
    <x v="5"/>
    <s v="repeat customer"/>
  </r>
  <r>
    <s v="BC20571"/>
    <x v="286"/>
    <x v="4"/>
    <d v="1899-12-30T11:17:05"/>
    <s v="Burger Camp, Pune"/>
    <s v="Anil Deshmukh"/>
    <d v="1984-06-20T00:00:00"/>
    <x v="9"/>
    <n v="187"/>
    <n v="3"/>
    <n v="561"/>
    <s v="Card"/>
    <x v="2"/>
    <s v="Servd late"/>
  </r>
  <r>
    <s v="BC20572"/>
    <x v="215"/>
    <x v="6"/>
    <d v="1899-12-30T22:42:00"/>
    <s v="Burger Camp, Pune"/>
    <s v="Mubin Gore"/>
    <d v="1981-01-28T00:00:00"/>
    <x v="15"/>
    <n v="193"/>
    <n v="3"/>
    <n v="581"/>
    <s v="Card"/>
    <x v="4"/>
    <s v="repeat customer"/>
  </r>
  <r>
    <s v="BC20573"/>
    <x v="287"/>
    <x v="11"/>
    <d v="1899-12-30T18:37:16"/>
    <s v="Burger Camp, Pune"/>
    <s v="farhan gore"/>
    <d v="1973-01-20T00:00:00"/>
    <x v="20"/>
    <n v="230"/>
    <n v="3"/>
    <n v="693"/>
    <s v="Cash"/>
    <x v="2"/>
    <s v="repeat customer"/>
  </r>
  <r>
    <s v="BC20574"/>
    <x v="124"/>
    <x v="10"/>
    <d v="1899-12-30T15:27:55"/>
    <s v="Burger Camp, Pune"/>
    <s v="Pooja More"/>
    <d v="2006-08-26T00:00:00"/>
    <x v="8"/>
    <n v="38"/>
    <n v="1"/>
    <n v="39"/>
    <s v="Cash "/>
    <x v="5"/>
    <s v="No onion"/>
  </r>
  <r>
    <s v="BC20575"/>
    <x v="81"/>
    <x v="9"/>
    <d v="1899-12-30T13:59:00"/>
    <s v="Burger Camp, Pune"/>
    <s v="Aisha Deshmukh"/>
    <d v="1981-03-10T00:00:00"/>
    <x v="15"/>
    <n v="181"/>
    <n v="1"/>
    <n v="182"/>
    <s v="Cash "/>
    <x v="0"/>
    <s v="Extra cheese"/>
  </r>
  <r>
    <s v="BC20576"/>
    <x v="214"/>
    <x v="11"/>
    <d v="1899-12-30T11:30:00"/>
    <s v="Burger Camp, Pune"/>
    <s v="Zaid More"/>
    <d v="1978-04-28T00:00:00"/>
    <x v="23"/>
    <n v="190"/>
    <n v="1"/>
    <n v="191"/>
    <s v="Cash "/>
    <x v="4"/>
    <s v="Extra cheese"/>
  </r>
  <r>
    <s v="BC20577"/>
    <x v="260"/>
    <x v="1"/>
    <d v="1899-12-30T21:37:46"/>
    <s v="Burger Camp, Pune"/>
    <s v="Rahul Khan"/>
    <d v="2010-03-12T00:00:00"/>
    <x v="18"/>
    <n v="334"/>
    <n v="2"/>
    <n v="670"/>
    <s v="Cash "/>
    <x v="2"/>
    <s v="Spicy"/>
  </r>
  <r>
    <s v="BC20578"/>
    <x v="66"/>
    <x v="7"/>
    <d v="1899-12-30T11:08:00"/>
    <s v="Burger Camp, Pune"/>
    <s v="Aisha More"/>
    <d v="2001-11-20T00:00:00"/>
    <x v="10"/>
    <n v="245"/>
    <n v="3"/>
    <n v="735"/>
    <s v="Card"/>
    <x v="6"/>
    <s v="Servd late"/>
  </r>
  <r>
    <s v="BC20579"/>
    <x v="66"/>
    <x v="7"/>
    <d v="1899-12-30T18:03:00"/>
    <s v="Burger Camp, Pune"/>
    <s v="Zara Deshmukh"/>
    <d v="1986-06-23T00:00:00"/>
    <x v="16"/>
    <n v="201"/>
    <n v="1"/>
    <n v="241"/>
    <s v="Card"/>
    <x v="1"/>
    <s v="repeat customer"/>
  </r>
  <r>
    <s v="BC20580"/>
    <x v="190"/>
    <x v="4"/>
    <d v="1899-12-30T18:57:04"/>
    <s v="Burger Camp, Pune"/>
    <s v="Farhan Patil"/>
    <d v="1993-05-09T00:00:00"/>
    <x v="15"/>
    <n v="238"/>
    <n v="2"/>
    <n v="478"/>
    <s v="UPI"/>
    <x v="6"/>
    <s v="repeat customer"/>
  </r>
  <r>
    <s v="BC20581"/>
    <x v="256"/>
    <x v="2"/>
    <d v="1899-12-30T22:39:00"/>
    <s v="Burger Camp, Pune"/>
    <s v="Zaid Gore"/>
    <d v="2008-01-10T00:00:00"/>
    <x v="12"/>
    <n v="248"/>
    <n v="3"/>
    <n v="747"/>
    <s v="Cash "/>
    <x v="3"/>
    <s v="Custmer complaned"/>
  </r>
  <r>
    <s v="BC20582"/>
    <x v="288"/>
    <x v="3"/>
    <d v="1899-12-30T19:28:00"/>
    <s v="Burger Camp, Pune"/>
    <s v="Riya Joshi"/>
    <d v="1977-11-22T00:00:00"/>
    <x v="20"/>
    <n v="289"/>
    <n v="1"/>
    <n v="269"/>
    <s v="Cash"/>
    <x v="5"/>
    <s v="No onion"/>
  </r>
  <r>
    <s v="BC20583"/>
    <x v="289"/>
    <x v="11"/>
    <d v="1899-12-30T16:24:00"/>
    <s v="Burger Camp, Pune"/>
    <s v="Aarav Kulkarni"/>
    <d v="2005-11-16T00:00:00"/>
    <x v="4"/>
    <n v="185"/>
    <n v="1"/>
    <n v="186"/>
    <s v="Cash"/>
    <x v="6"/>
    <s v="Custmer complaned"/>
  </r>
  <r>
    <s v="BC20584"/>
    <x v="290"/>
    <x v="9"/>
    <d v="1899-12-30T13:20:19"/>
    <s v="Burger Camp, Pune"/>
    <s v="Zara Shinde"/>
    <d v="1972-01-07T00:00:00"/>
    <x v="21"/>
    <n v="195"/>
    <n v="1"/>
    <n v="195"/>
    <s v="UPI"/>
    <x v="0"/>
    <s v="repeat customer"/>
  </r>
  <r>
    <s v="BC20585"/>
    <x v="272"/>
    <x v="10"/>
    <d v="1899-12-30T20:25:58"/>
    <s v="Burger Camp, Pune"/>
    <s v="Anil Shaikh"/>
    <d v="1984-05-01T00:00:00"/>
    <x v="10"/>
    <n v="136"/>
    <n v="2"/>
    <n v="272"/>
    <s v="UPI"/>
    <x v="0"/>
    <s v="repeat customer"/>
  </r>
  <r>
    <s v="BC20586"/>
    <x v="59"/>
    <x v="6"/>
    <d v="1899-12-30T12:24:38"/>
    <s v="Burger Camp, Pune"/>
    <s v="Aarav Kulkarni"/>
    <d v="2005-09-21T00:00:00"/>
    <x v="23"/>
    <n v="112"/>
    <n v="2"/>
    <n v="225"/>
    <s v="UPI"/>
    <x v="0"/>
    <s v="Extra cheese"/>
  </r>
  <r>
    <s v="BC20587"/>
    <x v="289"/>
    <x v="11"/>
    <d v="1899-12-30T10:05:08"/>
    <s v="Burger Camp, Pune"/>
    <s v="Aisha Shinde"/>
    <d v="1991-12-12T00:00:00"/>
    <x v="19"/>
    <n v="305"/>
    <n v="2"/>
    <n v="612"/>
    <s v="UPI"/>
    <x v="2"/>
    <s v="Servd late"/>
  </r>
  <r>
    <s v="BC20588"/>
    <x v="12"/>
    <x v="2"/>
    <d v="1899-12-30T17:31:29"/>
    <s v="Burger Camp, Pune"/>
    <s v="Aisha Shaikh"/>
    <d v="1988-07-20T00:00:00"/>
    <x v="13"/>
    <n v="94"/>
    <n v="2"/>
    <n v="189"/>
    <s v="UPI"/>
    <x v="5"/>
    <s v="Custmer complaned"/>
  </r>
  <r>
    <s v="BC20589"/>
    <x v="104"/>
    <x v="1"/>
    <d v="1899-12-30T11:52:35"/>
    <s v="Burger Camp, Pune"/>
    <s v="Kiran Naik"/>
    <d v="1972-06-14T00:00:00"/>
    <x v="14"/>
    <n v="36"/>
    <n v="2"/>
    <n v="72"/>
    <s v="UPI"/>
    <x v="3"/>
    <s v="Less salt"/>
  </r>
  <r>
    <s v="BC20590"/>
    <x v="250"/>
    <x v="3"/>
    <d v="1899-12-30T12:32:00"/>
    <s v="Burger Camp, Pune"/>
    <s v="Zara Shinde"/>
    <d v="1987-01-02T00:00:00"/>
    <x v="20"/>
    <n v="311"/>
    <n v="2"/>
    <n v="580"/>
    <s v="Card"/>
    <x v="5"/>
    <s v="No onion"/>
  </r>
  <r>
    <s v="BC20591"/>
    <x v="31"/>
    <x v="3"/>
    <d v="1899-12-30T19:11:54"/>
    <s v="Burger Camp, Pune"/>
    <s v="Mubin Shaikh"/>
    <d v="1972-12-12T00:00:00"/>
    <x v="2"/>
    <n v="212"/>
    <n v="1"/>
    <n v="100"/>
    <s v="Card"/>
    <x v="7"/>
    <s v="No onion"/>
  </r>
  <r>
    <s v="BC20592"/>
    <x v="247"/>
    <x v="11"/>
    <d v="1899-12-30T13:51:00"/>
    <s v="Burger Camp, Pune"/>
    <s v="Zara Kulkarni"/>
    <d v="2006-04-28T00:00:00"/>
    <x v="10"/>
    <n v="232"/>
    <n v="2"/>
    <n v="465"/>
    <s v="Card"/>
    <x v="5"/>
    <s v="Custmer complaned"/>
  </r>
  <r>
    <s v="BC20593"/>
    <x v="291"/>
    <x v="1"/>
    <d v="1899-12-30T22:35:00"/>
    <s v="Burger Camp, Pune"/>
    <s v="Zaid Joshi"/>
    <d v="1988-04-26T00:00:00"/>
    <x v="16"/>
    <n v="213"/>
    <n v="2"/>
    <n v="427"/>
    <s v="Wallet"/>
    <x v="7"/>
    <s v="Custmer complaned"/>
  </r>
  <r>
    <s v="BC20594"/>
    <x v="61"/>
    <x v="2"/>
    <d v="1899-12-30T12:20:00"/>
    <s v="Burger Camp, Pune"/>
    <s v="Zaid Naik"/>
    <d v="1973-06-11T00:00:00"/>
    <x v="4"/>
    <n v="191"/>
    <n v="1"/>
    <n v="191"/>
    <s v="Card"/>
    <x v="2"/>
    <s v="No onion"/>
  </r>
  <r>
    <s v="BC20595"/>
    <x v="148"/>
    <x v="5"/>
    <d v="1899-12-30T21:01:00"/>
    <s v="Burger Camp, Pune"/>
    <s v="Mubin Joshi"/>
    <d v="1976-08-25T00:00:00"/>
    <x v="16"/>
    <n v="208"/>
    <n v="2"/>
    <n v="417"/>
    <s v="Wallet"/>
    <x v="2"/>
    <s v="Custmer complaned"/>
  </r>
  <r>
    <s v="BC20596"/>
    <x v="188"/>
    <x v="11"/>
    <d v="1899-12-30T10:57:00"/>
    <s v="Burger Camp, Pune"/>
    <s v="Sneha Patil"/>
    <d v="1976-08-25T00:00:00"/>
    <x v="8"/>
    <n v="51"/>
    <n v="2"/>
    <n v="102"/>
    <s v="Cash "/>
    <x v="6"/>
    <s v="Servd late"/>
  </r>
  <r>
    <s v="BC20597"/>
    <x v="55"/>
    <x v="5"/>
    <d v="1899-12-30T23:31:06"/>
    <s v="Burger Camp, Pune"/>
    <s v="Aisha Joshi"/>
    <d v="1976-08-25T00:00:00"/>
    <x v="0"/>
    <n v="98"/>
    <n v="2"/>
    <m/>
    <s v="Card"/>
    <x v="5"/>
    <s v="Custmer complaned"/>
  </r>
  <r>
    <s v="BC20598"/>
    <x v="205"/>
    <x v="1"/>
    <d v="1899-12-30T13:27:00"/>
    <s v="Burger Camp, Pune"/>
    <s v="zara naik"/>
    <d v="2010-10-04T00:00:00"/>
    <x v="5"/>
    <n v="268"/>
    <n v="1"/>
    <n v="280"/>
    <s v="Cash"/>
    <x v="5"/>
    <s v="repeat customer"/>
  </r>
  <r>
    <s v="BC20599"/>
    <x v="207"/>
    <x v="6"/>
    <d v="1899-12-30T11:34:00"/>
    <s v="Burger Camp, Pune"/>
    <s v="Pooja More"/>
    <d v="1985-08-17T00:00:00"/>
    <x v="7"/>
    <n v="41"/>
    <n v="1"/>
    <n v="100"/>
    <s v="UPI"/>
    <x v="2"/>
    <s v="Servd late"/>
  </r>
  <r>
    <s v="BC20600"/>
    <x v="127"/>
    <x v="11"/>
    <d v="1899-12-30T23:00:04"/>
    <s v="Burger Camp, Pune"/>
    <s v="Riya Deshmukh"/>
    <d v="1995-03-10T00:00:00"/>
    <x v="3"/>
    <n v="150"/>
    <n v="1"/>
    <n v="150"/>
    <s v="UPI"/>
    <x v="5"/>
    <s v="Servd late"/>
  </r>
  <r>
    <s v="BC20601"/>
    <x v="127"/>
    <x v="11"/>
    <d v="1899-12-30T22:34:35"/>
    <s v="Burger Camp, Pune"/>
    <s v="Rahul Naik"/>
    <d v="1977-02-13T00:00:00"/>
    <x v="3"/>
    <n v="344"/>
    <n v="2"/>
    <n v="689"/>
    <s v="UPI"/>
    <x v="1"/>
    <s v="Spicy"/>
  </r>
  <r>
    <s v="BC20602"/>
    <x v="155"/>
    <x v="6"/>
    <d v="1899-12-30T14:10:00"/>
    <s v="Burger Camp, Pune"/>
    <s v="Riya Joshi"/>
    <d v="1981-01-23T00:00:00"/>
    <x v="24"/>
    <n v="161"/>
    <n v="1"/>
    <n v="161"/>
    <s v="UPI"/>
    <x v="4"/>
    <s v="repeat customer"/>
  </r>
  <r>
    <s v="BC20603"/>
    <x v="292"/>
    <x v="11"/>
    <d v="1899-12-30T20:50:00"/>
    <s v="Burger Camp, Pune"/>
    <s v="kiran patil"/>
    <d v="1991-12-12T00:00:00"/>
    <x v="4"/>
    <n v="201"/>
    <n v="1"/>
    <n v="201"/>
    <s v="UPI"/>
    <x v="6"/>
    <s v="Spicy"/>
  </r>
  <r>
    <s v="BC20604"/>
    <x v="175"/>
    <x v="11"/>
    <d v="1899-12-30T18:33:00"/>
    <s v="Burger Camp, Pune"/>
    <s v="Aarav Shinde"/>
    <d v="2008-04-03T00:00:00"/>
    <x v="20"/>
    <n v="325"/>
    <n v="1"/>
    <n v="325"/>
    <s v="Cash"/>
    <x v="5"/>
    <s v="Spicy"/>
  </r>
  <r>
    <s v="BC20605"/>
    <x v="273"/>
    <x v="2"/>
    <d v="1899-12-30T18:08:00"/>
    <s v="Burger Camp, Pune"/>
    <s v="sneha patil"/>
    <d v="1987-08-09T00:00:00"/>
    <x v="19"/>
    <n v="288"/>
    <n v="1"/>
    <n v="100"/>
    <s v="Cash"/>
    <x v="3"/>
    <s v="Extra cheese"/>
  </r>
  <r>
    <s v="BC20606"/>
    <x v="119"/>
    <x v="0"/>
    <d v="1899-12-30T14:59:00"/>
    <s v="Burger Camp, Pune"/>
    <s v="Sneha Joshi"/>
    <d v="1998-08-12T00:00:00"/>
    <x v="1"/>
    <n v="283"/>
    <n v="1"/>
    <n v="283"/>
    <s v="Card"/>
    <x v="4"/>
    <s v="Extra cheese"/>
  </r>
  <r>
    <s v="BC20607"/>
    <x v="293"/>
    <x v="4"/>
    <d v="1899-12-30T19:06:00"/>
    <s v="Burger Camp, Pune"/>
    <s v="Riya Patil"/>
    <d v="1980-10-03T00:00:00"/>
    <x v="17"/>
    <n v="130"/>
    <n v="1"/>
    <n v="131"/>
    <s v="Cash "/>
    <x v="1"/>
    <s v="repeat customer"/>
  </r>
  <r>
    <s v="BC20608"/>
    <x v="294"/>
    <x v="9"/>
    <d v="1899-12-30T22:55:00"/>
    <s v="Burger Camp, Pune"/>
    <s v="zaid more"/>
    <d v="1995-09-12T00:00:00"/>
    <x v="6"/>
    <n v="91"/>
    <n v="3"/>
    <n v="275"/>
    <s v="Cash "/>
    <x v="7"/>
    <s v="Extra cheese"/>
  </r>
  <r>
    <s v="BC20609"/>
    <x v="190"/>
    <x v="4"/>
    <d v="1899-12-30T13:43:00"/>
    <s v="Burger Camp, Pune"/>
    <s v="Riya Joshi"/>
    <d v="1989-11-20T00:00:00"/>
    <x v="8"/>
    <n v="53"/>
    <n v="2"/>
    <n v="107"/>
    <s v="Card"/>
    <x v="7"/>
    <s v="Spicy"/>
  </r>
  <r>
    <s v="BC20610"/>
    <x v="264"/>
    <x v="3"/>
    <d v="1899-12-30T18:47:00"/>
    <s v="Burger Camp, Pune"/>
    <s v="Kiran Gore"/>
    <d v="1996-03-21T00:00:00"/>
    <x v="13"/>
    <n v="101"/>
    <n v="2"/>
    <n v="202"/>
    <s v="Card"/>
    <x v="5"/>
    <s v="Servd late"/>
  </r>
  <r>
    <s v="BC20611"/>
    <x v="295"/>
    <x v="2"/>
    <d v="1899-12-30T14:12:00"/>
    <s v="Burger Camp, Pune"/>
    <s v="Aisha Joshi"/>
    <d v="1996-03-21T00:00:00"/>
    <x v="25"/>
    <n v="184"/>
    <n v="2"/>
    <n v="369"/>
    <s v="Cash "/>
    <x v="2"/>
    <s v="Less salt"/>
  </r>
  <r>
    <s v="BC20612"/>
    <x v="70"/>
    <x v="1"/>
    <d v="1899-12-30T15:36:30"/>
    <s v="Burger Camp, Pune"/>
    <s v="Zaid Deshmukh"/>
    <d v="2002-07-26T00:00:00"/>
    <x v="17"/>
    <n v="130"/>
    <n v="2"/>
    <n v="260"/>
    <s v="UPI"/>
    <x v="0"/>
    <s v="Spicy"/>
  </r>
  <r>
    <s v="BC20613"/>
    <x v="253"/>
    <x v="1"/>
    <d v="1899-12-30T19:24:25"/>
    <s v="Burger Camp, Pune"/>
    <s v="Pooja Patil"/>
    <d v="1970-08-28T00:00:00"/>
    <x v="13"/>
    <n v="99"/>
    <n v="1"/>
    <n v="99"/>
    <s v="UPI"/>
    <x v="1"/>
    <s v="Custmer complaned"/>
  </r>
  <r>
    <s v="BC20614"/>
    <x v="277"/>
    <x v="1"/>
    <d v="1899-12-30T21:51:03"/>
    <s v="Burger Camp, Pune"/>
    <s v="Zara Deshmukh"/>
    <d v="1970-08-28T00:00:00"/>
    <x v="22"/>
    <n v="202"/>
    <n v="3"/>
    <n v="607"/>
    <s v="Cash "/>
    <x v="2"/>
    <s v="Spicy"/>
  </r>
  <r>
    <s v="BC20615"/>
    <x v="168"/>
    <x v="7"/>
    <d v="1899-12-30T21:57:11"/>
    <s v="Burger Camp, Pune"/>
    <s v="Rahul More"/>
    <d v="2001-01-04T00:00:00"/>
    <x v="15"/>
    <n v="110"/>
    <n v="2"/>
    <n v="221"/>
    <s v="Wallet"/>
    <x v="4"/>
    <s v="Spicy"/>
  </r>
  <r>
    <s v="BC20616"/>
    <x v="192"/>
    <x v="11"/>
    <d v="1899-12-30T20:52:00"/>
    <s v="Burger Camp, Pune"/>
    <s v="Aisha Shinde"/>
    <d v="2004-02-01T00:00:00"/>
    <x v="1"/>
    <n v="191"/>
    <n v="1"/>
    <m/>
    <s v="Cash "/>
    <x v="4"/>
    <s v="No onion"/>
  </r>
  <r>
    <s v="BC20617"/>
    <x v="67"/>
    <x v="7"/>
    <d v="1899-12-30T17:10:00"/>
    <s v="Burger Camp, Pune"/>
    <s v="Riya Shaikh"/>
    <d v="2004-02-01T00:00:00"/>
    <x v="22"/>
    <n v="308"/>
    <n v="1"/>
    <n v="309"/>
    <s v="UPI"/>
    <x v="6"/>
    <s v="Less salt"/>
  </r>
  <r>
    <s v="BC20618"/>
    <x v="292"/>
    <x v="11"/>
    <d v="1899-12-30T10:18:23"/>
    <s v="Burger Camp, Pune"/>
    <s v="Aisha Joshi"/>
    <d v="1984-07-14T00:00:00"/>
    <x v="5"/>
    <n v="73"/>
    <n v="1"/>
    <n v="74"/>
    <s v="UPI"/>
    <x v="1"/>
    <s v="Spicy"/>
  </r>
  <r>
    <s v="BC20619"/>
    <x v="245"/>
    <x v="9"/>
    <d v="1899-12-30T18:43:00"/>
    <s v="Burger Camp, Pune"/>
    <s v="Sneha Shaikh"/>
    <d v="2010-07-23T00:00:00"/>
    <x v="16"/>
    <n v="179"/>
    <n v="1"/>
    <n v="179"/>
    <s v="Cash"/>
    <x v="1"/>
    <s v="Custmer complaned"/>
  </r>
  <r>
    <s v="BC20620"/>
    <x v="16"/>
    <x v="7"/>
    <d v="1899-12-30T18:42:00"/>
    <s v="Burger Camp, Pune"/>
    <s v="Zara Patil"/>
    <d v="2010-03-06T00:00:00"/>
    <x v="2"/>
    <n v="249"/>
    <n v="2"/>
    <n v="499"/>
    <s v="Card"/>
    <x v="5"/>
    <s v="Custmer complaned"/>
  </r>
  <r>
    <s v="BC20621"/>
    <x v="81"/>
    <x v="9"/>
    <d v="1899-12-30T14:06:00"/>
    <s v="Burger Camp, Pune"/>
    <s v="Aarav More"/>
    <d v="2005-05-25T00:00:00"/>
    <x v="0"/>
    <n v="102"/>
    <n v="2"/>
    <n v="206"/>
    <s v="Card"/>
    <x v="7"/>
    <s v="Custmer complaned"/>
  </r>
  <r>
    <s v="BC20622"/>
    <x v="296"/>
    <x v="5"/>
    <d v="1899-12-30T19:04:00"/>
    <s v="Burger Camp, Pune"/>
    <s v="Kiran Shaikh"/>
    <d v="1987-02-03T00:00:00"/>
    <x v="7"/>
    <n v="148"/>
    <n v="1"/>
    <n v="98"/>
    <s v="Cash"/>
    <x v="7"/>
    <s v="Spicy"/>
  </r>
  <r>
    <s v="BC20623"/>
    <x v="297"/>
    <x v="4"/>
    <d v="1899-12-30T11:39:00"/>
    <s v="Burger Camp, Pune"/>
    <s v="Pooja Shaikh"/>
    <d v="1979-05-03T00:00:00"/>
    <x v="24"/>
    <n v="139"/>
    <n v="2"/>
    <n v="280"/>
    <s v="UPI"/>
    <x v="3"/>
    <s v="Spicy"/>
  </r>
  <r>
    <s v="BC20624"/>
    <x v="298"/>
    <x v="0"/>
    <d v="1899-12-30T17:21:00"/>
    <s v="Burger Camp, Pune"/>
    <s v="Rahul Kulkarni"/>
    <d v="1996-06-08T00:00:00"/>
    <x v="2"/>
    <n v="220"/>
    <n v="3"/>
    <n v="661"/>
    <s v="Card"/>
    <x v="3"/>
    <s v="Extra cheese"/>
  </r>
  <r>
    <s v="BC20625"/>
    <x v="114"/>
    <x v="8"/>
    <d v="1899-12-30T15:53:01"/>
    <s v="Burger Camp, Pune"/>
    <s v="Pooja Deshmukh"/>
    <d v="1996-06-08T00:00:00"/>
    <x v="8"/>
    <n v="55"/>
    <n v="2"/>
    <n v="111"/>
    <s v="Card"/>
    <x v="0"/>
    <s v="Less salt"/>
  </r>
  <r>
    <s v="BC20626"/>
    <x v="248"/>
    <x v="9"/>
    <d v="1899-12-30T21:02:16"/>
    <s v="Burger Camp, Pune"/>
    <s v="Aarav Khan"/>
    <d v="1984-08-07T00:00:00"/>
    <x v="24"/>
    <n v="134"/>
    <n v="1"/>
    <n v="131"/>
    <s v="Cash"/>
    <x v="3"/>
    <s v="Servd late"/>
  </r>
  <r>
    <s v="BC20627"/>
    <x v="299"/>
    <x v="1"/>
    <d v="1899-12-30T17:26:00"/>
    <s v="Burger Camp, Pune"/>
    <s v="Zaid Naik"/>
    <d v="1990-10-10T00:00:00"/>
    <x v="9"/>
    <n v="247"/>
    <n v="2"/>
    <n v="494"/>
    <s v="Cash "/>
    <x v="1"/>
    <s v="Custmer complaned"/>
  </r>
  <r>
    <s v="BC20628"/>
    <x v="300"/>
    <x v="6"/>
    <d v="1899-12-30T22:38:00"/>
    <s v="Burger Camp, Pune"/>
    <s v="Anil Naik"/>
    <d v="2006-05-14T00:00:00"/>
    <x v="11"/>
    <n v="172"/>
    <n v="3"/>
    <n v="516"/>
    <s v="Cash "/>
    <x v="1"/>
    <s v="Less salt"/>
  </r>
  <r>
    <s v="BC20629"/>
    <x v="301"/>
    <x v="8"/>
    <d v="1899-12-30T22:36:00"/>
    <s v="Burger Camp, Pune"/>
    <s v="Aarav Patil"/>
    <d v="1972-08-11T00:00:00"/>
    <x v="4"/>
    <n v="181"/>
    <n v="1"/>
    <n v="100"/>
    <s v="Cash "/>
    <x v="0"/>
    <s v="No onion"/>
  </r>
  <r>
    <s v="BC20630"/>
    <x v="157"/>
    <x v="8"/>
    <d v="1899-12-30T19:03:00"/>
    <s v="Burger Camp, Pune"/>
    <s v="Sneha Shinde"/>
    <d v="1983-12-28T00:00:00"/>
    <x v="2"/>
    <n v="245"/>
    <n v="1"/>
    <n v="245"/>
    <s v="Card"/>
    <x v="7"/>
    <s v="Servd late"/>
  </r>
  <r>
    <s v="BC20631"/>
    <x v="273"/>
    <x v="2"/>
    <d v="1899-12-30T21:20:25"/>
    <s v="Burger Camp, Pune"/>
    <s v="Riya Shaikh"/>
    <d v="2005-06-02T00:00:00"/>
    <x v="3"/>
    <n v="164"/>
    <n v="1"/>
    <n v="165"/>
    <s v="UPI"/>
    <x v="0"/>
    <s v="Servd late"/>
  </r>
  <r>
    <s v="BC20632"/>
    <x v="302"/>
    <x v="5"/>
    <d v="1899-12-30T21:45:00"/>
    <s v="Burger Camp, Pune"/>
    <s v="Zara Naik"/>
    <d v="1973-03-26T00:00:00"/>
    <x v="19"/>
    <n v="294"/>
    <n v="2"/>
    <n v="589"/>
    <s v="Cash "/>
    <x v="0"/>
    <s v="repeat customer"/>
  </r>
  <r>
    <s v="BC20633"/>
    <x v="275"/>
    <x v="1"/>
    <d v="1899-12-30T21:55:00"/>
    <s v="Burger Camp, Pune"/>
    <s v="Riya Joshi"/>
    <d v="2009-04-01T00:00:00"/>
    <x v="2"/>
    <n v="307"/>
    <n v="2"/>
    <n v="616"/>
    <s v="Cash"/>
    <x v="6"/>
    <s v="repeat customer"/>
  </r>
  <r>
    <s v="BC20634"/>
    <x v="77"/>
    <x v="8"/>
    <d v="1899-12-30T22:52:00"/>
    <s v="Burger Camp, Pune"/>
    <s v="Aisha Khan"/>
    <d v="1983-01-03T00:00:00"/>
    <x v="14"/>
    <n v="264"/>
    <n v="1"/>
    <n v="265"/>
    <s v="Cash"/>
    <x v="1"/>
    <s v="repeat customer"/>
  </r>
  <r>
    <s v="BC20635"/>
    <x v="54"/>
    <x v="8"/>
    <d v="1899-12-30T14:03:56"/>
    <s v="Burger Camp, Pune"/>
    <s v="Aarav More"/>
    <d v="1986-11-18T00:00:00"/>
    <x v="16"/>
    <n v="209"/>
    <n v="2"/>
    <n v="420"/>
    <s v="Cash"/>
    <x v="3"/>
    <s v="repeat customer"/>
  </r>
  <r>
    <s v="BC20636"/>
    <x v="144"/>
    <x v="0"/>
    <d v="1899-12-30T12:09:00"/>
    <s v="Burger Camp, Pune"/>
    <s v="Aarav Gore"/>
    <d v="1995-09-10T00:00:00"/>
    <x v="14"/>
    <n v="291"/>
    <n v="1"/>
    <n v="291"/>
    <s v="Cash"/>
    <x v="4"/>
    <s v="Servd late"/>
  </r>
  <r>
    <s v="BC20637"/>
    <x v="303"/>
    <x v="11"/>
    <d v="1899-12-30T20:58:00"/>
    <s v="Burger Camp, Pune"/>
    <s v="Pooja Khan"/>
    <d v="1972-11-08T00:00:00"/>
    <x v="15"/>
    <n v="247"/>
    <n v="2"/>
    <n v="495"/>
    <s v="Wallet"/>
    <x v="4"/>
    <s v="Servd late"/>
  </r>
  <r>
    <s v="BC20638"/>
    <x v="265"/>
    <x v="4"/>
    <d v="1899-12-30T15:54:00"/>
    <s v="Burger Camp, Pune"/>
    <s v="Sneha Shaikh"/>
    <d v="1990-11-26T00:00:00"/>
    <x v="25"/>
    <n v="153"/>
    <n v="1"/>
    <n v="153"/>
    <s v="Wallet"/>
    <x v="2"/>
    <s v="Extra cheese"/>
  </r>
  <r>
    <s v="BC20639"/>
    <x v="57"/>
    <x v="10"/>
    <d v="1899-12-30T10:55:00"/>
    <s v="Burger Camp, Pune"/>
    <s v="Kiran Deshmukh"/>
    <d v="1974-10-25T00:00:00"/>
    <x v="6"/>
    <n v="100"/>
    <n v="2"/>
    <n v="200"/>
    <s v="UPI"/>
    <x v="3"/>
    <s v="Servd late"/>
  </r>
  <r>
    <s v="BC20640"/>
    <x v="59"/>
    <x v="6"/>
    <d v="1899-12-30T11:56:25"/>
    <s v="Burger Camp, Pune"/>
    <s v="Rahul Shaikh"/>
    <d v="1971-11-12T00:00:00"/>
    <x v="16"/>
    <n v="217"/>
    <n v="3"/>
    <n v="654"/>
    <s v="UPI"/>
    <x v="3"/>
    <s v="repeat customer"/>
  </r>
  <r>
    <s v="BC20641"/>
    <x v="280"/>
    <x v="8"/>
    <d v="1899-12-30T20:48:00"/>
    <s v="Burger Camp, Pune"/>
    <s v="Zaid Deshmukh"/>
    <d v="2009-09-01T00:00:00"/>
    <x v="0"/>
    <n v="98"/>
    <n v="1"/>
    <n v="130"/>
    <s v="UPI"/>
    <x v="1"/>
    <s v="Spicy"/>
  </r>
  <r>
    <s v="BC20642"/>
    <x v="218"/>
    <x v="5"/>
    <d v="1899-12-30T18:42:00"/>
    <s v="Burger Camp, Pune"/>
    <s v="Aisha Shinde"/>
    <d v="2004-07-18T00:00:00"/>
    <x v="18"/>
    <n v="257"/>
    <n v="1"/>
    <n v="258"/>
    <s v="UPI"/>
    <x v="6"/>
    <s v="Spicy"/>
  </r>
  <r>
    <s v="BC20643"/>
    <x v="50"/>
    <x v="4"/>
    <d v="1899-12-30T18:20:00"/>
    <s v="Burger Camp, Pune"/>
    <s v="Zaid Deshmukh"/>
    <d v="1989-12-04T00:00:00"/>
    <x v="9"/>
    <n v="326"/>
    <n v="2"/>
    <n v="654"/>
    <s v="Wallet"/>
    <x v="1"/>
    <s v="Custmer complaned"/>
  </r>
  <r>
    <s v="BC20644"/>
    <x v="128"/>
    <x v="4"/>
    <d v="1899-12-30T11:30:00"/>
    <s v="Burger Camp, Pune"/>
    <s v="Pooja Patil"/>
    <d v="2009-10-20T00:00:00"/>
    <x v="12"/>
    <n v="304"/>
    <n v="2"/>
    <n v="646"/>
    <s v="Cash"/>
    <x v="5"/>
    <s v="Extra cheese"/>
  </r>
  <r>
    <s v="BC20645"/>
    <x v="205"/>
    <x v="1"/>
    <d v="1899-12-30T18:21:00"/>
    <s v="Burger Camp, Pune"/>
    <s v=" Zaid Joshi "/>
    <d v="2010-01-11T00:00:00"/>
    <x v="4"/>
    <n v="200"/>
    <n v="1"/>
    <n v="200"/>
    <s v="UPI"/>
    <x v="3"/>
    <s v="Extra cheese"/>
  </r>
  <r>
    <s v="BC20646"/>
    <x v="126"/>
    <x v="4"/>
    <d v="1899-12-30T12:54:00"/>
    <s v="Burger Camp, Pune"/>
    <s v="Rahul Gore"/>
    <d v="1983-04-27T00:00:00"/>
    <x v="22"/>
    <n v="135"/>
    <n v="1"/>
    <n v="95"/>
    <s v="UPI"/>
    <x v="4"/>
    <s v="Less salt"/>
  </r>
  <r>
    <s v="BC20647"/>
    <x v="304"/>
    <x v="6"/>
    <d v="1899-12-30T15:57:11"/>
    <s v="Burger Camp, Pune"/>
    <s v="Aisha Gore"/>
    <d v="2000-06-23T00:00:00"/>
    <x v="14"/>
    <n v="217"/>
    <n v="3"/>
    <n v="654"/>
    <s v="Card"/>
    <x v="7"/>
    <s v="Less salt"/>
  </r>
  <r>
    <s v="BC20648"/>
    <x v="92"/>
    <x v="5"/>
    <d v="1899-12-30T19:28:00"/>
    <s v="Burger Camp, Pune"/>
    <s v="Pooja Kulkarni"/>
    <d v="2007-07-19T00:00:00"/>
    <x v="20"/>
    <n v="316"/>
    <n v="2"/>
    <n v="634"/>
    <s v="UPI"/>
    <x v="0"/>
    <s v="Spicy"/>
  </r>
  <r>
    <s v="BC20649"/>
    <x v="300"/>
    <x v="6"/>
    <d v="1899-12-30T12:20:00"/>
    <s v="Burger Camp, Pune"/>
    <s v="Anil Gore"/>
    <d v="1980-06-11T00:00:00"/>
    <x v="25"/>
    <n v="228"/>
    <n v="2"/>
    <n v="457"/>
    <s v="Card"/>
    <x v="6"/>
    <s v="repeat customer"/>
  </r>
  <r>
    <s v="BC20650"/>
    <x v="300"/>
    <x v="6"/>
    <d v="1899-12-30T10:35:00"/>
    <s v="Burger Camp, Pune"/>
    <s v="Pooja Naik"/>
    <d v="2005-06-22T00:00:00"/>
    <x v="23"/>
    <n v="156"/>
    <n v="2"/>
    <n v="312"/>
    <s v="Card"/>
    <x v="0"/>
    <s v="Custmer complaned"/>
  </r>
  <r>
    <s v="BC20651"/>
    <x v="305"/>
    <x v="6"/>
    <d v="1899-12-30T14:20:00"/>
    <s v="Burger Camp, Pune"/>
    <s v="Sneha Kulkarni"/>
    <d v="1990-03-04T00:00:00"/>
    <x v="1"/>
    <n v="230"/>
    <n v="2"/>
    <n v="461"/>
    <s v="Wallet"/>
    <x v="5"/>
    <s v="Custmer complaned"/>
  </r>
  <r>
    <s v="BC20652"/>
    <x v="23"/>
    <x v="2"/>
    <d v="1899-12-30T23:42:00"/>
    <s v="Burger Camp, Pune"/>
    <s v="Farhan More"/>
    <d v="2005-04-20T00:00:00"/>
    <x v="5"/>
    <n v="277"/>
    <n v="2"/>
    <n v="554"/>
    <s v="Wallet"/>
    <x v="5"/>
    <s v="Servd late"/>
  </r>
  <r>
    <s v="BC20653"/>
    <x v="306"/>
    <x v="9"/>
    <d v="1899-12-30T11:37:00"/>
    <s v="Burger Camp, Pune"/>
    <s v="farhan joshi"/>
    <d v="1992-07-10T00:00:00"/>
    <x v="8"/>
    <n v="44"/>
    <n v="1"/>
    <n v="45"/>
    <s v="Cash"/>
    <x v="5"/>
    <s v="No onion"/>
  </r>
  <r>
    <s v="BC20654"/>
    <x v="252"/>
    <x v="0"/>
    <d v="1899-12-30T15:56:00"/>
    <s v="Burger Camp, Pune"/>
    <s v="Aarav Joshi"/>
    <d v="1986-03-20T00:00:00"/>
    <x v="5"/>
    <n v="163"/>
    <n v="1"/>
    <n v="164"/>
    <s v="UPI"/>
    <x v="6"/>
    <s v="Spicy"/>
  </r>
  <r>
    <s v="BC20655"/>
    <x v="219"/>
    <x v="1"/>
    <d v="1899-12-30T12:54:00"/>
    <s v="Burger Camp, Pune"/>
    <s v="Zara Khan"/>
    <d v="2010-11-22T00:00:00"/>
    <x v="17"/>
    <n v="140"/>
    <n v="1"/>
    <n v="140"/>
    <s v="UPI"/>
    <x v="1"/>
    <s v="Spicy"/>
  </r>
  <r>
    <s v="BC20656"/>
    <x v="212"/>
    <x v="10"/>
    <d v="1899-12-30T13:06:00"/>
    <s v="Burger Camp, Pune"/>
    <s v="zara khan"/>
    <d v="1978-11-06T00:00:00"/>
    <x v="0"/>
    <n v="108"/>
    <n v="3"/>
    <n v="327"/>
    <s v="Card"/>
    <x v="2"/>
    <s v="Spicy"/>
  </r>
  <r>
    <s v="BC20657"/>
    <x v="220"/>
    <x v="1"/>
    <d v="1899-12-30T12:43:53"/>
    <s v="Burger Camp, Pune"/>
    <s v="Sneha Shinde"/>
    <d v="2002-06-16T00:00:00"/>
    <x v="18"/>
    <n v="48"/>
    <n v="2"/>
    <n v="97"/>
    <s v="UPI"/>
    <x v="7"/>
    <s v="Spicy"/>
  </r>
  <r>
    <s v="BC20658"/>
    <x v="194"/>
    <x v="2"/>
    <d v="1899-12-30T11:53:50"/>
    <s v="Burger Camp, Pune"/>
    <s v="Mubin Shinde"/>
    <d v="2006-08-07T00:00:00"/>
    <x v="14"/>
    <n v="116"/>
    <n v="1"/>
    <n v="117"/>
    <s v="UPI"/>
    <x v="0"/>
    <s v="Extra cheese"/>
  </r>
  <r>
    <s v="BC20659"/>
    <x v="256"/>
    <x v="2"/>
    <d v="1899-12-30T22:58:00"/>
    <s v="Burger Camp, Pune"/>
    <s v="Farhan Patil"/>
    <d v="1970-05-27T00:00:00"/>
    <x v="24"/>
    <n v="149"/>
    <n v="3"/>
    <n v="463"/>
    <s v="Card"/>
    <x v="2"/>
    <s v="repeat customer"/>
  </r>
  <r>
    <s v="BC20660"/>
    <x v="258"/>
    <x v="11"/>
    <d v="1899-12-30T14:55:24"/>
    <s v="Burger Camp, Pune"/>
    <s v="Mubin More"/>
    <d v="1980-10-26T00:00:00"/>
    <x v="11"/>
    <n v="202"/>
    <n v="3"/>
    <n v="609"/>
    <s v="Cash"/>
    <x v="5"/>
    <s v="No onion"/>
  </r>
  <r>
    <s v="BC20661"/>
    <x v="159"/>
    <x v="5"/>
    <d v="1899-12-30T17:14:00"/>
    <s v="Burger Camp, Pune"/>
    <s v="Rahul Joshi"/>
    <d v="1991-03-04T00:00:00"/>
    <x v="20"/>
    <n v="306"/>
    <n v="3"/>
    <n v="919"/>
    <s v="Cash"/>
    <x v="3"/>
    <s v="No onion"/>
  </r>
  <r>
    <s v="BC20662"/>
    <x v="307"/>
    <x v="1"/>
    <d v="1899-12-30T15:40:00"/>
    <s v="Burger Camp, Pune"/>
    <s v="Farhan Kulkarni"/>
    <d v="1977-10-02T00:00:00"/>
    <x v="11"/>
    <n v="178"/>
    <n v="2"/>
    <n v="357"/>
    <s v="Cash "/>
    <x v="2"/>
    <s v="No onion"/>
  </r>
  <r>
    <s v="BC20663"/>
    <x v="146"/>
    <x v="10"/>
    <d v="1899-12-30T16:31:00"/>
    <s v="Burger Camp, Pune"/>
    <s v="Rahul Deshmukh"/>
    <d v="1981-12-07T00:00:00"/>
    <x v="10"/>
    <n v="249"/>
    <n v="1"/>
    <m/>
    <s v="UPI"/>
    <x v="1"/>
    <s v="No onion"/>
  </r>
  <r>
    <s v="BC20664"/>
    <x v="227"/>
    <x v="4"/>
    <d v="1899-12-30T15:09:35"/>
    <s v="Burger Camp, Pune"/>
    <s v="Zaid Gore"/>
    <d v="1993-02-21T00:00:00"/>
    <x v="25"/>
    <n v="231"/>
    <n v="1"/>
    <n v="231"/>
    <s v="Wallet"/>
    <x v="3"/>
    <s v="No onion"/>
  </r>
  <r>
    <s v="BC20665"/>
    <x v="60"/>
    <x v="10"/>
    <d v="1899-12-30T15:07:00"/>
    <s v="Burger Camp, Pune"/>
    <s v="Zaid Khan"/>
    <d v="1990-09-26T00:00:00"/>
    <x v="11"/>
    <n v="178"/>
    <n v="2"/>
    <n v="357"/>
    <s v="UPI"/>
    <x v="6"/>
    <s v="No onion"/>
  </r>
  <r>
    <s v="BC20666"/>
    <x v="67"/>
    <x v="7"/>
    <d v="1899-12-30T19:15:13"/>
    <s v="Burger Camp, Pune"/>
    <s v=" riya gore "/>
    <d v="1991-09-11T00:00:00"/>
    <x v="22"/>
    <n v="191"/>
    <n v="1"/>
    <n v="191"/>
    <s v="Card"/>
    <x v="1"/>
    <s v="repeat customer"/>
  </r>
  <r>
    <s v="BC20667"/>
    <x v="147"/>
    <x v="10"/>
    <d v="1899-12-30T20:08:00"/>
    <s v="Burger Camp, Pune"/>
    <s v="Riya More"/>
    <d v="1991-09-11T00:00:00"/>
    <x v="0"/>
    <n v="83"/>
    <n v="1"/>
    <n v="84"/>
    <s v="Card"/>
    <x v="2"/>
    <s v="Less salt"/>
  </r>
  <r>
    <s v="BC20668"/>
    <x v="308"/>
    <x v="1"/>
    <d v="1899-12-30T16:53:00"/>
    <s v="Burger Camp, Pune"/>
    <s v="farhan shaikh"/>
    <d v="2004-01-05T00:00:00"/>
    <x v="8"/>
    <n v="38"/>
    <n v="3"/>
    <n v="116"/>
    <s v="Wallet"/>
    <x v="5"/>
    <s v="repeat customer"/>
  </r>
  <r>
    <s v="BC20669"/>
    <x v="309"/>
    <x v="6"/>
    <d v="1899-12-30T17:25:00"/>
    <s v="Burger Camp, Pune"/>
    <s v="Kiran Gore"/>
    <d v="1970-10-06T00:00:00"/>
    <x v="10"/>
    <n v="227"/>
    <n v="2"/>
    <n v="454"/>
    <s v="Wallet"/>
    <x v="7"/>
    <s v="Less salt"/>
  </r>
  <r>
    <s v="BC20670"/>
    <x v="122"/>
    <x v="5"/>
    <d v="1899-12-30T22:35:00"/>
    <s v="Burger Camp, Pune"/>
    <s v="Mubin Deshmukh"/>
    <d v="1972-04-10T00:00:00"/>
    <x v="2"/>
    <n v="270"/>
    <n v="2"/>
    <n v="540"/>
    <s v="Card"/>
    <x v="4"/>
    <s v="Extra cheese"/>
  </r>
  <r>
    <s v="BC20671"/>
    <x v="122"/>
    <x v="5"/>
    <d v="1899-12-30T11:22:00"/>
    <s v="Burger Camp, Pune"/>
    <s v="Kiran Deshmukh"/>
    <d v="1978-07-05T00:00:00"/>
    <x v="22"/>
    <n v="39"/>
    <n v="1"/>
    <n v="39"/>
    <s v="Cash"/>
    <x v="5"/>
    <s v="Extra cheese"/>
  </r>
  <r>
    <s v="BC20672"/>
    <x v="106"/>
    <x v="11"/>
    <d v="1899-12-30T11:36:00"/>
    <s v="Burger Camp, Pune"/>
    <s v="Anil Shinde"/>
    <d v="2005-11-03T00:00:00"/>
    <x v="11"/>
    <n v="216"/>
    <n v="2"/>
    <n v="434"/>
    <s v="Wallet"/>
    <x v="3"/>
    <s v="Spicy"/>
  </r>
  <r>
    <s v="BC20673"/>
    <x v="97"/>
    <x v="1"/>
    <d v="1899-12-30T23:19:00"/>
    <s v="Burger Camp, Pune"/>
    <s v="sneha naik"/>
    <d v="1983-03-14T00:00:00"/>
    <x v="6"/>
    <n v="104"/>
    <n v="1"/>
    <n v="74"/>
    <s v="Cash"/>
    <x v="2"/>
    <s v="Less salt"/>
  </r>
  <r>
    <s v="BC20674"/>
    <x v="294"/>
    <x v="9"/>
    <d v="1899-12-30T21:08:00"/>
    <s v="Burger Camp, Pune"/>
    <s v="Farhan Joshi"/>
    <d v="1971-01-11T00:00:00"/>
    <x v="11"/>
    <n v="104"/>
    <n v="1"/>
    <n v="74"/>
    <s v="Wallet"/>
    <x v="5"/>
    <s v="Less salt"/>
  </r>
  <r>
    <s v="BC20675"/>
    <x v="152"/>
    <x v="8"/>
    <d v="1899-12-30T13:34:52"/>
    <s v="Burger Camp, Pune"/>
    <s v="Zara Khan"/>
    <d v="1991-12-12T00:00:00"/>
    <x v="13"/>
    <n v="105"/>
    <n v="1"/>
    <n v="106"/>
    <s v="Card"/>
    <x v="6"/>
    <s v="Extra cheese"/>
  </r>
  <r>
    <s v="BC20676"/>
    <x v="265"/>
    <x v="4"/>
    <d v="1899-12-30T16:03:00"/>
    <s v="Burger Camp, Pune"/>
    <s v="Anil Naik"/>
    <d v="1991-12-12T00:00:00"/>
    <x v="16"/>
    <n v="158"/>
    <n v="1"/>
    <n v="158"/>
    <s v="Card"/>
    <x v="6"/>
    <s v="Spicy"/>
  </r>
  <r>
    <s v="BC20677"/>
    <x v="99"/>
    <x v="9"/>
    <d v="1899-12-30T20:11:00"/>
    <s v="Burger Camp, Pune"/>
    <s v="Kiran Shinde"/>
    <d v="1978-08-14T00:00:00"/>
    <x v="3"/>
    <n v="269"/>
    <n v="1"/>
    <n v="269"/>
    <s v="Card"/>
    <x v="3"/>
    <s v="repeat customer"/>
  </r>
  <r>
    <s v="BC20678"/>
    <x v="23"/>
    <x v="2"/>
    <d v="1899-12-30T21:38:00"/>
    <s v="Burger Camp, Pune"/>
    <s v="Zaid Naik"/>
    <d v="2002-11-14T00:00:00"/>
    <x v="17"/>
    <n v="135"/>
    <n v="3"/>
    <n v="406"/>
    <s v="Card"/>
    <x v="5"/>
    <s v="repeat customer"/>
  </r>
  <r>
    <s v="BC20679"/>
    <x v="134"/>
    <x v="10"/>
    <d v="1899-12-30T11:27:00"/>
    <s v="Burger Camp, Pune"/>
    <s v="Aarav Deshmukh"/>
    <d v="2003-04-13T00:00:00"/>
    <x v="0"/>
    <n v="83"/>
    <n v="3"/>
    <n v="249"/>
    <s v="Cash "/>
    <x v="0"/>
    <s v="Spicy"/>
  </r>
  <r>
    <s v="BC20680"/>
    <x v="157"/>
    <x v="8"/>
    <d v="1899-12-30T12:04:00"/>
    <s v="Burger Camp, Pune"/>
    <s v="Aisha More"/>
    <d v="2003-04-13T00:00:00"/>
    <x v="2"/>
    <n v="294"/>
    <n v="2"/>
    <n v="589"/>
    <s v="UPI"/>
    <x v="6"/>
    <s v="Less salt"/>
  </r>
  <r>
    <s v="BC20681"/>
    <x v="155"/>
    <x v="6"/>
    <d v="1899-12-30T10:33:00"/>
    <s v="Burger Camp, Pune"/>
    <s v="Zara Shaikh"/>
    <d v="1970-01-19T00:00:00"/>
    <x v="0"/>
    <n v="77"/>
    <n v="2"/>
    <n v="155"/>
    <s v="UPI"/>
    <x v="5"/>
    <s v="Less salt"/>
  </r>
  <r>
    <s v="BC20682"/>
    <x v="266"/>
    <x v="1"/>
    <d v="1899-12-30T23:55:00"/>
    <s v="Burger Camp, Pune"/>
    <s v="Zaid More"/>
    <d v="1972-01-01T00:00:00"/>
    <x v="0"/>
    <n v="89"/>
    <n v="1"/>
    <n v="89"/>
    <s v="Card"/>
    <x v="7"/>
    <s v="Servd late"/>
  </r>
  <r>
    <s v="BC20683"/>
    <x v="231"/>
    <x v="2"/>
    <d v="1899-12-30T12:01:00"/>
    <s v="Burger Camp, Pune"/>
    <s v="anil khan"/>
    <d v="1985-05-14T00:00:00"/>
    <x v="17"/>
    <n v="142"/>
    <n v="1"/>
    <n v="143"/>
    <s v="Cash"/>
    <x v="3"/>
    <s v="Servd late"/>
  </r>
  <r>
    <s v="BC20684"/>
    <x v="257"/>
    <x v="3"/>
    <d v="1899-12-30T12:41:00"/>
    <s v="Burger Camp, Pune"/>
    <s v="Pooja Gore"/>
    <d v="1970-03-13T00:00:00"/>
    <x v="15"/>
    <n v="338"/>
    <n v="1"/>
    <n v="338"/>
    <s v="Cash"/>
    <x v="7"/>
    <s v="No onion"/>
  </r>
  <r>
    <s v="BC20685"/>
    <x v="114"/>
    <x v="8"/>
    <d v="1899-12-30T18:44:00"/>
    <s v="Burger Camp, Pune"/>
    <s v="Rahul Shaikh"/>
    <d v="2010-03-26T00:00:00"/>
    <x v="12"/>
    <n v="322"/>
    <n v="1"/>
    <n v="322"/>
    <s v="Cash"/>
    <x v="1"/>
    <s v="Extra cheese"/>
  </r>
  <r>
    <s v="BC20686"/>
    <x v="209"/>
    <x v="3"/>
    <d v="1899-12-30T13:57:00"/>
    <s v="Burger Camp, Pune"/>
    <s v="aisha deshmukh"/>
    <d v="1991-12-12T00:00:00"/>
    <x v="25"/>
    <n v="257"/>
    <n v="2"/>
    <n v="514"/>
    <s v="Cash "/>
    <x v="3"/>
    <s v="Spicy"/>
  </r>
  <r>
    <s v="BC20687"/>
    <x v="190"/>
    <x v="4"/>
    <d v="1899-12-30T23:40:19"/>
    <s v="Burger Camp, Pune"/>
    <s v="Aarav Shaikh"/>
    <d v="1970-06-16T00:00:00"/>
    <x v="14"/>
    <n v="38"/>
    <n v="2"/>
    <n v="78"/>
    <s v="UPI"/>
    <x v="6"/>
    <s v="Spicy"/>
  </r>
  <r>
    <s v="BC20688"/>
    <x v="86"/>
    <x v="9"/>
    <d v="1899-12-30T18:25:54"/>
    <s v="Burger Camp, Pune"/>
    <s v="Aisha Deshmukh"/>
    <d v="1995-03-28T00:00:00"/>
    <x v="8"/>
    <n v="53"/>
    <n v="1"/>
    <n v="53"/>
    <s v="Card"/>
    <x v="5"/>
    <s v="Extra cheese"/>
  </r>
  <r>
    <s v="BC20689"/>
    <x v="64"/>
    <x v="9"/>
    <d v="1899-12-30T22:32:00"/>
    <s v="Burger Camp, Pune"/>
    <s v="Zara More"/>
    <d v="1978-04-11T00:00:00"/>
    <x v="25"/>
    <n v="98"/>
    <n v="2"/>
    <n v="196"/>
    <s v="UPI"/>
    <x v="5"/>
    <s v="repeat customer"/>
  </r>
  <r>
    <s v="BC20690"/>
    <x v="139"/>
    <x v="0"/>
    <d v="1899-12-30T20:52:00"/>
    <s v="Burger Camp, Pune"/>
    <s v="Mubin Gore"/>
    <d v="2005-02-17T00:00:00"/>
    <x v="0"/>
    <n v="85"/>
    <n v="3"/>
    <n v="256"/>
    <s v="Cash"/>
    <x v="0"/>
    <s v="repeat customer"/>
  </r>
  <r>
    <s v="BC20691"/>
    <x v="137"/>
    <x v="10"/>
    <d v="1899-12-30T15:54:00"/>
    <s v="Burger Camp, Pune"/>
    <s v="Aarav Patil"/>
    <d v="1993-05-07T00:00:00"/>
    <x v="12"/>
    <n v="300"/>
    <n v="1"/>
    <n v="301"/>
    <s v="UPI"/>
    <x v="5"/>
    <s v="Extra cheese"/>
  </r>
  <r>
    <s v="BC20692"/>
    <x v="120"/>
    <x v="7"/>
    <d v="1899-12-30T11:38:00"/>
    <s v="Burger Camp, Pune"/>
    <s v="Zara Gore"/>
    <d v="1975-02-26T00:00:00"/>
    <x v="12"/>
    <n v="244"/>
    <n v="1"/>
    <n v="245"/>
    <s v="UPI"/>
    <x v="3"/>
    <s v="Servd late"/>
  </r>
  <r>
    <s v="BC20693"/>
    <x v="52"/>
    <x v="11"/>
    <d v="1899-12-30T21:32:00"/>
    <s v="Burger Camp, Pune"/>
    <s v="Zara Naik"/>
    <d v="1975-02-26T00:00:00"/>
    <x v="12"/>
    <n v="225"/>
    <n v="1"/>
    <n v="225"/>
    <s v="UPI"/>
    <x v="5"/>
    <s v="Servd late"/>
  </r>
  <r>
    <s v="BC20694"/>
    <x v="3"/>
    <x v="3"/>
    <d v="1899-12-30T21:14:00"/>
    <s v="Burger Camp, Pune"/>
    <s v="Zaid Shaikh"/>
    <d v="2002-02-25T00:00:00"/>
    <x v="13"/>
    <n v="114"/>
    <n v="3"/>
    <n v="342"/>
    <s v="Cash"/>
    <x v="3"/>
    <s v="Custmer complaned"/>
  </r>
  <r>
    <s v="BC20695"/>
    <x v="3"/>
    <x v="3"/>
    <d v="1899-12-30T21:45:35"/>
    <s v="Burger Camp, Pune"/>
    <s v="Farhan More"/>
    <d v="1970-03-21T00:00:00"/>
    <x v="6"/>
    <n v="124"/>
    <n v="2"/>
    <n v="249"/>
    <s v="Cash "/>
    <x v="0"/>
    <s v="Custmer complaned"/>
  </r>
  <r>
    <s v="BC20696"/>
    <x v="122"/>
    <x v="5"/>
    <d v="1899-12-30T20:43:00"/>
    <s v="Burger Camp, Pune"/>
    <s v="Zaid Gore"/>
    <d v="1993-12-24T00:00:00"/>
    <x v="8"/>
    <n v="124"/>
    <n v="2"/>
    <n v="249"/>
    <s v="Cash"/>
    <x v="7"/>
    <s v="Spicy"/>
  </r>
  <r>
    <s v="BC20697"/>
    <x v="310"/>
    <x v="10"/>
    <d v="1899-12-30T19:34:00"/>
    <s v="Burger Camp, Pune"/>
    <s v="Zara Patil"/>
    <d v="1993-12-24T00:00:00"/>
    <x v="17"/>
    <n v="162"/>
    <n v="1"/>
    <n v="163"/>
    <s v="UPI"/>
    <x v="6"/>
    <s v="Servd late"/>
  </r>
  <r>
    <s v="BC20698"/>
    <x v="89"/>
    <x v="11"/>
    <d v="1899-12-30T21:18:00"/>
    <s v="Burger Camp, Pune"/>
    <s v="Riya Joshi"/>
    <d v="1991-04-10T00:00:00"/>
    <x v="14"/>
    <n v="236"/>
    <n v="2"/>
    <n v="474"/>
    <s v="Card"/>
    <x v="1"/>
    <s v="Spicy"/>
  </r>
  <r>
    <s v="BC20699"/>
    <x v="15"/>
    <x v="2"/>
    <d v="1899-12-30T17:21:00"/>
    <s v="Burger Camp, Pune"/>
    <s v="Sneha Joshi"/>
    <d v="2001-09-04T00:00:00"/>
    <x v="10"/>
    <n v="208"/>
    <n v="2"/>
    <n v="418"/>
    <s v="Card"/>
    <x v="6"/>
    <s v="Spicy"/>
  </r>
  <r>
    <s v="BC20700"/>
    <x v="166"/>
    <x v="5"/>
    <d v="1899-12-30T11:01:00"/>
    <s v="Burger Camp, Pune"/>
    <s v="Aarav Kulkarni"/>
    <d v="1986-11-16T00:00:00"/>
    <x v="2"/>
    <n v="218"/>
    <n v="1"/>
    <n v="218"/>
    <s v="Card"/>
    <x v="6"/>
    <s v="Spicy"/>
  </r>
  <r>
    <s v="BC20701"/>
    <x v="108"/>
    <x v="9"/>
    <d v="1899-12-30T15:16:49"/>
    <s v="Burger Camp, Pune"/>
    <s v="Kiran Kulkarni"/>
    <d v="1998-03-18T00:00:00"/>
    <x v="11"/>
    <n v="153"/>
    <n v="1"/>
    <n v="154"/>
    <s v="UPI"/>
    <x v="6"/>
    <s v="repeat customer"/>
  </r>
  <r>
    <s v="BC20702"/>
    <x v="289"/>
    <x v="11"/>
    <d v="1899-12-30T13:57:33"/>
    <s v="Burger Camp, Pune"/>
    <s v="Aisha Kulkarni"/>
    <d v="1996-11-23T00:00:00"/>
    <x v="7"/>
    <n v="162"/>
    <n v="1"/>
    <n v="100"/>
    <s v="UPI"/>
    <x v="6"/>
    <s v="Less salt"/>
  </r>
  <r>
    <s v="BC20703"/>
    <x v="107"/>
    <x v="6"/>
    <d v="1899-12-30T15:38:54"/>
    <s v="Burger Camp, Pune"/>
    <s v="Zaid Naik"/>
    <d v="1990-07-15T00:00:00"/>
    <x v="4"/>
    <n v="174"/>
    <n v="1"/>
    <n v="175"/>
    <s v="UPI"/>
    <x v="3"/>
    <s v="Less salt"/>
  </r>
  <r>
    <s v="BC20704"/>
    <x v="76"/>
    <x v="7"/>
    <d v="1899-12-30T12:41:09"/>
    <s v="Burger Camp, Pune"/>
    <s v="Mubin Shaikh"/>
    <d v="1993-11-16T00:00:00"/>
    <x v="10"/>
    <n v="166"/>
    <n v="1"/>
    <n v="166"/>
    <s v="UPI"/>
    <x v="5"/>
    <s v="Less salt"/>
  </r>
  <r>
    <s v="BC20705"/>
    <x v="305"/>
    <x v="6"/>
    <d v="1899-12-30T12:01:00"/>
    <s v="Burger Camp, Pune"/>
    <s v="Aisha Deshmukh"/>
    <d v="2005-01-04T00:00:00"/>
    <x v="19"/>
    <n v="241"/>
    <n v="1"/>
    <n v="242"/>
    <s v="Cash"/>
    <x v="2"/>
    <s v="Extra cheese"/>
  </r>
  <r>
    <s v="BC20706"/>
    <x v="55"/>
    <x v="5"/>
    <d v="1899-12-30T13:11:26"/>
    <s v="Burger Camp, Pune"/>
    <s v="Sneha Naik"/>
    <d v="1984-02-28T00:00:00"/>
    <x v="5"/>
    <n v="210"/>
    <n v="2"/>
    <n v="421"/>
    <s v="Card"/>
    <x v="1"/>
    <s v="Less salt"/>
  </r>
  <r>
    <s v="BC20707"/>
    <x v="48"/>
    <x v="6"/>
    <d v="1899-12-30T21:10:48"/>
    <s v="Burger Camp, Pune"/>
    <s v="Sneha Kulkarni"/>
    <d v="2006-02-27T00:00:00"/>
    <x v="1"/>
    <n v="202"/>
    <n v="3"/>
    <n v="607"/>
    <s v="Wallet"/>
    <x v="6"/>
    <s v="Custmer complaned"/>
  </r>
  <r>
    <s v="BC20708"/>
    <x v="311"/>
    <x v="0"/>
    <d v="1899-12-30T10:28:00"/>
    <s v="Burger Camp, Pune"/>
    <s v="Rahul Kulkarni"/>
    <d v="2006-02-27T00:00:00"/>
    <x v="1"/>
    <n v="246"/>
    <n v="1"/>
    <n v="246"/>
    <s v="Cash "/>
    <x v="4"/>
    <s v="Extra cheese"/>
  </r>
  <r>
    <s v="BC20709"/>
    <x v="143"/>
    <x v="10"/>
    <d v="1899-12-30T19:14:00"/>
    <s v="Burger Camp, Pune"/>
    <s v="Farhan Joshi"/>
    <d v="1980-04-12T00:00:00"/>
    <x v="4"/>
    <n v="225"/>
    <n v="1"/>
    <n v="226"/>
    <s v="Cash "/>
    <x v="4"/>
    <s v="Less salt"/>
  </r>
  <r>
    <s v="BC20710"/>
    <x v="312"/>
    <x v="7"/>
    <d v="1899-12-30T14:54:15"/>
    <s v="Burger Camp, Pune"/>
    <s v=" Sneha Gore "/>
    <d v="2004-01-12T00:00:00"/>
    <x v="23"/>
    <n v="216"/>
    <n v="3"/>
    <n v="651"/>
    <s v="Cash"/>
    <x v="1"/>
    <s v="Spicy"/>
  </r>
  <r>
    <s v="BC20711"/>
    <x v="313"/>
    <x v="7"/>
    <d v="1899-12-30T13:04:30"/>
    <s v="Burger Camp, Pune"/>
    <s v="Anil Gore"/>
    <d v="1970-07-06T00:00:00"/>
    <x v="16"/>
    <n v="193"/>
    <n v="2"/>
    <n v="388"/>
    <s v="UPI"/>
    <x v="7"/>
    <s v="Spicy"/>
  </r>
  <r>
    <s v="BC20712"/>
    <x v="73"/>
    <x v="1"/>
    <d v="1899-12-30T14:24:00"/>
    <s v="Burger Camp, Pune"/>
    <s v="Aisha Khan"/>
    <d v="1970-07-06T00:00:00"/>
    <x v="7"/>
    <n v="319"/>
    <n v="1"/>
    <n v="358"/>
    <s v="Card"/>
    <x v="2"/>
    <s v="Extra cheese"/>
  </r>
  <r>
    <s v="BC20713"/>
    <x v="277"/>
    <x v="1"/>
    <d v="1899-12-30T21:49:00"/>
    <s v="Burger Camp, Pune"/>
    <s v="Zara Shaikh"/>
    <d v="1973-09-28T00:00:00"/>
    <x v="9"/>
    <n v="282"/>
    <n v="2"/>
    <n v="565"/>
    <s v="Card"/>
    <x v="3"/>
    <s v="Extra cheese"/>
  </r>
  <r>
    <s v="BC20714"/>
    <x v="63"/>
    <x v="10"/>
    <d v="1899-12-30T17:02:27"/>
    <s v="Burger Camp, Pune"/>
    <s v="Kiran Deshmukh"/>
    <d v="1983-04-25T00:00:00"/>
    <x v="9"/>
    <n v="176"/>
    <n v="3"/>
    <n v="531"/>
    <s v="Wallet"/>
    <x v="3"/>
    <s v="Servd late"/>
  </r>
  <r>
    <s v="BC20715"/>
    <x v="292"/>
    <x v="11"/>
    <d v="1899-12-30T12:25:00"/>
    <s v="Burger Camp, Pune"/>
    <s v="Aarav Kulkarni"/>
    <d v="2007-03-12T00:00:00"/>
    <x v="19"/>
    <n v="336"/>
    <n v="1"/>
    <n v="100"/>
    <s v="UPI"/>
    <x v="3"/>
    <s v="Custmer complaned"/>
  </r>
  <r>
    <s v="BC20716"/>
    <x v="47"/>
    <x v="4"/>
    <d v="1899-12-30T13:37:48"/>
    <s v="Burger Camp, Pune"/>
    <s v="Sneha Khan"/>
    <d v="2007-03-12T00:00:00"/>
    <x v="21"/>
    <n v="216"/>
    <n v="2"/>
    <n v="433"/>
    <s v="Cash"/>
    <x v="2"/>
    <s v="repeat customer"/>
  </r>
  <r>
    <s v="BC20717"/>
    <x v="278"/>
    <x v="8"/>
    <d v="1899-12-30T23:18:00"/>
    <s v="Burger Camp, Pune"/>
    <s v="Aarav Joshi"/>
    <d v="1975-10-08T00:00:00"/>
    <x v="17"/>
    <n v="158"/>
    <n v="1"/>
    <n v="158"/>
    <s v="Cash"/>
    <x v="5"/>
    <s v="Servd late"/>
  </r>
  <r>
    <s v="BC20718"/>
    <x v="314"/>
    <x v="9"/>
    <d v="1899-12-30T20:47:00"/>
    <s v="Burger Camp, Pune"/>
    <s v="Pooja Deshmukh"/>
    <d v="1991-12-12T00:00:00"/>
    <x v="16"/>
    <n v="162"/>
    <n v="1"/>
    <n v="162"/>
    <s v="Wallet"/>
    <x v="0"/>
    <s v="No onion"/>
  </r>
  <r>
    <s v="BC20719"/>
    <x v="135"/>
    <x v="11"/>
    <d v="1899-12-30T14:45:05"/>
    <s v="Burger Camp, Pune"/>
    <s v="Anil Patil"/>
    <d v="1994-06-09T00:00:00"/>
    <x v="24"/>
    <n v="136"/>
    <n v="1"/>
    <n v="136"/>
    <s v="UPI"/>
    <x v="5"/>
    <s v="Custmer complaned"/>
  </r>
  <r>
    <s v="BC20720"/>
    <x v="315"/>
    <x v="9"/>
    <d v="1899-12-30T15:54:00"/>
    <s v="Burger Camp, Pune"/>
    <s v="Rahul Kulkarni"/>
    <d v="2001-10-20T00:00:00"/>
    <x v="17"/>
    <n v="141"/>
    <n v="2"/>
    <n v="283"/>
    <s v="UPI"/>
    <x v="7"/>
    <s v="Custmer complaned"/>
  </r>
  <r>
    <s v="BC20721"/>
    <x v="162"/>
    <x v="6"/>
    <d v="1899-12-30T12:22:55"/>
    <s v="Burger Camp, Pune"/>
    <s v="Rahul Shinde"/>
    <d v="1978-07-18T00:00:00"/>
    <x v="25"/>
    <n v="141"/>
    <n v="2"/>
    <n v="283"/>
    <s v="Card"/>
    <x v="6"/>
    <s v="Custmer complaned"/>
  </r>
  <r>
    <s v="BC20722"/>
    <x v="236"/>
    <x v="8"/>
    <d v="1899-12-30T13:20:00"/>
    <s v="Burger Camp, Pune"/>
    <s v=" Zara Khan "/>
    <d v="1984-08-18T00:00:00"/>
    <x v="25"/>
    <n v="219"/>
    <n v="2"/>
    <n v="440"/>
    <s v="Card"/>
    <x v="0"/>
    <s v="Custmer complaned"/>
  </r>
  <r>
    <s v="BC20723"/>
    <x v="25"/>
    <x v="9"/>
    <d v="1899-12-30T20:56:00"/>
    <s v="Burger Camp, Pune"/>
    <s v="Zaid Kulkarni"/>
    <d v="1974-06-22T00:00:00"/>
    <x v="1"/>
    <n v="204"/>
    <n v="1"/>
    <n v="205"/>
    <s v="UPI"/>
    <x v="5"/>
    <s v="Custmer complaned"/>
  </r>
  <r>
    <s v="BC20724"/>
    <x v="14"/>
    <x v="7"/>
    <d v="1899-12-30T10:21:00"/>
    <s v="Burger Camp, Pune"/>
    <s v="Riya Joshi"/>
    <d v="2007-09-08T00:00:00"/>
    <x v="6"/>
    <n v="102"/>
    <n v="2"/>
    <n v="204"/>
    <s v="Card"/>
    <x v="5"/>
    <s v="Custmer complaned"/>
  </r>
  <r>
    <s v="BC20725"/>
    <x v="316"/>
    <x v="4"/>
    <d v="1899-12-30T15:13:32"/>
    <s v="Burger Camp, Pune"/>
    <s v="Kiran Gore"/>
    <d v="2000-04-19T00:00:00"/>
    <x v="6"/>
    <n v="82"/>
    <n v="3"/>
    <n v="246"/>
    <s v="Card"/>
    <x v="5"/>
    <s v="Custmer complaned"/>
  </r>
  <r>
    <s v="BC20726"/>
    <x v="46"/>
    <x v="0"/>
    <d v="1899-12-30T22:44:00"/>
    <s v="Burger Camp, Pune"/>
    <s v="Rahul Deshmukh"/>
    <d v="1996-07-07T00:00:00"/>
    <x v="14"/>
    <n v="329"/>
    <n v="3"/>
    <n v="988"/>
    <s v="UPI"/>
    <x v="0"/>
    <s v="Servd late"/>
  </r>
  <r>
    <s v="BC20727"/>
    <x v="269"/>
    <x v="7"/>
    <d v="1899-12-30T17:05:00"/>
    <s v="Burger Camp, Pune"/>
    <s v="Aarav Kulkarni"/>
    <d v="2009-05-06T00:00:00"/>
    <x v="19"/>
    <n v="321"/>
    <n v="2"/>
    <n v="643"/>
    <s v="UPI"/>
    <x v="6"/>
    <s v="Extra cheese"/>
  </r>
  <r>
    <s v="BC20728"/>
    <x v="184"/>
    <x v="9"/>
    <d v="1899-12-30T19:21:00"/>
    <s v="Burger Camp, Pune"/>
    <s v="pooja joshi"/>
    <d v="2008-09-06T00:00:00"/>
    <x v="3"/>
    <n v="92"/>
    <n v="3"/>
    <n v="276"/>
    <s v="Cash"/>
    <x v="0"/>
    <s v="repeat customer"/>
  </r>
  <r>
    <s v="BC20729"/>
    <x v="181"/>
    <x v="0"/>
    <d v="1899-12-30T20:07:00"/>
    <s v="Burger Camp, Pune"/>
    <s v="Rahul Gore"/>
    <d v="1973-02-13T00:00:00"/>
    <x v="22"/>
    <n v="94"/>
    <n v="1"/>
    <n v="95"/>
    <s v="UPI"/>
    <x v="0"/>
    <s v="Custmer complaned"/>
  </r>
  <r>
    <s v="BC20730"/>
    <x v="148"/>
    <x v="5"/>
    <d v="1899-12-30T13:01:00"/>
    <s v="Burger Camp, Pune"/>
    <s v="Rahul Khan"/>
    <d v="1974-08-06T00:00:00"/>
    <x v="22"/>
    <n v="51"/>
    <n v="1"/>
    <n v="51"/>
    <s v="Card"/>
    <x v="3"/>
    <s v="Custmer complaned"/>
  </r>
  <r>
    <s v="BC20731"/>
    <x v="252"/>
    <x v="0"/>
    <d v="1899-12-30T16:34:00"/>
    <s v="Burger Camp, Pune"/>
    <s v="Zara Shaikh"/>
    <d v="1994-02-06T00:00:00"/>
    <x v="21"/>
    <n v="183"/>
    <n v="2"/>
    <n v="367"/>
    <s v="UPI"/>
    <x v="3"/>
    <s v="Custmer complaned"/>
  </r>
  <r>
    <s v="BC20732"/>
    <x v="308"/>
    <x v="1"/>
    <d v="1899-12-30T10:05:00"/>
    <s v="Burger Camp, Pune"/>
    <s v="Aisha Naik"/>
    <d v="1994-02-06T00:00:00"/>
    <x v="19"/>
    <n v="356"/>
    <n v="2"/>
    <n v="712"/>
    <s v="Cash"/>
    <x v="4"/>
    <s v="repeat customer"/>
  </r>
  <r>
    <s v="BC20733"/>
    <x v="131"/>
    <x v="0"/>
    <d v="1899-12-30T12:58:48"/>
    <s v="Burger Camp, Pune"/>
    <s v="Riya Deshmukh"/>
    <d v="1989-01-12T00:00:00"/>
    <x v="15"/>
    <n v="130"/>
    <n v="2"/>
    <n v="262"/>
    <s v="UPI"/>
    <x v="1"/>
    <s v="Servd late"/>
  </r>
  <r>
    <s v="BC20734"/>
    <x v="162"/>
    <x v="6"/>
    <d v="1899-12-30T13:33:23"/>
    <s v="Burger Camp, Pune"/>
    <s v="Aisha Deshmukh"/>
    <d v="1978-04-14T00:00:00"/>
    <x v="17"/>
    <n v="143"/>
    <n v="1"/>
    <n v="143"/>
    <s v="Cash "/>
    <x v="3"/>
    <s v="Servd late"/>
  </r>
  <r>
    <s v="BC20735"/>
    <x v="132"/>
    <x v="9"/>
    <d v="1899-12-30T19:39:00"/>
    <s v="Burger Camp, Pune"/>
    <s v="Zaid Deshmukh"/>
    <d v="2006-10-14T00:00:00"/>
    <x v="7"/>
    <n v="152"/>
    <n v="2"/>
    <n v="304"/>
    <s v="Cash "/>
    <x v="6"/>
    <s v="Spicy"/>
  </r>
  <r>
    <s v="BC20736"/>
    <x v="255"/>
    <x v="1"/>
    <d v="1899-12-30T10:19:00"/>
    <s v="Burger Camp, Pune"/>
    <s v="Anil Kulkarni"/>
    <d v="1986-10-27T00:00:00"/>
    <x v="11"/>
    <n v="237"/>
    <n v="1"/>
    <n v="237"/>
    <s v="Cash "/>
    <x v="0"/>
    <s v="Spicy"/>
  </r>
  <r>
    <s v="BC20737"/>
    <x v="262"/>
    <x v="0"/>
    <d v="1899-12-30T22:19:00"/>
    <s v="Burger Camp, Pune"/>
    <s v="Kiran Joshi"/>
    <d v="1986-10-27T00:00:00"/>
    <x v="18"/>
    <n v="106"/>
    <n v="2"/>
    <n v="214"/>
    <s v="UPI"/>
    <x v="7"/>
    <s v="Spicy"/>
  </r>
  <r>
    <s v="BC20738"/>
    <x v="82"/>
    <x v="0"/>
    <d v="1899-12-30T14:58:00"/>
    <s v="Burger Camp, Pune"/>
    <s v="zara patil"/>
    <d v="1991-04-01T00:00:00"/>
    <x v="9"/>
    <n v="200"/>
    <n v="1"/>
    <n v="200"/>
    <s v="UPI"/>
    <x v="3"/>
    <s v="Extra cheese"/>
  </r>
  <r>
    <s v="BC20739"/>
    <x v="35"/>
    <x v="3"/>
    <d v="1899-12-30T13:40:00"/>
    <s v="Burger Camp, Pune"/>
    <s v="Pooja Gore"/>
    <d v="2003-07-19T00:00:00"/>
    <x v="21"/>
    <n v="189"/>
    <n v="1"/>
    <n v="190"/>
    <s v="UPI"/>
    <x v="1"/>
    <s v="Extra cheese"/>
  </r>
  <r>
    <s v="BC20740"/>
    <x v="37"/>
    <x v="5"/>
    <d v="1899-12-30T13:41:00"/>
    <s v="Burger Camp, Pune"/>
    <s v="pooja shinde"/>
    <d v="2006-11-06T00:00:00"/>
    <x v="7"/>
    <n v="277"/>
    <n v="2"/>
    <n v="556"/>
    <s v="Cash"/>
    <x v="7"/>
    <s v="Extra cheese"/>
  </r>
  <r>
    <s v="BC20741"/>
    <x v="37"/>
    <x v="5"/>
    <d v="1899-12-30T21:34:00"/>
    <s v="Burger Camp, Pune"/>
    <s v="Riya Shinde"/>
    <d v="1970-12-27T00:00:00"/>
    <x v="22"/>
    <n v="249"/>
    <n v="1"/>
    <n v="250"/>
    <s v="Card"/>
    <x v="7"/>
    <s v="Servd late"/>
  </r>
  <r>
    <s v="BC20742"/>
    <x v="108"/>
    <x v="9"/>
    <d v="1899-12-30T10:38:00"/>
    <s v="Burger Camp, Pune"/>
    <s v="Rahul Shinde"/>
    <d v="2004-12-03T00:00:00"/>
    <x v="13"/>
    <n v="125"/>
    <n v="2"/>
    <m/>
    <s v="Cash "/>
    <x v="5"/>
    <s v="Less salt"/>
  </r>
  <r>
    <s v="BC20743"/>
    <x v="135"/>
    <x v="11"/>
    <d v="1899-12-30T14:07:34"/>
    <s v="Burger Camp, Pune"/>
    <s v="Aarav Joshi"/>
    <d v="2004-03-06T00:00:00"/>
    <x v="10"/>
    <n v="333"/>
    <n v="2"/>
    <n v="667"/>
    <s v="Cash"/>
    <x v="6"/>
    <s v="Less salt"/>
  </r>
  <r>
    <s v="BC20744"/>
    <x v="135"/>
    <x v="11"/>
    <d v="1899-12-30T16:20:00"/>
    <s v="Burger Camp, Pune"/>
    <s v="Aisha Shinde"/>
    <d v="1988-12-14T00:00:00"/>
    <x v="11"/>
    <n v="170"/>
    <n v="1"/>
    <n v="170"/>
    <s v="Cash"/>
    <x v="5"/>
    <s v="Less salt"/>
  </r>
  <r>
    <s v="BC20745"/>
    <x v="48"/>
    <x v="6"/>
    <d v="1899-12-30T19:10:00"/>
    <s v="Burger Camp, Pune"/>
    <s v="Aisha Shaikh"/>
    <d v="2004-12-27T00:00:00"/>
    <x v="2"/>
    <n v="285"/>
    <n v="3"/>
    <n v="826"/>
    <s v="Wallet"/>
    <x v="3"/>
    <s v="No onion"/>
  </r>
  <r>
    <s v="BC20746"/>
    <x v="317"/>
    <x v="3"/>
    <d v="1899-12-30T10:18:00"/>
    <s v="Burger Camp, Pune"/>
    <s v="Kiran Patil"/>
    <d v="2004-12-27T00:00:00"/>
    <x v="14"/>
    <n v="183"/>
    <n v="1"/>
    <n v="184"/>
    <s v="Card"/>
    <x v="6"/>
    <s v="No onion"/>
  </r>
  <r>
    <s v="BC20747"/>
    <x v="147"/>
    <x v="10"/>
    <d v="1899-12-30T23:39:36"/>
    <s v="Burger Camp, Pune"/>
    <s v="Aisha Joshi"/>
    <d v="2001-07-14T00:00:00"/>
    <x v="21"/>
    <n v="194"/>
    <n v="2"/>
    <n v="389"/>
    <s v="Cash"/>
    <x v="4"/>
    <s v="repeat customer"/>
  </r>
  <r>
    <s v="BC20748"/>
    <x v="84"/>
    <x v="2"/>
    <d v="1899-12-30T23:03:00"/>
    <s v="Burger Camp, Pune"/>
    <s v="Aarav Deshmukh"/>
    <d v="1970-06-02T00:00:00"/>
    <x v="13"/>
    <n v="194"/>
    <n v="1"/>
    <n v="389"/>
    <s v="UPI"/>
    <x v="5"/>
    <s v="Less salt"/>
  </r>
  <r>
    <s v="BC20749"/>
    <x v="84"/>
    <x v="2"/>
    <d v="1899-12-30T15:08:00"/>
    <s v="Burger Camp, Pune"/>
    <s v="Anil Shinde"/>
    <d v="1999-06-19T00:00:00"/>
    <x v="6"/>
    <n v="82"/>
    <n v="2"/>
    <n v="166"/>
    <s v="Cash "/>
    <x v="7"/>
    <s v="Spicy"/>
  </r>
  <r>
    <s v="BC20750"/>
    <x v="270"/>
    <x v="5"/>
    <d v="1899-12-30T21:18:59"/>
    <s v="Burger Camp, Pune"/>
    <s v="Riya Kulkarni"/>
    <d v="2010-09-04T00:00:00"/>
    <x v="17"/>
    <n v="161"/>
    <n v="2"/>
    <n v="322"/>
    <s v="Cash "/>
    <x v="5"/>
    <s v="Servd late"/>
  </r>
  <r>
    <s v="BC20751"/>
    <x v="292"/>
    <x v="11"/>
    <d v="1899-12-30T13:51:00"/>
    <s v="Burger Camp, Pune"/>
    <s v="Zaid Patil"/>
    <d v="1998-01-10T00:00:00"/>
    <x v="21"/>
    <n v="173"/>
    <n v="1"/>
    <n v="153"/>
    <s v="Card"/>
    <x v="0"/>
    <s v="Servd late"/>
  </r>
  <r>
    <s v="BC20752"/>
    <x v="259"/>
    <x v="3"/>
    <d v="1899-12-30T15:33:00"/>
    <s v="Burger Camp, Pune"/>
    <s v="Aarav Shinde"/>
    <d v="1974-04-08T00:00:00"/>
    <x v="13"/>
    <n v="126"/>
    <n v="1"/>
    <n v="127"/>
    <s v="Card"/>
    <x v="0"/>
    <s v="repeat customer"/>
  </r>
  <r>
    <s v="BC20753"/>
    <x v="72"/>
    <x v="10"/>
    <d v="1899-12-30T19:13:27"/>
    <s v="Burger Camp, Pune"/>
    <s v="Zaid Shaikh"/>
    <d v="1990-12-20T00:00:00"/>
    <x v="4"/>
    <n v="211"/>
    <n v="2"/>
    <n v="423"/>
    <s v="Card"/>
    <x v="7"/>
    <s v="Less salt"/>
  </r>
  <r>
    <s v="BC20754"/>
    <x v="214"/>
    <x v="11"/>
    <d v="1899-12-30T19:11:00"/>
    <s v="Burger Camp, Pune"/>
    <s v="Zara Shinde"/>
    <d v="1982-03-23T00:00:00"/>
    <x v="7"/>
    <n v="44"/>
    <n v="2"/>
    <n v="88"/>
    <s v="Card"/>
    <x v="0"/>
    <s v="Spicy"/>
  </r>
  <r>
    <s v="BC20755"/>
    <x v="137"/>
    <x v="10"/>
    <d v="1899-12-30T13:39:00"/>
    <s v="Burger Camp, Pune"/>
    <s v="Sneha Joshi"/>
    <d v="1979-01-05T00:00:00"/>
    <x v="19"/>
    <n v="289"/>
    <n v="2"/>
    <n v="578"/>
    <s v="UPI"/>
    <x v="5"/>
    <s v="Spicy"/>
  </r>
  <r>
    <s v="BC20756"/>
    <x v="88"/>
    <x v="1"/>
    <d v="1899-12-30T15:53:00"/>
    <s v="Burger Camp, Pune"/>
    <s v="Farhan Patil"/>
    <d v="1998-06-14T00:00:00"/>
    <x v="12"/>
    <n v="219"/>
    <n v="2"/>
    <n v="439"/>
    <s v="UPI"/>
    <x v="3"/>
    <s v="Spicy"/>
  </r>
  <r>
    <s v="BC20757"/>
    <x v="113"/>
    <x v="4"/>
    <d v="1899-12-30T13:04:00"/>
    <s v="Burger Camp, Pune"/>
    <s v="Rahul Khan"/>
    <d v="1998-06-14T00:00:00"/>
    <x v="23"/>
    <n v="72"/>
    <n v="3"/>
    <n v="216"/>
    <s v="Cash "/>
    <x v="1"/>
    <s v="Extra cheese"/>
  </r>
  <r>
    <s v="BC20758"/>
    <x v="0"/>
    <x v="0"/>
    <d v="1899-12-30T21:03:08"/>
    <s v="Burger Camp, Pune"/>
    <s v="Anil Khan"/>
    <d v="2000-06-17T00:00:00"/>
    <x v="8"/>
    <n v="52"/>
    <n v="1"/>
    <n v="53"/>
    <s v="Card"/>
    <x v="0"/>
    <s v="Custmer complaned"/>
  </r>
  <r>
    <s v="BC20759"/>
    <x v="318"/>
    <x v="9"/>
    <d v="1899-12-30T19:28:17"/>
    <s v="Burger Camp, Pune"/>
    <s v="Zara More"/>
    <d v="2003-04-19T00:00:00"/>
    <x v="9"/>
    <n v="84"/>
    <n v="2"/>
    <n v="155"/>
    <s v="Wallet"/>
    <x v="3"/>
    <s v="repeat customer"/>
  </r>
  <r>
    <s v="BC20760"/>
    <x v="126"/>
    <x v="4"/>
    <d v="1899-12-30T12:47:00"/>
    <s v="Burger Camp, Pune"/>
    <s v="Anil Deshmukh"/>
    <d v="2005-10-23T00:00:00"/>
    <x v="16"/>
    <n v="193"/>
    <n v="2"/>
    <n v="387"/>
    <s v="UPI"/>
    <x v="3"/>
    <s v="Less salt"/>
  </r>
  <r>
    <s v="BC20761"/>
    <x v="217"/>
    <x v="6"/>
    <d v="1899-12-30T17:19:00"/>
    <s v="Burger Camp, Pune"/>
    <s v="Sneha Shinde"/>
    <d v="2002-12-16T00:00:00"/>
    <x v="2"/>
    <n v="258"/>
    <n v="2"/>
    <n v="518"/>
    <s v="Card"/>
    <x v="4"/>
    <s v="Custmer complaned"/>
  </r>
  <r>
    <s v="BC20762"/>
    <x v="309"/>
    <x v="6"/>
    <d v="1899-12-30T14:29:00"/>
    <s v="Burger Camp, Pune"/>
    <s v="Zara Kulkarni"/>
    <d v="1995-01-25T00:00:00"/>
    <x v="2"/>
    <n v="308"/>
    <n v="1"/>
    <n v="328"/>
    <s v="UPI"/>
    <x v="0"/>
    <s v="No onion"/>
  </r>
  <r>
    <s v="BC20763"/>
    <x v="108"/>
    <x v="9"/>
    <d v="1899-12-30T11:26:20"/>
    <s v="Burger Camp, Pune"/>
    <s v="Farhan More"/>
    <d v="1987-06-16T00:00:00"/>
    <x v="14"/>
    <n v="237"/>
    <n v="2"/>
    <n v="475"/>
    <s v="UPI"/>
    <x v="7"/>
    <s v="Extra cheese"/>
  </r>
  <r>
    <s v="BC20764"/>
    <x v="87"/>
    <x v="1"/>
    <d v="1899-12-30T15:16:00"/>
    <s v="Burger Camp, Pune"/>
    <s v="Sneha Patil"/>
    <d v="1987-06-16T00:00:00"/>
    <x v="23"/>
    <n v="52"/>
    <n v="2"/>
    <n v="105"/>
    <s v="Card"/>
    <x v="6"/>
    <s v="Extra cheese"/>
  </r>
  <r>
    <s v="BC20765"/>
    <x v="312"/>
    <x v="7"/>
    <d v="1899-12-30T19:19:51"/>
    <s v="Burger Camp, Pune"/>
    <s v="Sneha Joshi"/>
    <d v="1981-01-26T00:00:00"/>
    <x v="21"/>
    <n v="250"/>
    <n v="2"/>
    <n v="501"/>
    <s v="Card"/>
    <x v="6"/>
    <s v="Extra cheese"/>
  </r>
  <r>
    <s v="BC20766"/>
    <x v="250"/>
    <x v="3"/>
    <d v="1899-12-30T12:35:00"/>
    <s v="Burger Camp, Pune"/>
    <s v="Riya Shinde"/>
    <d v="1970-05-11T00:00:00"/>
    <x v="17"/>
    <n v="167"/>
    <n v="1"/>
    <n v="167"/>
    <s v="Card"/>
    <x v="5"/>
    <s v="Spicy"/>
  </r>
  <r>
    <s v="BC20767"/>
    <x v="85"/>
    <x v="0"/>
    <d v="1899-12-30T12:45:39"/>
    <s v="Burger Camp, Pune"/>
    <s v="Anil Patil"/>
    <d v="1972-04-03T00:00:00"/>
    <x v="9"/>
    <n v="53"/>
    <n v="2"/>
    <n v="107"/>
    <s v="Card"/>
    <x v="2"/>
    <s v="Servd late"/>
  </r>
  <r>
    <s v="BC20768"/>
    <x v="30"/>
    <x v="3"/>
    <d v="1899-12-30T18:57:00"/>
    <s v="Burger Camp, Pune"/>
    <s v="Anil Kulkarni"/>
    <d v="2002-09-25T00:00:00"/>
    <x v="15"/>
    <n v="130"/>
    <n v="2"/>
    <n v="293"/>
    <s v="UPI"/>
    <x v="7"/>
    <s v="Spicy"/>
  </r>
  <r>
    <s v="BC20769"/>
    <x v="319"/>
    <x v="4"/>
    <d v="1899-12-30T14:59:00"/>
    <s v="Burger Camp, Pune"/>
    <s v=" Mubin More "/>
    <d v="1995-03-27T00:00:00"/>
    <x v="19"/>
    <n v="361"/>
    <n v="1"/>
    <n v="362"/>
    <s v="Card"/>
    <x v="7"/>
    <s v="repeat customer"/>
  </r>
  <r>
    <s v="BC20770"/>
    <x v="36"/>
    <x v="0"/>
    <d v="1899-12-30T16:59:00"/>
    <s v="Burger Camp, Pune"/>
    <s v="Sneha More"/>
    <d v="1991-12-12T00:00:00"/>
    <x v="11"/>
    <n v="228"/>
    <n v="2"/>
    <n v="456"/>
    <s v="Card"/>
    <x v="5"/>
    <s v="repeat customer"/>
  </r>
  <r>
    <s v="BC20771"/>
    <x v="143"/>
    <x v="10"/>
    <d v="1899-12-30T19:20:45"/>
    <s v="Burger Camp, Pune"/>
    <s v="Mubin More"/>
    <d v="1982-10-17T00:00:00"/>
    <x v="24"/>
    <n v="152"/>
    <n v="2"/>
    <n v="306"/>
    <s v="UPI"/>
    <x v="3"/>
    <s v="repeat customer"/>
  </r>
  <r>
    <s v="BC20772"/>
    <x v="5"/>
    <x v="2"/>
    <d v="1899-12-30T18:32:28"/>
    <s v="Burger Camp, Pune"/>
    <s v="riya kulkarni"/>
    <d v="1971-11-16T00:00:00"/>
    <x v="12"/>
    <n v="328"/>
    <n v="3"/>
    <n v="985"/>
    <s v="UPI"/>
    <x v="1"/>
    <s v="repeat customer"/>
  </r>
  <r>
    <s v="BC20773"/>
    <x v="80"/>
    <x v="3"/>
    <d v="1899-12-30T20:52:00"/>
    <s v="Burger Camp, Pune"/>
    <s v="Zaid Deshmukh"/>
    <d v="2008-01-28T00:00:00"/>
    <x v="7"/>
    <n v="97"/>
    <n v="2"/>
    <n v="194"/>
    <s v="UPI"/>
    <x v="5"/>
    <s v="Less salt"/>
  </r>
  <r>
    <s v="BC20774"/>
    <x v="89"/>
    <x v="11"/>
    <d v="1899-12-30T17:20:00"/>
    <s v="Burger Camp, Pune"/>
    <s v="Zara Deshmukh"/>
    <d v="1984-04-11T00:00:00"/>
    <x v="10"/>
    <n v="343"/>
    <n v="2"/>
    <n v="686"/>
    <s v="Card"/>
    <x v="3"/>
    <s v="No onion"/>
  </r>
  <r>
    <s v="BC20775"/>
    <x v="279"/>
    <x v="2"/>
    <d v="1899-12-30T18:17:45"/>
    <s v="Burger Camp, Pune"/>
    <s v="Anil Khan"/>
    <d v="2004-04-04T00:00:00"/>
    <x v="22"/>
    <n v="150"/>
    <n v="3"/>
    <n v="450"/>
    <s v="UPI"/>
    <x v="1"/>
    <s v="Extra cheese"/>
  </r>
  <r>
    <s v="BC20776"/>
    <x v="320"/>
    <x v="6"/>
    <d v="1899-12-30T19:28:00"/>
    <s v="Burger Camp, Pune"/>
    <s v="Sneha Joshi"/>
    <d v="2010-05-12T00:00:00"/>
    <x v="21"/>
    <n v="244"/>
    <n v="1"/>
    <n v="244"/>
    <s v="Card"/>
    <x v="6"/>
    <s v="Less salt"/>
  </r>
  <r>
    <s v="BC20777"/>
    <x v="268"/>
    <x v="2"/>
    <d v="1899-12-30T23:07:00"/>
    <s v="Burger Camp, Pune"/>
    <s v="Pooja Shinde"/>
    <d v="2008-12-22T00:00:00"/>
    <x v="15"/>
    <n v="174"/>
    <n v="1"/>
    <n v="174"/>
    <s v="UPI"/>
    <x v="2"/>
    <s v="No onion"/>
  </r>
  <r>
    <s v="BC20778"/>
    <x v="5"/>
    <x v="2"/>
    <d v="1899-12-30T18:15:37"/>
    <s v="Burger Camp, Pune"/>
    <s v="Zaid Khan"/>
    <d v="1989-05-26T00:00:00"/>
    <x v="4"/>
    <n v="216"/>
    <n v="3"/>
    <n v="648"/>
    <s v="Cash"/>
    <x v="2"/>
    <s v="Extra cheese"/>
  </r>
  <r>
    <s v="BC20779"/>
    <x v="281"/>
    <x v="8"/>
    <d v="1899-12-30T18:42:06"/>
    <s v="Burger Camp, Pune"/>
    <s v="Zara Kulkarni"/>
    <d v="1988-02-08T00:00:00"/>
    <x v="15"/>
    <n v="123"/>
    <n v="1"/>
    <n v="123"/>
    <s v="Wallet"/>
    <x v="4"/>
    <s v="Extra cheese"/>
  </r>
  <r>
    <s v="BC20780"/>
    <x v="21"/>
    <x v="8"/>
    <d v="1899-12-30T21:01:00"/>
    <s v="Burger Camp, Pune"/>
    <s v="Kiran Gore"/>
    <d v="1977-09-07T00:00:00"/>
    <x v="8"/>
    <n v="44"/>
    <n v="1"/>
    <n v="45"/>
    <s v="UPI"/>
    <x v="3"/>
    <s v="Less salt"/>
  </r>
  <r>
    <s v="BC20781"/>
    <x v="272"/>
    <x v="10"/>
    <d v="1899-12-30T11:57:00"/>
    <s v="Burger Camp, Pune"/>
    <s v="Pooja Deshmukh"/>
    <d v="2001-06-20T00:00:00"/>
    <x v="11"/>
    <n v="207"/>
    <n v="2"/>
    <n v="402"/>
    <s v="Card"/>
    <x v="0"/>
    <s v="Custmer complaned"/>
  </r>
  <r>
    <s v="BC20782"/>
    <x v="71"/>
    <x v="3"/>
    <d v="1899-12-30T23:03:00"/>
    <s v="Burger Camp, Pune"/>
    <s v="Zaid Joshi"/>
    <d v="1983-02-19T00:00:00"/>
    <x v="4"/>
    <n v="202"/>
    <n v="2"/>
    <m/>
    <s v="Card"/>
    <x v="5"/>
    <s v="Spicy"/>
  </r>
  <r>
    <s v="BC20783"/>
    <x v="308"/>
    <x v="1"/>
    <d v="1899-12-30T23:59:50"/>
    <s v="Burger Camp, Pune"/>
    <s v="Anil Naik"/>
    <d v="1991-12-12T00:00:00"/>
    <x v="14"/>
    <n v="91"/>
    <n v="2"/>
    <n v="184"/>
    <s v="UPI"/>
    <x v="2"/>
    <s v="No onion"/>
  </r>
  <r>
    <s v="BC20784"/>
    <x v="30"/>
    <x v="3"/>
    <d v="1899-12-30T18:33:00"/>
    <s v="Burger Camp, Pune"/>
    <s v="farhan joshi"/>
    <d v="1970-05-01T00:00:00"/>
    <x v="12"/>
    <n v="277"/>
    <n v="2"/>
    <n v="555"/>
    <s v="Wallet"/>
    <x v="1"/>
    <s v="Servd late"/>
  </r>
  <r>
    <s v="BC20785"/>
    <x v="261"/>
    <x v="3"/>
    <d v="1899-12-30T13:27:00"/>
    <s v="Burger Camp, Pune"/>
    <s v="Zaid Patil"/>
    <d v="1970-08-26T00:00:00"/>
    <x v="22"/>
    <n v="106"/>
    <n v="1"/>
    <n v="106"/>
    <s v="Wallet"/>
    <x v="4"/>
    <s v="No onion"/>
  </r>
  <r>
    <s v="BC20786"/>
    <x v="255"/>
    <x v="1"/>
    <d v="1899-12-30T21:47:00"/>
    <s v="Burger Camp, Pune"/>
    <s v="zaid khan"/>
    <d v="1981-09-14T00:00:00"/>
    <x v="3"/>
    <n v="339"/>
    <n v="2"/>
    <n v="669"/>
    <s v="Card"/>
    <x v="3"/>
    <s v="Extra cheese"/>
  </r>
  <r>
    <s v="BC20787"/>
    <x v="259"/>
    <x v="3"/>
    <d v="1899-12-30T16:57:00"/>
    <s v="Burger Camp, Pune"/>
    <s v="Aisha Kulkarni"/>
    <d v="1978-05-02T00:00:00"/>
    <x v="3"/>
    <n v="240"/>
    <n v="1"/>
    <n v="240"/>
    <s v="Cash "/>
    <x v="4"/>
    <s v="Less salt"/>
  </r>
  <r>
    <s v="BC20788"/>
    <x v="309"/>
    <x v="6"/>
    <d v="1899-12-30T20:11:00"/>
    <s v="Burger Camp, Pune"/>
    <s v="Rahul Deshmukh"/>
    <d v="1983-03-08T00:00:00"/>
    <x v="16"/>
    <n v="154"/>
    <n v="1"/>
    <n v="154"/>
    <s v="UPI"/>
    <x v="0"/>
    <s v="Less salt"/>
  </r>
  <r>
    <s v="BC20789"/>
    <x v="272"/>
    <x v="10"/>
    <d v="1899-12-30T21:51:37"/>
    <s v="Burger Camp, Pune"/>
    <s v="Riya Deshmukh"/>
    <d v="2000-11-28T00:00:00"/>
    <x v="20"/>
    <n v="302"/>
    <n v="2"/>
    <n v="605"/>
    <s v="Card"/>
    <x v="7"/>
    <s v="Less salt"/>
  </r>
  <r>
    <s v="BC20790"/>
    <x v="306"/>
    <x v="9"/>
    <d v="1899-12-30T22:15:00"/>
    <s v="Burger Camp, Pune"/>
    <s v="Rahul Khan"/>
    <d v="1989-02-09T00:00:00"/>
    <x v="20"/>
    <n v="261"/>
    <n v="1"/>
    <n v="261"/>
    <s v="UPI"/>
    <x v="3"/>
    <s v="Less salt"/>
  </r>
  <r>
    <s v="BC20791"/>
    <x v="275"/>
    <x v="1"/>
    <d v="1899-12-30T14:12:00"/>
    <s v="Burger Camp, Pune"/>
    <s v="Zaid More"/>
    <d v="1976-06-16T00:00:00"/>
    <x v="2"/>
    <n v="292"/>
    <n v="3"/>
    <n v="878"/>
    <s v="Cash"/>
    <x v="0"/>
    <s v="No onion"/>
  </r>
  <r>
    <s v="BC20792"/>
    <x v="86"/>
    <x v="9"/>
    <d v="1899-12-30T14:36:00"/>
    <s v="Burger Camp, Pune"/>
    <s v="Kiran Joshi"/>
    <d v="2004-11-03T00:00:00"/>
    <x v="12"/>
    <n v="263"/>
    <n v="1"/>
    <n v="263"/>
    <s v="Cash"/>
    <x v="3"/>
    <s v="Extra cheese"/>
  </r>
  <r>
    <s v="BC20793"/>
    <x v="259"/>
    <x v="3"/>
    <d v="1899-12-30T23:30:00"/>
    <s v="Burger Camp, Pune"/>
    <s v="Aarav Kulkarni"/>
    <d v="1987-10-07T00:00:00"/>
    <x v="7"/>
    <n v="94"/>
    <n v="1"/>
    <n v="94"/>
    <s v="Card"/>
    <x v="0"/>
    <s v="Less salt"/>
  </r>
  <r>
    <s v="BC20794"/>
    <x v="19"/>
    <x v="8"/>
    <d v="1899-12-30T12:47:00"/>
    <s v="Burger Camp, Pune"/>
    <s v="zara naik"/>
    <d v="2006-05-17T00:00:00"/>
    <x v="15"/>
    <n v="131"/>
    <n v="3"/>
    <n v="393"/>
    <s v="Card"/>
    <x v="5"/>
    <s v="No onion"/>
  </r>
  <r>
    <s v="BC20795"/>
    <x v="306"/>
    <x v="9"/>
    <d v="1899-12-30T22:49:00"/>
    <s v="Burger Camp, Pune"/>
    <s v="Mubin Deshmukh"/>
    <d v="2008-05-24T00:00:00"/>
    <x v="13"/>
    <n v="100"/>
    <n v="1"/>
    <n v="101"/>
    <s v="Cash "/>
    <x v="1"/>
    <s v="Extra cheese"/>
  </r>
  <r>
    <s v="BC20796"/>
    <x v="321"/>
    <x v="5"/>
    <d v="1899-12-30T19:13:00"/>
    <s v="Burger Camp, Pune"/>
    <s v="Anil Kulkarni"/>
    <d v="2008-05-24T00:00:00"/>
    <x v="17"/>
    <n v="147"/>
    <n v="2"/>
    <n v="295"/>
    <s v="Cash"/>
    <x v="1"/>
    <s v="Extra cheese"/>
  </r>
  <r>
    <s v="BC20797"/>
    <x v="62"/>
    <x v="7"/>
    <d v="1899-12-30T23:49:12"/>
    <s v="Burger Camp, Pune"/>
    <s v="Rahul Shinde"/>
    <d v="1979-01-07T00:00:00"/>
    <x v="14"/>
    <n v="54"/>
    <n v="1"/>
    <n v="55"/>
    <s v="UPI"/>
    <x v="1"/>
    <s v="Custmer complaned"/>
  </r>
  <r>
    <s v="BC20798"/>
    <x v="251"/>
    <x v="11"/>
    <d v="1899-12-30T17:42:00"/>
    <s v="Burger Camp, Pune"/>
    <s v="Sneha Kulkarni"/>
    <d v="1988-02-04T00:00:00"/>
    <x v="14"/>
    <n v="149"/>
    <n v="2"/>
    <n v="300"/>
    <s v="Card"/>
    <x v="4"/>
    <s v="Custmer complaned"/>
  </r>
  <r>
    <s v="BC20799"/>
    <x v="283"/>
    <x v="5"/>
    <d v="1899-12-30T14:39:00"/>
    <s v="Burger Camp, Pune"/>
    <s v="Zaid Shaikh"/>
    <d v="1980-04-21T00:00:00"/>
    <x v="19"/>
    <n v="353"/>
    <n v="2"/>
    <n v="707"/>
    <s v="Card"/>
    <x v="3"/>
    <s v="Servd late"/>
  </r>
  <r>
    <s v="BC20800"/>
    <x v="236"/>
    <x v="8"/>
    <d v="1899-12-30T21:19:00"/>
    <s v="Burger Camp, Pune"/>
    <s v="Aarav Patil"/>
    <d v="1974-12-15T00:00:00"/>
    <x v="8"/>
    <n v="43"/>
    <n v="3"/>
    <n v="131"/>
    <s v="Card"/>
    <x v="0"/>
    <s v="Servd late"/>
  </r>
  <r>
    <s v="BC20801"/>
    <x v="205"/>
    <x v="1"/>
    <d v="1899-12-30T13:23:00"/>
    <s v="Burger Camp, Pune"/>
    <s v="Anil Patil"/>
    <d v="2010-12-03T00:00:00"/>
    <x v="4"/>
    <n v="155"/>
    <n v="2"/>
    <n v="310"/>
    <s v="Cash "/>
    <x v="1"/>
    <s v="Less salt"/>
  </r>
  <r>
    <s v="BC20802"/>
    <x v="197"/>
    <x v="11"/>
    <d v="1899-12-30T18:41:00"/>
    <s v="Burger Camp, Pune"/>
    <s v="Anil Khan"/>
    <d v="1976-01-01T00:00:00"/>
    <x v="3"/>
    <n v="237"/>
    <n v="3"/>
    <n v="711"/>
    <s v="UPI"/>
    <x v="3"/>
    <s v="Less salt"/>
  </r>
  <r>
    <s v="BC20803"/>
    <x v="96"/>
    <x v="8"/>
    <d v="1899-12-30T12:35:09"/>
    <s v="Burger Camp, Pune"/>
    <s v="Aarav Kulkarni"/>
    <d v="1979-09-07T00:00:00"/>
    <x v="19"/>
    <n v="239"/>
    <n v="1"/>
    <n v="239"/>
    <s v="Cash"/>
    <x v="2"/>
    <s v="Less salt"/>
  </r>
  <r>
    <s v="BC20804"/>
    <x v="73"/>
    <x v="1"/>
    <d v="1899-12-30T12:10:00"/>
    <s v="Burger Camp, Pune"/>
    <s v="Rahul Gore"/>
    <d v="1997-05-04T00:00:00"/>
    <x v="9"/>
    <n v="101"/>
    <n v="3"/>
    <n v="306"/>
    <s v="Card"/>
    <x v="4"/>
    <s v="Custmer complaned"/>
  </r>
  <r>
    <s v="BC20805"/>
    <x v="218"/>
    <x v="5"/>
    <d v="1899-12-30T22:48:00"/>
    <s v="Burger Camp, Pune"/>
    <s v="Kiran Naik"/>
    <d v="1999-05-24T00:00:00"/>
    <x v="21"/>
    <n v="196"/>
    <n v="1"/>
    <n v="197"/>
    <s v="Card"/>
    <x v="3"/>
    <s v="No onion"/>
  </r>
  <r>
    <s v="BC20806"/>
    <x v="101"/>
    <x v="7"/>
    <d v="1899-12-30T14:59:00"/>
    <s v="Burger Camp, Pune"/>
    <s v=" Aisha Deshmukh "/>
    <d v="1991-09-11T00:00:00"/>
    <x v="15"/>
    <n v="81"/>
    <n v="3"/>
    <n v="246"/>
    <s v="Card"/>
    <x v="3"/>
    <s v="No onion"/>
  </r>
  <r>
    <s v="BC20807"/>
    <x v="304"/>
    <x v="6"/>
    <d v="1899-12-30T10:24:00"/>
    <s v="Burger Camp, Pune"/>
    <s v="Aarav Deshmukh"/>
    <d v="1984-08-25T00:00:00"/>
    <x v="24"/>
    <n v="132"/>
    <n v="2"/>
    <m/>
    <s v="Cash "/>
    <x v="4"/>
    <s v="No onion"/>
  </r>
  <r>
    <s v="BC20808"/>
    <x v="314"/>
    <x v="9"/>
    <d v="1899-12-30T20:39:54"/>
    <s v="Burger Camp, Pune"/>
    <s v="Anil Naik"/>
    <d v="2001-03-11T00:00:00"/>
    <x v="25"/>
    <n v="132"/>
    <n v="1"/>
    <m/>
    <s v="Cash "/>
    <x v="1"/>
    <s v="Servd late"/>
  </r>
  <r>
    <s v="BC20809"/>
    <x v="260"/>
    <x v="1"/>
    <d v="1899-12-30T19:06:00"/>
    <s v="Burger Camp, Pune"/>
    <s v="Farhan Shinde"/>
    <d v="2001-03-11T00:00:00"/>
    <x v="13"/>
    <n v="98"/>
    <n v="3"/>
    <n v="295"/>
    <s v="Wallet"/>
    <x v="1"/>
    <s v="Servd late"/>
  </r>
  <r>
    <s v="BC20810"/>
    <x v="0"/>
    <x v="0"/>
    <d v="1899-12-30T18:24:00"/>
    <s v="Burger Camp, Pune"/>
    <s v="Anil Khan"/>
    <d v="1997-07-06T00:00:00"/>
    <x v="14"/>
    <n v="98"/>
    <n v="1"/>
    <n v="295"/>
    <s v="Card"/>
    <x v="2"/>
    <s v="Less salt"/>
  </r>
  <r>
    <s v="BC20811"/>
    <x v="217"/>
    <x v="6"/>
    <d v="1899-12-30T16:38:13"/>
    <s v="Burger Camp, Pune"/>
    <s v="Aarav Deshmukh"/>
    <d v="1992-01-07T00:00:00"/>
    <x v="21"/>
    <n v="178"/>
    <n v="1"/>
    <n v="179"/>
    <s v="Wallet"/>
    <x v="2"/>
    <s v="Less salt"/>
  </r>
  <r>
    <s v="BC20812"/>
    <x v="167"/>
    <x v="4"/>
    <d v="1899-12-30T19:03:00"/>
    <s v="Burger Camp, Pune"/>
    <s v="Kiran Khan"/>
    <d v="1991-07-04T00:00:00"/>
    <x v="15"/>
    <n v="74"/>
    <n v="1"/>
    <n v="75"/>
    <s v="Card"/>
    <x v="4"/>
    <s v="Spicy"/>
  </r>
  <r>
    <s v="BC20813"/>
    <x v="322"/>
    <x v="7"/>
    <d v="1899-12-30T20:40:29"/>
    <s v="Burger Camp, Pune"/>
    <s v="Rahul Shaikh"/>
    <d v="1998-12-10T00:00:00"/>
    <x v="10"/>
    <n v="249"/>
    <n v="2"/>
    <n v="499"/>
    <s v="Card"/>
    <x v="3"/>
    <s v="Spicy"/>
  </r>
  <r>
    <s v="BC20814"/>
    <x v="46"/>
    <x v="0"/>
    <d v="1899-12-30T11:08:00"/>
    <s v="Burger Camp, Pune"/>
    <s v="Sneha Kulkarni"/>
    <d v="1990-08-18T00:00:00"/>
    <x v="11"/>
    <n v="173"/>
    <n v="2"/>
    <n v="348"/>
    <s v="Wallet"/>
    <x v="3"/>
    <s v="Spicy"/>
  </r>
  <r>
    <s v="BC20815"/>
    <x v="222"/>
    <x v="7"/>
    <d v="1899-12-30T18:22:00"/>
    <s v="Burger Camp, Pune"/>
    <s v="Mubin Patil"/>
    <d v="1988-11-17T00:00:00"/>
    <x v="9"/>
    <n v="169"/>
    <n v="2"/>
    <n v="339"/>
    <s v="UPI"/>
    <x v="4"/>
    <s v="No onion"/>
  </r>
  <r>
    <s v="BC20816"/>
    <x v="226"/>
    <x v="7"/>
    <d v="1899-12-30T15:38:00"/>
    <s v="Burger Camp, Pune"/>
    <s v="Rahul Deshmukh"/>
    <d v="2000-09-23T00:00:00"/>
    <x v="8"/>
    <n v="42"/>
    <n v="2"/>
    <n v="86"/>
    <s v="UPI"/>
    <x v="2"/>
    <s v="Spicy"/>
  </r>
  <r>
    <s v="BC20817"/>
    <x v="292"/>
    <x v="11"/>
    <d v="1899-12-30T12:27:00"/>
    <s v="Burger Camp, Pune"/>
    <s v="Farhan Shaikh"/>
    <d v="1987-06-12T00:00:00"/>
    <x v="3"/>
    <n v="243"/>
    <n v="2"/>
    <n v="486"/>
    <s v="Cash "/>
    <x v="2"/>
    <s v="No onion"/>
  </r>
  <r>
    <s v="BC20818"/>
    <x v="130"/>
    <x v="5"/>
    <d v="1899-12-30T15:00:00"/>
    <s v="Burger Camp, Pune"/>
    <s v="Sneha Gore"/>
    <d v="1991-02-05T00:00:00"/>
    <x v="8"/>
    <n v="50"/>
    <n v="1"/>
    <n v="50"/>
    <s v="UPI"/>
    <x v="1"/>
    <s v="Spicy"/>
  </r>
  <r>
    <s v="BC20819"/>
    <x v="309"/>
    <x v="6"/>
    <d v="1899-12-30T23:50:42"/>
    <s v="Burger Camp, Pune"/>
    <s v="Aarav Patil"/>
    <d v="2001-08-18T00:00:00"/>
    <x v="17"/>
    <n v="162"/>
    <n v="2"/>
    <n v="325"/>
    <s v="Cash"/>
    <x v="4"/>
    <s v="Less salt"/>
  </r>
  <r>
    <s v="BC20820"/>
    <x v="131"/>
    <x v="0"/>
    <d v="1899-12-30T11:18:00"/>
    <s v="Burger Camp, Pune"/>
    <s v="Kiran Patil"/>
    <d v="1979-12-02T00:00:00"/>
    <x v="14"/>
    <n v="295"/>
    <n v="3"/>
    <m/>
    <s v="Card"/>
    <x v="3"/>
    <s v="Spicy"/>
  </r>
  <r>
    <s v="BC20821"/>
    <x v="93"/>
    <x v="5"/>
    <d v="1899-12-30T21:43:33"/>
    <s v="Burger Camp, Pune"/>
    <s v="Rahul Naik"/>
    <d v="2004-04-07T00:00:00"/>
    <x v="21"/>
    <n v="247"/>
    <n v="1"/>
    <n v="247"/>
    <s v="Card"/>
    <x v="7"/>
    <s v="Custmer complaned"/>
  </r>
  <r>
    <s v="BC20822"/>
    <x v="297"/>
    <x v="4"/>
    <d v="1899-12-30T10:35:23"/>
    <s v="Burger Camp, Pune"/>
    <s v="Anil Gore"/>
    <d v="1982-03-09T00:00:00"/>
    <x v="4"/>
    <n v="247"/>
    <n v="2"/>
    <n v="247"/>
    <s v="Card"/>
    <x v="6"/>
    <s v="Servd late"/>
  </r>
  <r>
    <s v="BC20823"/>
    <x v="323"/>
    <x v="2"/>
    <d v="1899-12-30T18:56:00"/>
    <s v="Burger Camp, Pune"/>
    <s v="Rahul Kulkarni"/>
    <d v="1972-05-09T00:00:00"/>
    <x v="6"/>
    <n v="98"/>
    <n v="2"/>
    <n v="197"/>
    <s v="Cash "/>
    <x v="6"/>
    <s v="Servd late"/>
  </r>
  <r>
    <s v="BC20824"/>
    <x v="196"/>
    <x v="1"/>
    <d v="1899-12-30T10:39:00"/>
    <s v="Burger Camp, Pune"/>
    <s v="Mubin Deshmukh"/>
    <d v="1988-08-04T00:00:00"/>
    <x v="11"/>
    <n v="228"/>
    <n v="1"/>
    <n v="229"/>
    <s v="Card"/>
    <x v="1"/>
    <s v="Servd late"/>
  </r>
  <r>
    <s v="BC20825"/>
    <x v="84"/>
    <x v="2"/>
    <d v="1899-12-30T22:33:00"/>
    <s v="Burger Camp, Pune"/>
    <s v="Mubin Gore"/>
    <d v="1994-08-12T00:00:00"/>
    <x v="19"/>
    <n v="295"/>
    <n v="3"/>
    <n v="888"/>
    <s v="Card"/>
    <x v="1"/>
    <s v="Servd late"/>
  </r>
  <r>
    <s v="BC20826"/>
    <x v="228"/>
    <x v="9"/>
    <d v="1899-12-30T18:23:15"/>
    <s v="Burger Camp, Pune"/>
    <s v="Riya Joshi"/>
    <d v="2002-03-10T00:00:00"/>
    <x v="16"/>
    <n v="188"/>
    <n v="1"/>
    <n v="238"/>
    <s v="UPI"/>
    <x v="2"/>
    <s v="Less salt"/>
  </r>
  <r>
    <s v="BC20827"/>
    <x v="301"/>
    <x v="8"/>
    <d v="1899-12-30T12:30:48"/>
    <s v="Burger Camp, Pune"/>
    <s v="Zaid Gore"/>
    <d v="1986-06-03T00:00:00"/>
    <x v="18"/>
    <n v="188"/>
    <n v="1"/>
    <n v="238"/>
    <s v="UPI"/>
    <x v="3"/>
    <s v="Extra cheese"/>
  </r>
  <r>
    <s v="BC20828"/>
    <x v="0"/>
    <x v="0"/>
    <d v="1899-12-30T18:55:00"/>
    <s v="Burger Camp, Pune"/>
    <s v="Pooja More"/>
    <d v="1977-02-25T00:00:00"/>
    <x v="2"/>
    <n v="207"/>
    <n v="1"/>
    <n v="207"/>
    <s v="Cash "/>
    <x v="3"/>
    <s v="Less salt"/>
  </r>
  <r>
    <s v="BC20829"/>
    <x v="200"/>
    <x v="10"/>
    <d v="1899-12-30T13:56:00"/>
    <s v="Burger Camp, Pune"/>
    <s v="Farhan More"/>
    <d v="1998-08-04T00:00:00"/>
    <x v="3"/>
    <n v="142"/>
    <n v="2"/>
    <n v="286"/>
    <s v="UPI"/>
    <x v="4"/>
    <s v="Less salt"/>
  </r>
  <r>
    <s v="BC20830"/>
    <x v="212"/>
    <x v="10"/>
    <d v="1899-12-30T10:39:45"/>
    <s v="Burger Camp, Pune"/>
    <s v="Sneha Patil"/>
    <d v="1978-11-13T00:00:00"/>
    <x v="11"/>
    <n v="224"/>
    <n v="1"/>
    <n v="38"/>
    <s v="Wallet"/>
    <x v="0"/>
    <s v="Extra cheese"/>
  </r>
  <r>
    <s v="BC20831"/>
    <x v="30"/>
    <x v="3"/>
    <d v="1899-12-30T11:58:00"/>
    <s v="Burger Camp, Pune"/>
    <s v="aisha shaikh"/>
    <d v="1979-07-01T00:00:00"/>
    <x v="3"/>
    <n v="224"/>
    <n v="3"/>
    <n v="674"/>
    <s v="Wallet"/>
    <x v="1"/>
    <s v="Spicy"/>
  </r>
  <r>
    <s v="BC20832"/>
    <x v="17"/>
    <x v="3"/>
    <d v="1899-12-30T17:36:05"/>
    <s v="Burger Camp, Pune"/>
    <s v="Zaid Joshi"/>
    <d v="1996-11-13T00:00:00"/>
    <x v="19"/>
    <n v="356"/>
    <n v="1"/>
    <n v="357"/>
    <s v="Cash "/>
    <x v="3"/>
    <s v="Spicy"/>
  </r>
  <r>
    <s v="BC20833"/>
    <x v="6"/>
    <x v="0"/>
    <d v="1899-12-30T10:51:00"/>
    <s v="Burger Camp, Pune"/>
    <s v="aisha patil"/>
    <d v="1991-12-12T00:00:00"/>
    <x v="19"/>
    <n v="310"/>
    <n v="1"/>
    <n v="311"/>
    <s v="Wallet"/>
    <x v="4"/>
    <s v="Servd late"/>
  </r>
  <r>
    <s v="BC20834"/>
    <x v="290"/>
    <x v="9"/>
    <d v="1899-12-30T16:38:00"/>
    <s v="Burger Camp, Pune"/>
    <s v="Aarav Shaikh"/>
    <d v="1972-10-02T00:00:00"/>
    <x v="25"/>
    <n v="234"/>
    <n v="2"/>
    <n v="470"/>
    <s v="Card"/>
    <x v="3"/>
    <s v="Extra cheese"/>
  </r>
  <r>
    <s v="BC20835"/>
    <x v="36"/>
    <x v="0"/>
    <d v="1899-12-30T14:45:00"/>
    <s v="Burger Camp, Pune"/>
    <s v="Pooja Deshmukh"/>
    <d v="1996-07-06T00:00:00"/>
    <x v="11"/>
    <n v="210"/>
    <n v="2"/>
    <n v="421"/>
    <s v="Card"/>
    <x v="4"/>
    <s v="No onion"/>
  </r>
  <r>
    <s v="BC20836"/>
    <x v="209"/>
    <x v="3"/>
    <d v="1899-12-30T20:35:00"/>
    <s v="Burger Camp, Pune"/>
    <s v="aisha joshi"/>
    <d v="2001-04-20T00:00:00"/>
    <x v="25"/>
    <n v="164"/>
    <n v="1"/>
    <n v="165"/>
    <s v="Card"/>
    <x v="1"/>
    <s v="No onion"/>
  </r>
  <r>
    <s v="BC20837"/>
    <x v="244"/>
    <x v="2"/>
    <d v="1899-12-30T20:33:00"/>
    <s v="Burger Camp, Pune"/>
    <s v="Zaid Joshi"/>
    <d v="1992-01-03T00:00:00"/>
    <x v="6"/>
    <n v="88"/>
    <n v="1"/>
    <n v="89"/>
    <s v="UPI"/>
    <x v="2"/>
    <s v="Spicy"/>
  </r>
  <r>
    <s v="BC20838"/>
    <x v="74"/>
    <x v="8"/>
    <d v="1899-12-30T17:18:00"/>
    <s v="Burger Camp, Pune"/>
    <s v="Riya Shinde"/>
    <d v="1990-06-20T00:00:00"/>
    <x v="6"/>
    <n v="94"/>
    <n v="1"/>
    <n v="94"/>
    <s v="Cash "/>
    <x v="1"/>
    <s v="Spicy"/>
  </r>
  <r>
    <s v="BC20839"/>
    <x v="17"/>
    <x v="3"/>
    <d v="1899-12-30T15:30:00"/>
    <s v="Burger Camp, Pune"/>
    <s v="riya gore"/>
    <d v="2007-06-28T00:00:00"/>
    <x v="17"/>
    <n v="139"/>
    <n v="1"/>
    <n v="167"/>
    <s v="Cash "/>
    <x v="3"/>
    <s v="Spicy"/>
  </r>
  <r>
    <s v="BC20840"/>
    <x v="47"/>
    <x v="4"/>
    <d v="1899-12-30T15:40:00"/>
    <s v="Burger Camp, Pune"/>
    <s v="Kiran Joshi"/>
    <d v="2007-04-01T00:00:00"/>
    <x v="22"/>
    <n v="109"/>
    <n v="3"/>
    <n v="329"/>
    <s v="UPI"/>
    <x v="4"/>
    <s v="Less salt"/>
  </r>
  <r>
    <s v="BC20841"/>
    <x v="233"/>
    <x v="9"/>
    <d v="1899-12-30T20:35:01"/>
    <s v="Burger Camp, Pune"/>
    <s v="sneha khan"/>
    <d v="2010-04-01T00:00:00"/>
    <x v="11"/>
    <n v="175"/>
    <n v="1"/>
    <n v="175"/>
    <s v="Card"/>
    <x v="7"/>
    <s v="Custmer complaned"/>
  </r>
  <r>
    <s v="BC20842"/>
    <x v="294"/>
    <x v="9"/>
    <d v="1899-12-30T16:43:49"/>
    <s v="Burger Camp, Pune"/>
    <s v="Anil Khan"/>
    <d v="2001-04-12T00:00:00"/>
    <x v="13"/>
    <n v="109"/>
    <n v="1"/>
    <n v="109"/>
    <s v="Wallet"/>
    <x v="7"/>
    <s v="Custmer complaned"/>
  </r>
  <r>
    <s v="BC20843"/>
    <x v="198"/>
    <x v="7"/>
    <d v="1899-12-30T20:35:00"/>
    <s v="Burger Camp, Pune"/>
    <s v="Sneha Deshmukh"/>
    <d v="1995-05-17T00:00:00"/>
    <x v="4"/>
    <n v="197"/>
    <n v="1"/>
    <n v="198"/>
    <s v="UPI"/>
    <x v="4"/>
    <s v="Custmer complaned"/>
  </r>
  <r>
    <s v="BC20844"/>
    <x v="72"/>
    <x v="10"/>
    <d v="1899-12-30T19:44:00"/>
    <s v="Burger Camp, Pune"/>
    <s v="aarav shinde"/>
    <d v="1989-06-26T00:00:00"/>
    <x v="6"/>
    <n v="101"/>
    <n v="3"/>
    <n v="306"/>
    <s v="UPI"/>
    <x v="6"/>
    <s v="Less salt"/>
  </r>
  <r>
    <s v="BC20845"/>
    <x v="167"/>
    <x v="4"/>
    <d v="1899-12-30T14:40:50"/>
    <s v="Burger Camp, Pune"/>
    <s v="Kiran Khan"/>
    <d v="1974-07-05T00:00:00"/>
    <x v="15"/>
    <n v="207"/>
    <n v="1"/>
    <n v="207"/>
    <s v="UPI"/>
    <x v="7"/>
    <s v="Less salt"/>
  </r>
  <r>
    <s v="BC20846"/>
    <x v="140"/>
    <x v="7"/>
    <d v="1899-12-30T13:05:00"/>
    <s v="Burger Camp, Pune"/>
    <s v="Aisha Shaikh"/>
    <d v="1992-10-01T00:00:00"/>
    <x v="13"/>
    <n v="97"/>
    <n v="3"/>
    <n v="292"/>
    <s v="Wallet"/>
    <x v="2"/>
    <s v="Servd late"/>
  </r>
  <r>
    <s v="BC20847"/>
    <x v="134"/>
    <x v="10"/>
    <d v="1899-12-30T14:40:48"/>
    <s v="Burger Camp, Pune"/>
    <s v="Aarav Gore"/>
    <d v="2007-04-11T00:00:00"/>
    <x v="16"/>
    <n v="204"/>
    <n v="1"/>
    <n v="204"/>
    <s v="Wallet"/>
    <x v="7"/>
    <s v="repeat customer"/>
  </r>
  <r>
    <s v="BC20848"/>
    <x v="259"/>
    <x v="3"/>
    <d v="1899-12-30T23:05:42"/>
    <s v="Burger Camp, Pune"/>
    <s v="Pooja Shinde"/>
    <d v="1980-07-09T00:00:00"/>
    <x v="18"/>
    <n v="110"/>
    <n v="3"/>
    <n v="331"/>
    <s v="UPI"/>
    <x v="4"/>
    <s v="Extra cheese"/>
  </r>
  <r>
    <s v="BC20849"/>
    <x v="14"/>
    <x v="7"/>
    <d v="1899-12-30T11:27:47"/>
    <s v="Burger Camp, Pune"/>
    <s v="Aarav Naik"/>
    <d v="2009-10-18T00:00:00"/>
    <x v="24"/>
    <n v="121"/>
    <n v="3"/>
    <n v="365"/>
    <s v="Cash"/>
    <x v="7"/>
    <s v="Extra cheese"/>
  </r>
  <r>
    <s v="BC20850"/>
    <x v="45"/>
    <x v="1"/>
    <d v="1899-12-30T20:18:00"/>
    <s v="Burger Camp, Pune"/>
    <s v="Aarav Patil"/>
    <d v="1995-05-12T00:00:00"/>
    <x v="12"/>
    <n v="245"/>
    <n v="1"/>
    <n v="246"/>
    <s v="Cash"/>
    <x v="7"/>
    <s v="Custmer complaned"/>
  </r>
  <r>
    <s v="BC20851"/>
    <x v="278"/>
    <x v="8"/>
    <d v="1899-12-30T20:19:15"/>
    <s v="Burger Camp, Pune"/>
    <s v="Zara Shinde"/>
    <d v="1972-11-21T00:00:00"/>
    <x v="16"/>
    <n v="145"/>
    <n v="2"/>
    <n v="291"/>
    <s v="Wallet"/>
    <x v="3"/>
    <s v="Custmer complaned"/>
  </r>
  <r>
    <s v="BC20852"/>
    <x v="317"/>
    <x v="3"/>
    <d v="1899-12-30T20:39:00"/>
    <s v="Burger Camp, Pune"/>
    <s v="Aarav Kulkarni"/>
    <d v="1979-03-04T00:00:00"/>
    <x v="24"/>
    <n v="121"/>
    <n v="2"/>
    <n v="242"/>
    <s v="Cash "/>
    <x v="2"/>
    <s v="No onion"/>
  </r>
  <r>
    <s v="BC20853"/>
    <x v="97"/>
    <x v="1"/>
    <d v="1899-12-30T14:17:00"/>
    <s v="Burger Camp, Pune"/>
    <s v="aarav patil"/>
    <d v="1994-12-26T00:00:00"/>
    <x v="25"/>
    <n v="207"/>
    <n v="1"/>
    <n v="207"/>
    <s v="Wallet"/>
    <x v="7"/>
    <s v="repeat customer"/>
  </r>
  <r>
    <s v="BC20854"/>
    <x v="52"/>
    <x v="11"/>
    <d v="1899-12-30T14:40:00"/>
    <s v="Burger Camp, Pune"/>
    <s v="Aisha Patil"/>
    <d v="2002-02-02T00:00:00"/>
    <x v="19"/>
    <n v="240"/>
    <n v="1"/>
    <n v="220"/>
    <s v="UPI"/>
    <x v="2"/>
    <s v="Less salt"/>
  </r>
  <r>
    <s v="BC20855"/>
    <x v="280"/>
    <x v="8"/>
    <d v="1899-12-30T20:46:00"/>
    <s v="Burger Camp, Pune"/>
    <s v="Zaid Kulkarni"/>
    <d v="1996-04-14T00:00:00"/>
    <x v="22"/>
    <n v="240"/>
    <n v="2"/>
    <n v="220"/>
    <s v="UPI"/>
    <x v="0"/>
    <s v="Less salt"/>
  </r>
  <r>
    <s v="BC20856"/>
    <x v="156"/>
    <x v="8"/>
    <d v="1899-12-30T15:08:05"/>
    <s v="Burger Camp, Pune"/>
    <s v="Aisha Shaikh"/>
    <d v="1970-08-04T00:00:00"/>
    <x v="12"/>
    <n v="237"/>
    <n v="3"/>
    <n v="713"/>
    <s v="Card"/>
    <x v="7"/>
    <s v="Servd late"/>
  </r>
  <r>
    <s v="BC20857"/>
    <x v="290"/>
    <x v="9"/>
    <d v="1899-12-30T19:25:22"/>
    <s v="Burger Camp, Pune"/>
    <s v="Zaid Shaikh"/>
    <d v="2001-02-08T00:00:00"/>
    <x v="10"/>
    <n v="344"/>
    <n v="2"/>
    <n v="688"/>
    <s v="Card"/>
    <x v="2"/>
    <s v="Servd late"/>
  </r>
  <r>
    <s v="BC20858"/>
    <x v="226"/>
    <x v="7"/>
    <d v="1899-12-30T18:54:00"/>
    <s v="Burger Camp, Pune"/>
    <s v="Pooja Naik"/>
    <d v="1978-04-22T00:00:00"/>
    <x v="17"/>
    <n v="125"/>
    <n v="1"/>
    <n v="126"/>
    <s v="Card"/>
    <x v="7"/>
    <s v="Spicy"/>
  </r>
  <r>
    <s v="BC20859"/>
    <x v="79"/>
    <x v="0"/>
    <d v="1899-12-30T12:18:00"/>
    <s v="Burger Camp, Pune"/>
    <s v="Mubin Gore"/>
    <d v="1978-04-22T00:00:00"/>
    <x v="13"/>
    <n v="109"/>
    <n v="2"/>
    <n v="219"/>
    <s v="Wallet"/>
    <x v="5"/>
    <s v="Extra cheese"/>
  </r>
  <r>
    <s v="BC20860"/>
    <x v="224"/>
    <x v="10"/>
    <d v="1899-12-30T20:38:00"/>
    <s v="Burger Camp, Pune"/>
    <s v="Riya Deshmukh"/>
    <d v="1975-06-19T00:00:00"/>
    <x v="3"/>
    <n v="157"/>
    <n v="2"/>
    <n v="315"/>
    <s v="Card"/>
    <x v="1"/>
    <s v="Extra cheese"/>
  </r>
  <r>
    <s v="BC20861"/>
    <x v="316"/>
    <x v="4"/>
    <d v="1899-12-30T14:30:00"/>
    <s v="Burger Camp, Pune"/>
    <s v="Riya Khan"/>
    <d v="2007-07-21T00:00:00"/>
    <x v="7"/>
    <n v="107"/>
    <n v="2"/>
    <n v="216"/>
    <s v="UPI"/>
    <x v="2"/>
    <s v="repeat customer"/>
  </r>
  <r>
    <s v="BC20862"/>
    <x v="87"/>
    <x v="1"/>
    <d v="1899-12-30T18:39:00"/>
    <s v="Burger Camp, Pune"/>
    <s v="Mubin Khan"/>
    <d v="2010-11-28T00:00:00"/>
    <x v="2"/>
    <n v="302"/>
    <n v="2"/>
    <n v="605"/>
    <s v="UPI"/>
    <x v="4"/>
    <s v="repeat customer"/>
  </r>
  <r>
    <s v="BC20863"/>
    <x v="109"/>
    <x v="6"/>
    <d v="1899-12-30T19:53:00"/>
    <s v="Burger Camp, Pune"/>
    <s v="Rahul Gore"/>
    <d v="1973-07-17T00:00:00"/>
    <x v="14"/>
    <n v="233"/>
    <n v="1"/>
    <n v="234"/>
    <s v="Wallet"/>
    <x v="1"/>
    <s v="repeat customer"/>
  </r>
  <r>
    <s v="BC20864"/>
    <x v="160"/>
    <x v="0"/>
    <d v="1899-12-30T14:37:00"/>
    <s v="Burger Camp, Pune"/>
    <s v="Anil Gore"/>
    <d v="1980-10-12T00:00:00"/>
    <x v="15"/>
    <n v="310"/>
    <n v="2"/>
    <n v="622"/>
    <s v="Wallet"/>
    <x v="3"/>
    <s v="Spicy"/>
  </r>
  <r>
    <s v="BC20865"/>
    <x v="34"/>
    <x v="1"/>
    <d v="1899-12-30T11:28:51"/>
    <s v="Burger Camp, Pune"/>
    <s v="Mubin Gore"/>
    <d v="2005-02-21T00:00:00"/>
    <x v="8"/>
    <n v="53"/>
    <n v="1"/>
    <n v="54"/>
    <s v="Cash "/>
    <x v="2"/>
    <s v="Custmer complaned"/>
  </r>
  <r>
    <s v="BC20866"/>
    <x v="43"/>
    <x v="3"/>
    <d v="1899-12-30T15:14:06"/>
    <s v="Burger Camp, Pune"/>
    <s v="Zaid Joshi"/>
    <d v="1970-08-20T00:00:00"/>
    <x v="22"/>
    <n v="133"/>
    <n v="1"/>
    <n v="134"/>
    <s v="UPI"/>
    <x v="1"/>
    <s v="Custmer complaned"/>
  </r>
  <r>
    <s v="BC20867"/>
    <x v="20"/>
    <x v="4"/>
    <d v="1899-12-30T15:41:00"/>
    <s v="Burger Camp, Pune"/>
    <s v="Zaid Deshmukh"/>
    <d v="1983-04-20T00:00:00"/>
    <x v="12"/>
    <n v="133"/>
    <n v="1"/>
    <n v="134"/>
    <s v="UPI"/>
    <x v="7"/>
    <s v="No onion"/>
  </r>
  <r>
    <s v="BC20868"/>
    <x v="303"/>
    <x v="11"/>
    <d v="1899-12-30T22:51:03"/>
    <s v="Burger Camp, Pune"/>
    <s v="Kiran Joshi"/>
    <d v="1990-05-01T00:00:00"/>
    <x v="20"/>
    <n v="262"/>
    <n v="2"/>
    <n v="524"/>
    <s v="Card"/>
    <x v="5"/>
    <s v="Custmer complaned"/>
  </r>
  <r>
    <s v="BC20869"/>
    <x v="216"/>
    <x v="4"/>
    <d v="1899-12-30T11:42:00"/>
    <s v="Burger Camp, Pune"/>
    <s v="Zaid Shaikh"/>
    <d v="1987-01-20T00:00:00"/>
    <x v="2"/>
    <n v="260"/>
    <n v="3"/>
    <n v="754"/>
    <s v="Card"/>
    <x v="1"/>
    <s v="Extra cheese"/>
  </r>
  <r>
    <s v="BC20870"/>
    <x v="324"/>
    <x v="0"/>
    <d v="1899-12-30T15:39:00"/>
    <s v="Burger Camp, Pune"/>
    <s v="Aisha Gore"/>
    <d v="2010-03-08T00:00:00"/>
    <x v="9"/>
    <n v="334"/>
    <n v="3"/>
    <n v="1004"/>
    <s v="Cash"/>
    <x v="4"/>
    <s v="Custmer complaned"/>
  </r>
  <r>
    <s v="BC20871"/>
    <x v="26"/>
    <x v="3"/>
    <d v="1899-12-30T14:00:24"/>
    <s v="Burger Camp, Pune"/>
    <s v="Kiran Patil"/>
    <d v="1996-04-07T00:00:00"/>
    <x v="13"/>
    <n v="100"/>
    <n v="1"/>
    <n v="100"/>
    <s v="Card"/>
    <x v="7"/>
    <s v="Spicy"/>
  </r>
  <r>
    <s v="BC20872"/>
    <x v="78"/>
    <x v="10"/>
    <d v="1899-12-30T16:39:00"/>
    <s v="Burger Camp, Pune"/>
    <s v="farhan shinde"/>
    <d v="1991-01-19T00:00:00"/>
    <x v="9"/>
    <n v="227"/>
    <n v="2"/>
    <n v="455"/>
    <s v="Card"/>
    <x v="6"/>
    <s v="repeat customer"/>
  </r>
  <r>
    <s v="BC20873"/>
    <x v="325"/>
    <x v="1"/>
    <d v="1899-12-30T11:51:00"/>
    <s v="Burger Camp, Pune"/>
    <s v="riya khan"/>
    <d v="2007-06-09T00:00:00"/>
    <x v="25"/>
    <n v="204"/>
    <n v="2"/>
    <n v="410"/>
    <s v="Card"/>
    <x v="6"/>
    <s v="Extra cheese"/>
  </r>
  <r>
    <s v="BC20874"/>
    <x v="129"/>
    <x v="9"/>
    <d v="1899-12-30T23:16:39"/>
    <s v="Burger Camp, Pune"/>
    <s v="mubin shaikh"/>
    <d v="2003-05-26T00:00:00"/>
    <x v="14"/>
    <n v="43"/>
    <n v="1"/>
    <n v="43"/>
    <s v="Cash "/>
    <x v="7"/>
    <s v="Spicy"/>
  </r>
  <r>
    <s v="BC20875"/>
    <x v="269"/>
    <x v="7"/>
    <d v="1899-12-30T15:39:00"/>
    <s v="Burger Camp, Pune"/>
    <s v=" Zaid Gore "/>
    <d v="1987-06-25T00:00:00"/>
    <x v="14"/>
    <n v="263"/>
    <n v="2"/>
    <n v="528"/>
    <s v="UPI"/>
    <x v="2"/>
    <s v="Spicy"/>
  </r>
  <r>
    <s v="BC20876"/>
    <x v="326"/>
    <x v="3"/>
    <d v="1899-12-30T23:08:00"/>
    <s v="Burger Camp, Pune"/>
    <s v="Kiran Joshi"/>
    <d v="2001-07-24T00:00:00"/>
    <x v="22"/>
    <n v="294"/>
    <n v="1"/>
    <n v="294"/>
    <s v="Card"/>
    <x v="4"/>
    <s v="Extra cheese"/>
  </r>
  <r>
    <s v="BC20877"/>
    <x v="326"/>
    <x v="3"/>
    <d v="1899-12-30T11:54:00"/>
    <s v="Burger Camp, Pune"/>
    <s v="Pooja Kulkarni"/>
    <d v="1975-10-21T00:00:00"/>
    <x v="11"/>
    <n v="230"/>
    <n v="2"/>
    <n v="460"/>
    <s v="Wallet"/>
    <x v="0"/>
    <s v="Less salt"/>
  </r>
  <r>
    <s v="BC20878"/>
    <x v="16"/>
    <x v="7"/>
    <d v="1899-12-30T13:40:38"/>
    <s v="Burger Camp, Pune"/>
    <s v="Zaid Kulkarni"/>
    <d v="1985-04-04T00:00:00"/>
    <x v="3"/>
    <n v="217"/>
    <n v="2"/>
    <n v="434"/>
    <s v="Wallet"/>
    <x v="0"/>
    <s v="Spicy"/>
  </r>
  <r>
    <s v="BC20879"/>
    <x v="116"/>
    <x v="11"/>
    <d v="1899-12-30T16:15:25"/>
    <s v="Burger Camp, Pune"/>
    <s v="Rahul Shinde"/>
    <d v="2005-10-16T00:00:00"/>
    <x v="9"/>
    <n v="211"/>
    <n v="1"/>
    <n v="211"/>
    <s v="Cash "/>
    <x v="5"/>
    <s v="Less salt"/>
  </r>
  <r>
    <s v="BC20880"/>
    <x v="178"/>
    <x v="4"/>
    <d v="1899-12-30T18:30:00"/>
    <s v="Burger Camp, Pune"/>
    <s v="anil patil"/>
    <d v="1996-08-12T00:00:00"/>
    <x v="16"/>
    <n v="204"/>
    <n v="1"/>
    <n v="204"/>
    <s v="Cash"/>
    <x v="0"/>
    <s v="Servd late"/>
  </r>
  <r>
    <s v="BC20881"/>
    <x v="81"/>
    <x v="9"/>
    <d v="1899-12-30T13:47:00"/>
    <s v="Burger Camp, Pune"/>
    <s v="Anil Shinde"/>
    <d v="1991-11-22T00:00:00"/>
    <x v="8"/>
    <n v="44"/>
    <n v="1"/>
    <n v="45"/>
    <s v="Cash"/>
    <x v="5"/>
    <s v="No onion"/>
  </r>
  <r>
    <s v="BC20882"/>
    <x v="11"/>
    <x v="5"/>
    <d v="1899-12-30T23:19:00"/>
    <s v="Burger Camp, Pune"/>
    <s v="Farhan Deshmukh"/>
    <d v="2008-09-19T00:00:00"/>
    <x v="3"/>
    <n v="127"/>
    <n v="2"/>
    <n v="254"/>
    <s v="Card"/>
    <x v="0"/>
    <s v="No onion"/>
  </r>
  <r>
    <s v="BC20883"/>
    <x v="150"/>
    <x v="4"/>
    <d v="1899-12-30T21:29:00"/>
    <s v="Burger Camp, Pune"/>
    <s v="Zaid Deshmukh"/>
    <d v="2008-09-19T00:00:00"/>
    <x v="4"/>
    <n v="213"/>
    <n v="2"/>
    <n v="427"/>
    <s v="Wallet"/>
    <x v="5"/>
    <s v="Spicy"/>
  </r>
  <r>
    <s v="BC20884"/>
    <x v="309"/>
    <x v="6"/>
    <d v="1899-12-30T16:58:00"/>
    <s v="Burger Camp, Pune"/>
    <s v="Farhan Naik"/>
    <d v="2009-09-14T00:00:00"/>
    <x v="19"/>
    <n v="303"/>
    <n v="1"/>
    <n v="303"/>
    <s v="Card"/>
    <x v="3"/>
    <s v="Custmer complaned"/>
  </r>
  <r>
    <s v="BC20885"/>
    <x v="293"/>
    <x v="4"/>
    <d v="1899-12-30T23:08:00"/>
    <s v="Burger Camp, Pune"/>
    <s v="Farhan Gore"/>
    <d v="1980-12-08T00:00:00"/>
    <x v="5"/>
    <n v="152"/>
    <n v="1"/>
    <n v="153"/>
    <s v="Card"/>
    <x v="1"/>
    <s v="Custmer complaned"/>
  </r>
  <r>
    <s v="BC20886"/>
    <x v="116"/>
    <x v="11"/>
    <d v="1899-12-30T15:32:00"/>
    <s v="Burger Camp, Pune"/>
    <s v="Anil Deshmukh"/>
    <d v="1975-06-07T00:00:00"/>
    <x v="15"/>
    <n v="240"/>
    <n v="1"/>
    <n v="240"/>
    <s v="UPI"/>
    <x v="2"/>
    <s v="Servd late"/>
  </r>
  <r>
    <s v="BC20887"/>
    <x v="327"/>
    <x v="2"/>
    <d v="1899-12-30T16:29:00"/>
    <s v="Burger Camp, Pune"/>
    <s v="Sneha Joshi"/>
    <d v="1976-10-08T00:00:00"/>
    <x v="25"/>
    <n v="251"/>
    <n v="1"/>
    <n v="251"/>
    <s v="Card"/>
    <x v="6"/>
    <s v="Less salt"/>
  </r>
  <r>
    <s v="BC20888"/>
    <x v="37"/>
    <x v="5"/>
    <d v="1899-12-30T12:04:32"/>
    <s v="Burger Camp, Pune"/>
    <s v="Sneha More"/>
    <d v="1975-05-24T00:00:00"/>
    <x v="4"/>
    <n v="169"/>
    <n v="2"/>
    <n v="339"/>
    <s v="Card"/>
    <x v="5"/>
    <s v="repeat customer"/>
  </r>
  <r>
    <s v="BC20889"/>
    <x v="70"/>
    <x v="1"/>
    <d v="1899-12-30T20:49:20"/>
    <s v="Burger Camp, Pune"/>
    <s v="Pooja Deshmukh"/>
    <d v="1985-12-26T00:00:00"/>
    <x v="9"/>
    <n v="113"/>
    <n v="1"/>
    <n v="114"/>
    <s v="Card"/>
    <x v="5"/>
    <s v="repeat customer"/>
  </r>
  <r>
    <s v="BC20890"/>
    <x v="105"/>
    <x v="3"/>
    <d v="1899-12-30T20:24:00"/>
    <s v="Burger Camp, Pune"/>
    <s v="mubin khan"/>
    <d v="2003-11-05T00:00:00"/>
    <x v="8"/>
    <n v="52"/>
    <n v="1"/>
    <n v="52"/>
    <s v="UPI"/>
    <x v="3"/>
    <s v="Extra cheese"/>
  </r>
  <r>
    <s v="BC20891"/>
    <x v="194"/>
    <x v="2"/>
    <d v="1899-12-30T17:36:00"/>
    <s v="Burger Camp, Pune"/>
    <s v="mubin khan"/>
    <d v="1978-11-26T00:00:00"/>
    <x v="10"/>
    <n v="305"/>
    <n v="2"/>
    <n v="611"/>
    <s v="UPI"/>
    <x v="7"/>
    <s v="Less salt"/>
  </r>
  <r>
    <s v="BC20892"/>
    <x v="239"/>
    <x v="6"/>
    <d v="1899-12-30T12:39:00"/>
    <s v="Burger Camp, Pune"/>
    <s v="Anil Shinde"/>
    <d v="1978-11-26T00:00:00"/>
    <x v="11"/>
    <n v="230"/>
    <n v="1"/>
    <n v="231"/>
    <s v="Card"/>
    <x v="7"/>
    <s v="Less salt"/>
  </r>
  <r>
    <s v="BC20893"/>
    <x v="124"/>
    <x v="10"/>
    <d v="1899-12-30T21:38:00"/>
    <s v="Burger Camp, Pune"/>
    <s v="aisha gore"/>
    <d v="2010-09-24T00:00:00"/>
    <x v="1"/>
    <n v="198"/>
    <n v="3"/>
    <n v="597"/>
    <s v="UPI"/>
    <x v="2"/>
    <s v="repeat customer"/>
  </r>
  <r>
    <s v="BC20894"/>
    <x v="65"/>
    <x v="11"/>
    <d v="1899-12-30T11:13:00"/>
    <s v="Burger Camp, Pune"/>
    <s v="Aarav Deshmukh"/>
    <d v="1978-10-01T00:00:00"/>
    <x v="21"/>
    <n v="244"/>
    <n v="3"/>
    <m/>
    <s v="Card"/>
    <x v="1"/>
    <s v="Custmer complaned"/>
  </r>
  <r>
    <s v="BC20895"/>
    <x v="111"/>
    <x v="2"/>
    <d v="1899-12-30T21:15:00"/>
    <s v="Burger Camp, Pune"/>
    <s v="Aisha Gore"/>
    <d v="1977-05-15T00:00:00"/>
    <x v="11"/>
    <n v="200"/>
    <n v="3"/>
    <n v="602"/>
    <s v="UPI"/>
    <x v="6"/>
    <s v="Extra cheese"/>
  </r>
  <r>
    <s v="BC20896"/>
    <x v="239"/>
    <x v="6"/>
    <d v="1899-12-30T23:40:00"/>
    <s v="Burger Camp, Pune"/>
    <s v="Zaid Shinde"/>
    <d v="2007-03-12T00:00:00"/>
    <x v="18"/>
    <n v="117"/>
    <n v="1"/>
    <n v="118"/>
    <s v="UPI"/>
    <x v="2"/>
    <s v="repeat customer"/>
  </r>
  <r>
    <s v="BC20897"/>
    <x v="328"/>
    <x v="2"/>
    <d v="1899-12-30T17:58:00"/>
    <s v="Burger Camp, Pune"/>
    <s v="pooja kulkarni"/>
    <d v="1987-06-26T00:00:00"/>
    <x v="7"/>
    <n v="85"/>
    <n v="2"/>
    <n v="171"/>
    <s v="UPI"/>
    <x v="7"/>
    <s v="repeat customer"/>
  </r>
  <r>
    <s v="BC20898"/>
    <x v="195"/>
    <x v="11"/>
    <d v="1899-12-30T11:43:00"/>
    <s v="Burger Camp, Pune"/>
    <s v="Kiran Naik"/>
    <d v="1980-07-15T00:00:00"/>
    <x v="8"/>
    <n v="41"/>
    <n v="2"/>
    <n v="82"/>
    <s v="UPI"/>
    <x v="6"/>
    <s v="repeat customer"/>
  </r>
  <r>
    <s v="BC20899"/>
    <x v="329"/>
    <x v="6"/>
    <d v="1899-12-30T22:03:00"/>
    <s v="Burger Camp, Pune"/>
    <s v="Farhan Kulkarni"/>
    <d v="1977-07-26T00:00:00"/>
    <x v="22"/>
    <n v="156"/>
    <n v="3"/>
    <n v="469"/>
    <s v="Cash"/>
    <x v="7"/>
    <s v="repeat customer"/>
  </r>
  <r>
    <s v="BC20900"/>
    <x v="40"/>
    <x v="0"/>
    <d v="1899-12-30T22:40:00"/>
    <s v="Burger Camp, Pune"/>
    <s v="aarav naik"/>
    <d v="1989-09-01T00:00:00"/>
    <x v="4"/>
    <n v="220"/>
    <n v="2"/>
    <n v="441"/>
    <s v="UPI"/>
    <x v="0"/>
    <s v="Extra cheese"/>
  </r>
  <r>
    <s v="BC20901"/>
    <x v="160"/>
    <x v="0"/>
    <d v="1899-12-30T23:17:00"/>
    <s v="Burger Camp, Pune"/>
    <s v="Zaid Patil"/>
    <d v="1991-12-07T00:00:00"/>
    <x v="12"/>
    <n v="287"/>
    <n v="1"/>
    <n v="288"/>
    <s v="Cash"/>
    <x v="3"/>
    <s v="No onion"/>
  </r>
  <r>
    <s v="BC20902"/>
    <x v="87"/>
    <x v="1"/>
    <d v="1899-12-30T18:15:00"/>
    <s v="Burger Camp, Pune"/>
    <s v="Kiran More"/>
    <d v="2005-03-03T00:00:00"/>
    <x v="6"/>
    <n v="102"/>
    <n v="2"/>
    <n v="205"/>
    <s v="Card"/>
    <x v="1"/>
    <s v="No onion"/>
  </r>
  <r>
    <s v="BC20903"/>
    <x v="20"/>
    <x v="4"/>
    <d v="1899-12-30T12:36:00"/>
    <s v="Burger Camp, Pune"/>
    <s v="Anil Naik"/>
    <d v="1980-06-07T00:00:00"/>
    <x v="18"/>
    <n v="109"/>
    <n v="1"/>
    <n v="110"/>
    <s v="Cash "/>
    <x v="7"/>
    <s v="Less salt"/>
  </r>
  <r>
    <s v="BC20904"/>
    <x v="330"/>
    <x v="0"/>
    <d v="1899-12-30T22:27:34"/>
    <s v="Burger Camp, Pune"/>
    <s v="Kiran More"/>
    <d v="2006-03-05T00:00:00"/>
    <x v="14"/>
    <n v="315"/>
    <n v="1"/>
    <n v="316"/>
    <s v="Card"/>
    <x v="7"/>
    <s v="Less salt"/>
  </r>
  <r>
    <s v="BC20905"/>
    <x v="265"/>
    <x v="4"/>
    <d v="1899-12-30T19:16:00"/>
    <s v="Burger Camp, Pune"/>
    <s v="Mubin Naik"/>
    <d v="1981-06-12T00:00:00"/>
    <x v="13"/>
    <n v="122"/>
    <n v="1"/>
    <n v="122"/>
    <s v="Wallet"/>
    <x v="3"/>
    <s v="Less salt"/>
  </r>
  <r>
    <s v="BC20906"/>
    <x v="104"/>
    <x v="1"/>
    <d v="1899-12-30T18:01:00"/>
    <s v="Burger Camp, Pune"/>
    <s v="Aisha Gore"/>
    <d v="2001-12-20T00:00:00"/>
    <x v="6"/>
    <n v="82"/>
    <n v="2"/>
    <n v="166"/>
    <s v="Cash "/>
    <x v="6"/>
    <s v="Extra cheese"/>
  </r>
  <r>
    <s v="BC20907"/>
    <x v="104"/>
    <x v="1"/>
    <d v="1899-12-30T11:16:00"/>
    <s v="Burger Camp, Pune"/>
    <s v="Pooja Shaikh"/>
    <d v="2007-08-24T00:00:00"/>
    <x v="15"/>
    <n v="296"/>
    <n v="1"/>
    <m/>
    <s v="UPI"/>
    <x v="1"/>
    <s v="Extra cheese"/>
  </r>
  <r>
    <s v="BC20908"/>
    <x v="218"/>
    <x v="5"/>
    <d v="1899-12-30T20:54:00"/>
    <s v="Burger Camp, Pune"/>
    <s v="Pooja Khan"/>
    <d v="1987-10-02T00:00:00"/>
    <x v="16"/>
    <n v="198"/>
    <n v="3"/>
    <n v="595"/>
    <s v="UPI"/>
    <x v="6"/>
    <s v="repeat customer"/>
  </r>
  <r>
    <s v="BC20909"/>
    <x v="151"/>
    <x v="11"/>
    <d v="1899-12-30T22:27:00"/>
    <s v="Burger Camp, Pune"/>
    <s v="Farhan Shinde"/>
    <d v="1972-08-02T00:00:00"/>
    <x v="2"/>
    <n v="233"/>
    <n v="2"/>
    <n v="467"/>
    <s v="UPI"/>
    <x v="7"/>
    <s v="Less salt"/>
  </r>
  <r>
    <s v="BC20910"/>
    <x v="129"/>
    <x v="9"/>
    <d v="1899-12-30T15:30:00"/>
    <s v="Burger Camp, Pune"/>
    <s v="Zara Deshmukh"/>
    <d v="1972-08-02T00:00:00"/>
    <x v="15"/>
    <n v="119"/>
    <n v="1"/>
    <n v="119"/>
    <s v="UPI"/>
    <x v="2"/>
    <s v="Less salt"/>
  </r>
  <r>
    <s v="BC20911"/>
    <x v="331"/>
    <x v="8"/>
    <d v="1899-12-30T18:11:54"/>
    <s v="Burger Camp, Pune"/>
    <s v="Sneha Deshmukh"/>
    <d v="2007-05-23T00:00:00"/>
    <x v="8"/>
    <n v="54"/>
    <n v="2"/>
    <n v="110"/>
    <s v="UPI"/>
    <x v="0"/>
    <s v="No onion"/>
  </r>
  <r>
    <s v="BC20912"/>
    <x v="17"/>
    <x v="3"/>
    <d v="1899-12-30T23:21:00"/>
    <s v="Burger Camp, Pune"/>
    <s v="Anil Deshmukh"/>
    <d v="1998-05-21T00:00:00"/>
    <x v="3"/>
    <n v="42"/>
    <n v="2"/>
    <n v="85"/>
    <s v="UPI"/>
    <x v="4"/>
    <s v="No onion"/>
  </r>
  <r>
    <s v="BC20913"/>
    <x v="332"/>
    <x v="11"/>
    <d v="1899-12-30T10:13:00"/>
    <s v="Burger Camp, Pune"/>
    <s v="Kiran Kulkarni"/>
    <d v="1998-12-14T00:00:00"/>
    <x v="19"/>
    <n v="267"/>
    <n v="2"/>
    <n v="536"/>
    <s v="Card"/>
    <x v="1"/>
    <s v="Spicy"/>
  </r>
  <r>
    <s v="BC20914"/>
    <x v="7"/>
    <x v="4"/>
    <d v="1899-12-30T16:00:00"/>
    <s v="Burger Camp, Pune"/>
    <s v="Rahul More"/>
    <d v="1988-08-16T00:00:00"/>
    <x v="8"/>
    <n v="38"/>
    <n v="2"/>
    <n v="76"/>
    <s v="UPI"/>
    <x v="3"/>
    <s v="No onion"/>
  </r>
  <r>
    <s v="BC20915"/>
    <x v="268"/>
    <x v="2"/>
    <d v="1899-12-30T18:33:00"/>
    <s v="Burger Camp, Pune"/>
    <s v="zaid kulkarni"/>
    <d v="2002-07-27T00:00:00"/>
    <x v="17"/>
    <n v="147"/>
    <n v="1"/>
    <n v="147"/>
    <s v="Wallet"/>
    <x v="5"/>
    <s v="repeat customer"/>
  </r>
  <r>
    <s v="BC20916"/>
    <x v="333"/>
    <x v="7"/>
    <d v="1899-12-30T19:46:45"/>
    <s v="Burger Camp, Pune"/>
    <s v="Kiran Khan"/>
    <d v="1977-12-20T00:00:00"/>
    <x v="5"/>
    <n v="113"/>
    <n v="1"/>
    <n v="100"/>
    <s v="Card"/>
    <x v="4"/>
    <s v="No onion"/>
  </r>
  <r>
    <s v="BC20917"/>
    <x v="329"/>
    <x v="6"/>
    <d v="1899-12-30T21:08:49"/>
    <s v="Burger Camp, Pune"/>
    <s v="Sneha Deshmukh"/>
    <d v="1977-07-19T00:00:00"/>
    <x v="23"/>
    <n v="196"/>
    <n v="3"/>
    <n v="590"/>
    <s v="Card"/>
    <x v="5"/>
    <s v="repeat customer"/>
  </r>
  <r>
    <s v="BC20918"/>
    <x v="334"/>
    <x v="1"/>
    <d v="1899-12-30T23:05:30"/>
    <s v="Burger Camp, Pune"/>
    <s v="Farhan Naik"/>
    <d v="1992-02-01T00:00:00"/>
    <x v="11"/>
    <n v="230"/>
    <n v="3"/>
    <n v="691"/>
    <s v="Card"/>
    <x v="6"/>
    <s v="No onion"/>
  </r>
  <r>
    <s v="BC20919"/>
    <x v="177"/>
    <x v="4"/>
    <d v="1899-12-30T23:31:00"/>
    <s v="Burger Camp, Pune"/>
    <s v="Riya Khan"/>
    <d v="1973-10-10T00:00:00"/>
    <x v="19"/>
    <n v="359"/>
    <n v="2"/>
    <n v="718"/>
    <s v="Card"/>
    <x v="0"/>
    <s v="No onion"/>
  </r>
  <r>
    <s v="BC20920"/>
    <x v="229"/>
    <x v="4"/>
    <d v="1899-12-30T23:03:00"/>
    <s v="Burger Camp, Pune"/>
    <s v="Anil Joshi"/>
    <d v="2007-12-15T00:00:00"/>
    <x v="10"/>
    <n v="221"/>
    <n v="2"/>
    <n v="443"/>
    <s v="Card"/>
    <x v="1"/>
    <s v="Extra cheese"/>
  </r>
  <r>
    <s v="BC20921"/>
    <x v="63"/>
    <x v="10"/>
    <d v="1899-12-30T19:19:44"/>
    <s v="Burger Camp, Pune"/>
    <s v="Aisha Joshi"/>
    <d v="1992-07-01T00:00:00"/>
    <x v="7"/>
    <n v="228"/>
    <n v="2"/>
    <n v="457"/>
    <s v="Card"/>
    <x v="7"/>
    <s v="Servd late"/>
  </r>
  <r>
    <s v="BC20922"/>
    <x v="187"/>
    <x v="9"/>
    <d v="1899-12-30T18:36:50"/>
    <s v="Burger Camp, Pune"/>
    <s v="Sneha Patil"/>
    <d v="1991-12-12T00:00:00"/>
    <x v="2"/>
    <n v="273"/>
    <n v="2"/>
    <n v="547"/>
    <s v="UPI"/>
    <x v="0"/>
    <s v="No onion"/>
  </r>
  <r>
    <s v="BC20923"/>
    <x v="67"/>
    <x v="7"/>
    <d v="1899-12-30T22:35:00"/>
    <s v="Burger Camp, Pune"/>
    <s v="Zara More"/>
    <d v="1998-10-12T00:00:00"/>
    <x v="11"/>
    <n v="184"/>
    <n v="1"/>
    <n v="191"/>
    <s v="Card"/>
    <x v="1"/>
    <s v="Spicy"/>
  </r>
  <r>
    <s v="BC20924"/>
    <x v="180"/>
    <x v="2"/>
    <d v="1899-12-30T12:42:00"/>
    <s v="Burger Camp, Pune"/>
    <s v="Zaid Kulkarni"/>
    <d v="1980-05-07T00:00:00"/>
    <x v="2"/>
    <n v="277"/>
    <n v="2"/>
    <n v="556"/>
    <s v="Wallet"/>
    <x v="5"/>
    <s v="repeat customer"/>
  </r>
  <r>
    <s v="BC20925"/>
    <x v="300"/>
    <x v="6"/>
    <d v="1899-12-30T13:21:00"/>
    <s v="Burger Camp, Pune"/>
    <s v="Zaid Shinde"/>
    <d v="1975-03-17T00:00:00"/>
    <x v="13"/>
    <n v="102"/>
    <n v="1"/>
    <n v="103"/>
    <s v="Cash"/>
    <x v="7"/>
    <s v="Spicy"/>
  </r>
  <r>
    <s v="BC20926"/>
    <x v="334"/>
    <x v="1"/>
    <d v="1899-12-30T12:33:00"/>
    <s v="Burger Camp, Pune"/>
    <s v="Farhan Joshi"/>
    <d v="1975-03-17T00:00:00"/>
    <x v="5"/>
    <n v="55"/>
    <n v="1"/>
    <n v="55"/>
    <s v="UPI"/>
    <x v="1"/>
    <s v="Less salt"/>
  </r>
  <r>
    <s v="BC20927"/>
    <x v="92"/>
    <x v="5"/>
    <d v="1899-12-30T11:39:45"/>
    <s v="Burger Camp, Pune"/>
    <s v="Rahul Deshmukh"/>
    <d v="2007-10-22T00:00:00"/>
    <x v="18"/>
    <n v="80"/>
    <n v="1"/>
    <n v="80"/>
    <s v="UPI"/>
    <x v="7"/>
    <s v="Custmer complaned"/>
  </r>
  <r>
    <s v="BC20928"/>
    <x v="30"/>
    <x v="3"/>
    <d v="1899-12-30T13:48:00"/>
    <s v="Burger Camp, Pune"/>
    <s v=" rahul kulkarni "/>
    <d v="1990-02-23T00:00:00"/>
    <x v="21"/>
    <n v="175"/>
    <n v="2"/>
    <n v="350"/>
    <s v="Cash "/>
    <x v="6"/>
    <s v="Spicy"/>
  </r>
  <r>
    <s v="BC20929"/>
    <x v="139"/>
    <x v="0"/>
    <d v="1899-12-30T10:55:56"/>
    <s v="Burger Camp, Pune"/>
    <s v="Zaid Deshmukh"/>
    <d v="1971-02-12T00:00:00"/>
    <x v="1"/>
    <n v="213"/>
    <n v="1"/>
    <n v="213"/>
    <s v="Card"/>
    <x v="6"/>
    <s v="Spicy"/>
  </r>
  <r>
    <s v="BC20930"/>
    <x v="170"/>
    <x v="7"/>
    <d v="1899-12-30T16:34:00"/>
    <s v="Burger Camp, Pune"/>
    <s v="aarav deshmukh"/>
    <d v="1986-06-15T00:00:00"/>
    <x v="25"/>
    <n v="186"/>
    <n v="3"/>
    <n v="560"/>
    <s v="Card"/>
    <x v="3"/>
    <s v="Extra cheese"/>
  </r>
  <r>
    <s v="BC20931"/>
    <x v="41"/>
    <x v="0"/>
    <d v="1899-12-30T19:08:00"/>
    <s v="Burger Camp, Pune"/>
    <s v="Rahul Patil"/>
    <d v="1986-06-15T00:00:00"/>
    <x v="13"/>
    <n v="118"/>
    <n v="3"/>
    <n v="356"/>
    <s v="Card"/>
    <x v="2"/>
    <s v="No onion"/>
  </r>
  <r>
    <s v="BC20932"/>
    <x v="218"/>
    <x v="5"/>
    <d v="1899-12-30T22:38:41"/>
    <s v="Burger Camp, Pune"/>
    <s v="Mubin Naik"/>
    <d v="1999-06-27T00:00:00"/>
    <x v="20"/>
    <n v="262"/>
    <n v="3"/>
    <n v="787"/>
    <s v="Card"/>
    <x v="3"/>
    <s v="Custmer complaned"/>
  </r>
  <r>
    <s v="BC20933"/>
    <x v="115"/>
    <x v="0"/>
    <d v="1899-12-30T21:28:00"/>
    <s v="Burger Camp, Pune"/>
    <s v="Zaid More"/>
    <d v="1986-05-07T00:00:00"/>
    <x v="18"/>
    <n v="78"/>
    <n v="2"/>
    <n v="157"/>
    <s v="Cash"/>
    <x v="3"/>
    <s v="Extra cheese"/>
  </r>
  <r>
    <s v="BC20934"/>
    <x v="103"/>
    <x v="7"/>
    <d v="1899-12-30T20:18:08"/>
    <s v="Burger Camp, Pune"/>
    <s v="Pooja Gore"/>
    <d v="2010-01-24T00:00:00"/>
    <x v="14"/>
    <n v="273"/>
    <n v="1"/>
    <n v="273"/>
    <s v="Cash"/>
    <x v="4"/>
    <s v="repeat customer"/>
  </r>
  <r>
    <s v="BC20935"/>
    <x v="329"/>
    <x v="6"/>
    <d v="1899-12-30T21:17:00"/>
    <s v="Burger Camp, Pune"/>
    <s v="Aarav Shaikh"/>
    <d v="1985-02-23T00:00:00"/>
    <x v="13"/>
    <n v="114"/>
    <n v="1"/>
    <n v="16"/>
    <s v="Wallet"/>
    <x v="4"/>
    <s v="Servd late"/>
  </r>
  <r>
    <s v="BC20936"/>
    <x v="230"/>
    <x v="6"/>
    <d v="1899-12-30T17:51:00"/>
    <s v="Burger Camp, Pune"/>
    <s v="Sneha Gore"/>
    <d v="1990-10-14T00:00:00"/>
    <x v="4"/>
    <n v="174"/>
    <n v="1"/>
    <m/>
    <s v="Wallet"/>
    <x v="3"/>
    <s v="Extra cheese"/>
  </r>
  <r>
    <s v="BC20937"/>
    <x v="309"/>
    <x v="6"/>
    <d v="1899-12-30T16:19:53"/>
    <s v="Burger Camp, Pune"/>
    <s v="Zaid Shaikh"/>
    <d v="1989-03-15T00:00:00"/>
    <x v="3"/>
    <n v="226"/>
    <n v="1"/>
    <n v="226"/>
    <s v="Card"/>
    <x v="7"/>
    <s v="Less salt"/>
  </r>
  <r>
    <s v="BC20938"/>
    <x v="36"/>
    <x v="0"/>
    <d v="1899-12-30T20:36:00"/>
    <s v="Burger Camp, Pune"/>
    <s v="Aarav Naik"/>
    <d v="2007-03-26T00:00:00"/>
    <x v="16"/>
    <n v="180"/>
    <n v="1"/>
    <n v="181"/>
    <s v="Wallet"/>
    <x v="5"/>
    <s v="Spicy"/>
  </r>
  <r>
    <s v="BC20939"/>
    <x v="198"/>
    <x v="7"/>
    <d v="1899-12-30T23:11:09"/>
    <s v="Burger Camp, Pune"/>
    <s v="pooja naik"/>
    <d v="1993-04-23T00:00:00"/>
    <x v="19"/>
    <n v="285"/>
    <n v="2"/>
    <n v="572"/>
    <s v="Cash"/>
    <x v="7"/>
    <s v="Extra cheese"/>
  </r>
  <r>
    <s v="BC20940"/>
    <x v="169"/>
    <x v="10"/>
    <d v="1899-12-30T15:25:00"/>
    <s v="Burger Camp, Pune"/>
    <s v="Mubin Gore"/>
    <d v="1993-02-05T00:00:00"/>
    <x v="7"/>
    <n v="277"/>
    <n v="2"/>
    <n v="555"/>
    <s v="Card"/>
    <x v="6"/>
    <s v="No onion"/>
  </r>
  <r>
    <s v="BC20941"/>
    <x v="291"/>
    <x v="1"/>
    <d v="1899-12-30T15:31:07"/>
    <s v="Burger Camp, Pune"/>
    <s v="Zaid Joshi"/>
    <d v="1978-05-14T00:00:00"/>
    <x v="19"/>
    <n v="321"/>
    <n v="1"/>
    <n v="321"/>
    <s v="Card"/>
    <x v="5"/>
    <s v="Custmer complaned"/>
  </r>
  <r>
    <s v="BC20942"/>
    <x v="331"/>
    <x v="8"/>
    <d v="1899-12-30T18:51:00"/>
    <s v="Burger Camp, Pune"/>
    <s v="Kiran Deshmukh"/>
    <d v="1974-05-07T00:00:00"/>
    <x v="25"/>
    <n v="107"/>
    <n v="1"/>
    <n v="108"/>
    <s v="Card"/>
    <x v="4"/>
    <s v="Extra cheese"/>
  </r>
  <r>
    <s v="BC20943"/>
    <x v="143"/>
    <x v="10"/>
    <d v="1899-12-30T20:07:00"/>
    <s v="Burger Camp, Pune"/>
    <s v="Rahul Kulkarni"/>
    <d v="2000-12-18T00:00:00"/>
    <x v="9"/>
    <n v="251"/>
    <n v="1"/>
    <n v="251"/>
    <s v="Cash"/>
    <x v="5"/>
    <s v="Extra cheese"/>
  </r>
  <r>
    <s v="BC20944"/>
    <x v="335"/>
    <x v="8"/>
    <d v="1899-12-30T23:00:00"/>
    <s v="Burger Camp, Pune"/>
    <s v="Rahul Shaikh"/>
    <d v="1988-08-05T00:00:00"/>
    <x v="18"/>
    <n v="303"/>
    <n v="2"/>
    <n v="607"/>
    <s v="Card"/>
    <x v="1"/>
    <s v="Custmer complaned"/>
  </r>
  <r>
    <s v="BC20945"/>
    <x v="336"/>
    <x v="1"/>
    <d v="1899-12-30T16:29:00"/>
    <s v="Burger Camp, Pune"/>
    <s v="Anil Deshmukh"/>
    <d v="1997-07-17T00:00:00"/>
    <x v="10"/>
    <n v="107"/>
    <n v="2"/>
    <n v="215"/>
    <s v="Card"/>
    <x v="5"/>
    <s v="Custmer complaned"/>
  </r>
  <r>
    <s v="BC20946"/>
    <x v="168"/>
    <x v="7"/>
    <d v="1899-12-30T10:46:00"/>
    <s v="Burger Camp, Pune"/>
    <s v="Farhan Kulkarni"/>
    <d v="1991-04-08T00:00:00"/>
    <x v="12"/>
    <n v="261"/>
    <n v="3"/>
    <n v="784"/>
    <s v="Card"/>
    <x v="3"/>
    <s v="Custmer complaned"/>
  </r>
  <r>
    <s v="BC20947"/>
    <x v="337"/>
    <x v="0"/>
    <d v="1899-12-30T23:18:21"/>
    <s v="Burger Camp, Pune"/>
    <s v="Aarav Khan"/>
    <d v="1972-09-24T00:00:00"/>
    <x v="7"/>
    <n v="45"/>
    <n v="1"/>
    <n v="46"/>
    <s v="Cash "/>
    <x v="4"/>
    <s v="Custmer complaned"/>
  </r>
  <r>
    <s v="BC20948"/>
    <x v="13"/>
    <x v="7"/>
    <d v="1899-12-30T10:01:00"/>
    <s v="Burger Camp, Pune"/>
    <s v="Anil Joshi"/>
    <d v="2009-04-01T00:00:00"/>
    <x v="16"/>
    <n v="223"/>
    <n v="3"/>
    <n v="670"/>
    <s v="Card"/>
    <x v="3"/>
    <s v="Custmer complaned"/>
  </r>
  <r>
    <s v="BC20949"/>
    <x v="53"/>
    <x v="1"/>
    <d v="1899-12-30T10:10:00"/>
    <s v="Burger Camp, Pune"/>
    <s v="Aarav Patil"/>
    <d v="1972-06-13T00:00:00"/>
    <x v="4"/>
    <n v="159"/>
    <n v="1"/>
    <n v="160"/>
    <s v="Cash"/>
    <x v="2"/>
    <s v="No onion"/>
  </r>
  <r>
    <s v="BC20950"/>
    <x v="64"/>
    <x v="9"/>
    <d v="1899-12-30T21:34:00"/>
    <s v="Burger Camp, Pune"/>
    <s v="Sneha Joshi"/>
    <d v="2005-05-25T00:00:00"/>
    <x v="8"/>
    <n v="37"/>
    <n v="2"/>
    <m/>
    <s v="UPI"/>
    <x v="7"/>
    <s v="No onion"/>
  </r>
  <r>
    <s v="BC20951"/>
    <x v="338"/>
    <x v="8"/>
    <d v="1899-12-30T13:46:00"/>
    <s v="Burger Camp, Pune"/>
    <s v="Pooja Joshi"/>
    <d v="1972-04-03T00:00:00"/>
    <x v="6"/>
    <n v="111"/>
    <n v="3"/>
    <n v="335"/>
    <s v="Cash"/>
    <x v="7"/>
    <s v="No onion"/>
  </r>
  <r>
    <s v="BC20952"/>
    <x v="261"/>
    <x v="3"/>
    <d v="1899-12-30T23:06:00"/>
    <s v="Burger Camp, Pune"/>
    <s v="Zara Patil"/>
    <d v="1994-11-22T00:00:00"/>
    <x v="17"/>
    <n v="111"/>
    <n v="1"/>
    <n v="112"/>
    <s v="Card"/>
    <x v="1"/>
    <s v="Custmer complaned"/>
  </r>
  <r>
    <s v="BC20953"/>
    <x v="127"/>
    <x v="11"/>
    <d v="1899-12-30T11:44:00"/>
    <s v="Burger Camp, Pune"/>
    <s v="Sneha Shinde"/>
    <d v="2007-11-01T00:00:00"/>
    <x v="23"/>
    <n v="234"/>
    <n v="1"/>
    <n v="235"/>
    <s v="Card"/>
    <x v="0"/>
    <s v="Custmer complaned"/>
  </r>
  <r>
    <s v="BC20954"/>
    <x v="219"/>
    <x v="1"/>
    <d v="1899-12-30T17:20:42"/>
    <s v="Burger Camp, Pune"/>
    <s v="Zara Naik"/>
    <d v="1987-01-08T00:00:00"/>
    <x v="21"/>
    <n v="216"/>
    <n v="1"/>
    <n v="216"/>
    <s v="Cash "/>
    <x v="1"/>
    <s v="Extra cheese"/>
  </r>
  <r>
    <s v="BC20955"/>
    <x v="219"/>
    <x v="1"/>
    <d v="1899-12-30T12:27:48"/>
    <s v="Burger Camp, Pune"/>
    <s v="Farhan Joshi"/>
    <d v="2005-01-12T00:00:00"/>
    <x v="19"/>
    <n v="237"/>
    <n v="2"/>
    <m/>
    <s v="Cash "/>
    <x v="6"/>
    <s v="Custmer complaned"/>
  </r>
  <r>
    <s v="BC20956"/>
    <x v="111"/>
    <x v="2"/>
    <d v="1899-12-30T18:24:00"/>
    <s v="Burger Camp, Pune"/>
    <s v="Kiran Gore"/>
    <d v="2005-01-12T00:00:00"/>
    <x v="22"/>
    <n v="264"/>
    <n v="2"/>
    <n v="529"/>
    <s v="Wallet"/>
    <x v="6"/>
    <s v="Servd late"/>
  </r>
  <r>
    <s v="BC20957"/>
    <x v="339"/>
    <x v="6"/>
    <d v="1899-12-30T22:12:00"/>
    <s v="Burger Camp, Pune"/>
    <s v="Pooja Kulkarni"/>
    <d v="1974-08-04T00:00:00"/>
    <x v="9"/>
    <n v="177"/>
    <n v="2"/>
    <n v="355"/>
    <s v="Wallet"/>
    <x v="7"/>
    <s v="repeat customer"/>
  </r>
  <r>
    <s v="BC20958"/>
    <x v="174"/>
    <x v="11"/>
    <d v="1899-12-30T12:14:00"/>
    <s v="Burger Camp, Pune"/>
    <s v="Pooja Khan"/>
    <d v="1993-04-01T00:00:00"/>
    <x v="6"/>
    <n v="109"/>
    <n v="2"/>
    <n v="218"/>
    <s v="Wallet"/>
    <x v="7"/>
    <s v="repeat customer"/>
  </r>
  <r>
    <s v="BC20959"/>
    <x v="340"/>
    <x v="11"/>
    <d v="1899-12-30T18:31:00"/>
    <s v="Burger Camp, Pune"/>
    <s v="Sneha Joshi"/>
    <d v="1992-09-13T00:00:00"/>
    <x v="3"/>
    <n v="98"/>
    <n v="1"/>
    <n v="98"/>
    <s v="Wallet"/>
    <x v="0"/>
    <s v="repeat customer"/>
  </r>
  <r>
    <s v="BC20960"/>
    <x v="193"/>
    <x v="5"/>
    <d v="1899-12-30T15:35:00"/>
    <s v="Burger Camp, Pune"/>
    <s v="Pooja Joshi"/>
    <d v="1991-12-12T00:00:00"/>
    <x v="15"/>
    <n v="107"/>
    <n v="3"/>
    <n v="322"/>
    <s v="Cash"/>
    <x v="1"/>
    <s v="Custmer complaned"/>
  </r>
  <r>
    <s v="BC20961"/>
    <x v="171"/>
    <x v="0"/>
    <d v="1899-12-30T15:31:00"/>
    <s v="Burger Camp, Pune"/>
    <s v="Zara Joshi"/>
    <d v="1976-12-18T00:00:00"/>
    <x v="16"/>
    <n v="154"/>
    <n v="1"/>
    <n v="114"/>
    <s v="Card"/>
    <x v="5"/>
    <s v="No onion"/>
  </r>
  <r>
    <s v="BC20962"/>
    <x v="53"/>
    <x v="1"/>
    <d v="1899-12-30T11:54:37"/>
    <s v="Burger Camp, Pune"/>
    <s v="Riya Kulkarni"/>
    <d v="1976-12-18T00:00:00"/>
    <x v="3"/>
    <n v="200"/>
    <n v="3"/>
    <n v="638"/>
    <s v="UPI"/>
    <x v="6"/>
    <s v="Spicy"/>
  </r>
  <r>
    <s v="BC20963"/>
    <x v="66"/>
    <x v="7"/>
    <d v="1899-12-30T11:03:00"/>
    <s v="Burger Camp, Pune"/>
    <s v="Anil Kulkarni"/>
    <d v="1999-11-08T00:00:00"/>
    <x v="25"/>
    <n v="215"/>
    <n v="2"/>
    <n v="430"/>
    <s v="UPI"/>
    <x v="7"/>
    <s v="No onion"/>
  </r>
  <r>
    <s v="BC20964"/>
    <x v="125"/>
    <x v="4"/>
    <d v="1899-12-30T23:01:00"/>
    <s v="Burger Camp, Pune"/>
    <s v="Zaid Naik"/>
    <d v="1997-10-08T00:00:00"/>
    <x v="8"/>
    <n v="52"/>
    <n v="3"/>
    <n v="159"/>
    <s v="Wallet"/>
    <x v="3"/>
    <s v="Servd late"/>
  </r>
  <r>
    <s v="BC20965"/>
    <x v="71"/>
    <x v="3"/>
    <d v="1899-12-30T20:51:25"/>
    <s v="Burger Camp, Pune"/>
    <s v="Mubin Patil"/>
    <d v="1999-10-09T00:00:00"/>
    <x v="16"/>
    <n v="158"/>
    <n v="2"/>
    <n v="318"/>
    <s v="UPI"/>
    <x v="1"/>
    <s v="No onion"/>
  </r>
  <r>
    <s v="BC20966"/>
    <x v="92"/>
    <x v="5"/>
    <d v="1899-12-30T13:02:27"/>
    <s v="Burger Camp, Pune"/>
    <s v=" Aarav Gore "/>
    <d v="2005-08-16T00:00:00"/>
    <x v="10"/>
    <n v="216"/>
    <n v="2"/>
    <n v="434"/>
    <s v="Cash"/>
    <x v="7"/>
    <s v="repeat customer"/>
  </r>
  <r>
    <s v="BC20967"/>
    <x v="14"/>
    <x v="7"/>
    <d v="1899-12-30T16:11:00"/>
    <s v="Burger Camp, Pune"/>
    <s v="Zaid Deshmukh"/>
    <d v="1991-12-12T00:00:00"/>
    <x v="9"/>
    <n v="268"/>
    <n v="3"/>
    <n v="804"/>
    <s v="Cash"/>
    <x v="2"/>
    <s v="Servd late"/>
  </r>
  <r>
    <s v="BC20968"/>
    <x v="95"/>
    <x v="5"/>
    <d v="1899-12-30T14:46:28"/>
    <s v="Burger Camp, Pune"/>
    <s v="Kiran Shaikh"/>
    <d v="1991-12-12T00:00:00"/>
    <x v="15"/>
    <n v="111"/>
    <n v="3"/>
    <n v="334"/>
    <s v="Wallet"/>
    <x v="4"/>
    <s v="Extra cheese"/>
  </r>
  <r>
    <s v="BC20969"/>
    <x v="33"/>
    <x v="11"/>
    <d v="1899-12-30T16:15:00"/>
    <s v="Burger Camp, Pune"/>
    <s v="Rahul Patil"/>
    <d v="1986-11-18T00:00:00"/>
    <x v="23"/>
    <n v="193"/>
    <n v="2"/>
    <n v="386"/>
    <s v="Cash "/>
    <x v="2"/>
    <s v="Spicy"/>
  </r>
  <r>
    <s v="BC20970"/>
    <x v="33"/>
    <x v="11"/>
    <d v="1899-12-30T12:00:00"/>
    <s v="Burger Camp, Pune"/>
    <s v="Pooja Khan"/>
    <d v="2000-05-27T00:00:00"/>
    <x v="10"/>
    <n v="120"/>
    <n v="1"/>
    <n v="117"/>
    <s v="Cash"/>
    <x v="1"/>
    <s v="Custmer complaned"/>
  </r>
  <r>
    <s v="BC20971"/>
    <x v="303"/>
    <x v="11"/>
    <d v="1899-12-30T21:08:08"/>
    <s v="Burger Camp, Pune"/>
    <s v=" Sneha Joshi "/>
    <d v="1996-01-15T00:00:00"/>
    <x v="21"/>
    <n v="225"/>
    <n v="2"/>
    <n v="451"/>
    <s v="UPI"/>
    <x v="3"/>
    <s v="Custmer complaned"/>
  </r>
  <r>
    <s v="BC20972"/>
    <x v="241"/>
    <x v="5"/>
    <d v="1899-12-30T23:26:45"/>
    <s v="Burger Camp, Pune"/>
    <s v="Riya Shaikh"/>
    <d v="1996-01-15T00:00:00"/>
    <x v="2"/>
    <n v="305"/>
    <n v="2"/>
    <m/>
    <s v="Cash "/>
    <x v="7"/>
    <s v="Servd late"/>
  </r>
  <r>
    <s v="BC20973"/>
    <x v="241"/>
    <x v="5"/>
    <d v="1899-12-30T15:46:00"/>
    <s v="Burger Camp, Pune"/>
    <s v="Pooja Deshmukh"/>
    <d v="1996-12-06T00:00:00"/>
    <x v="16"/>
    <n v="209"/>
    <n v="1"/>
    <n v="209"/>
    <s v="Card"/>
    <x v="2"/>
    <s v="Spicy"/>
  </r>
  <r>
    <s v="BC20974"/>
    <x v="188"/>
    <x v="11"/>
    <d v="1899-12-30T12:42:00"/>
    <s v="Burger Camp, Pune"/>
    <s v="Aarav Shinde"/>
    <d v="1999-11-15T00:00:00"/>
    <x v="14"/>
    <n v="227"/>
    <n v="2"/>
    <n v="454"/>
    <s v="Card"/>
    <x v="0"/>
    <s v="Spicy"/>
  </r>
  <r>
    <s v="BC20975"/>
    <x v="229"/>
    <x v="4"/>
    <d v="1899-12-30T16:02:00"/>
    <s v="Burger Camp, Pune"/>
    <s v=" Pooja Naik "/>
    <d v="1985-01-09T00:00:00"/>
    <x v="15"/>
    <n v="107"/>
    <n v="1"/>
    <n v="108"/>
    <s v="Wallet"/>
    <x v="2"/>
    <s v="Servd late"/>
  </r>
  <r>
    <s v="BC20976"/>
    <x v="289"/>
    <x v="11"/>
    <d v="1899-12-30T19:56:00"/>
    <s v="Burger Camp, Pune"/>
    <s v="Farhan Shinde"/>
    <d v="1998-08-20T00:00:00"/>
    <x v="7"/>
    <n v="105"/>
    <n v="2"/>
    <n v="211"/>
    <s v="Cash "/>
    <x v="2"/>
    <s v="No onion"/>
  </r>
  <r>
    <s v="BC20977"/>
    <x v="176"/>
    <x v="3"/>
    <d v="1899-12-30T18:36:57"/>
    <s v="Burger Camp, Pune"/>
    <s v="Rahul Gore"/>
    <d v="1976-06-22T00:00:00"/>
    <x v="15"/>
    <n v="119"/>
    <n v="2"/>
    <n v="240"/>
    <s v="Wallet"/>
    <x v="5"/>
    <s v="No onion"/>
  </r>
  <r>
    <s v="BC20978"/>
    <x v="143"/>
    <x v="10"/>
    <d v="1899-12-30T21:07:00"/>
    <s v="Burger Camp, Pune"/>
    <s v="Aisha Gore"/>
    <d v="2006-10-05T00:00:00"/>
    <x v="23"/>
    <n v="52"/>
    <n v="1"/>
    <n v="53"/>
    <s v="UPI"/>
    <x v="1"/>
    <s v="No onion"/>
  </r>
  <r>
    <s v="BC20979"/>
    <x v="137"/>
    <x v="10"/>
    <d v="1899-12-30T16:44:00"/>
    <s v="Burger Camp, Pune"/>
    <s v=" aisha gore "/>
    <d v="1985-08-19T00:00:00"/>
    <x v="23"/>
    <n v="179"/>
    <n v="1"/>
    <n v="180"/>
    <s v="UPI"/>
    <x v="0"/>
    <s v="Spicy"/>
  </r>
  <r>
    <s v="BC20980"/>
    <x v="248"/>
    <x v="9"/>
    <d v="1899-12-30T14:41:14"/>
    <s v="Burger Camp, Pune"/>
    <s v="Pooja Shinde"/>
    <d v="1995-01-26T00:00:00"/>
    <x v="9"/>
    <n v="106"/>
    <n v="3"/>
    <n v="319"/>
    <s v="Card"/>
    <x v="6"/>
    <s v="Spicy"/>
  </r>
  <r>
    <s v="BC20981"/>
    <x v="140"/>
    <x v="7"/>
    <d v="1899-12-30T15:26:00"/>
    <s v="Burger Camp, Pune"/>
    <s v="Mubin Deshmukh"/>
    <d v="1983-05-22T00:00:00"/>
    <x v="22"/>
    <n v="151"/>
    <n v="1"/>
    <m/>
    <s v="Cash"/>
    <x v="6"/>
    <s v="Spicy"/>
  </r>
  <r>
    <s v="BC20982"/>
    <x v="2"/>
    <x v="2"/>
    <d v="1899-12-30T12:12:00"/>
    <s v="Burger Camp, Pune"/>
    <s v=" Aisha Kulkarni "/>
    <d v="1982-07-19T00:00:00"/>
    <x v="25"/>
    <n v="263"/>
    <n v="2"/>
    <n v="526"/>
    <s v="Card"/>
    <x v="1"/>
    <s v="Custmer complaned"/>
  </r>
  <r>
    <s v="BC20983"/>
    <x v="311"/>
    <x v="0"/>
    <d v="1899-12-30T19:44:00"/>
    <s v="Burger Camp, Pune"/>
    <s v="Sneha Patil"/>
    <d v="1974-05-14T00:00:00"/>
    <x v="16"/>
    <n v="173"/>
    <n v="2"/>
    <n v="347"/>
    <s v="Cash "/>
    <x v="7"/>
    <s v="Servd late"/>
  </r>
  <r>
    <s v="BC20984"/>
    <x v="284"/>
    <x v="6"/>
    <d v="1899-12-30T22:25:00"/>
    <s v="Burger Camp, Pune"/>
    <s v="Mubin Kulkarni"/>
    <d v="1974-05-14T00:00:00"/>
    <x v="8"/>
    <n v="42"/>
    <n v="1"/>
    <n v="42"/>
    <s v="Card"/>
    <x v="0"/>
    <s v="Custmer complaned"/>
  </r>
  <r>
    <s v="BC20985"/>
    <x v="78"/>
    <x v="10"/>
    <d v="1899-12-30T13:42:00"/>
    <s v="Burger Camp, Pune"/>
    <s v="Farhan Shinde"/>
    <d v="2007-06-02T00:00:00"/>
    <x v="14"/>
    <n v="102"/>
    <n v="1"/>
    <n v="103"/>
    <s v="Cash "/>
    <x v="0"/>
    <s v="Extra cheese"/>
  </r>
  <r>
    <s v="BC20986"/>
    <x v="302"/>
    <x v="5"/>
    <d v="1899-12-30T16:36:00"/>
    <s v="Burger Camp, Pune"/>
    <s v="Kiran Patil"/>
    <d v="2006-01-06T00:00:00"/>
    <x v="3"/>
    <n v="198"/>
    <n v="1"/>
    <n v="198"/>
    <s v="UPI"/>
    <x v="5"/>
    <s v="Extra cheese"/>
  </r>
  <r>
    <s v="BC20987"/>
    <x v="226"/>
    <x v="7"/>
    <d v="1899-12-30T14:19:00"/>
    <s v="Burger Camp, Pune"/>
    <s v="Pooja Deshmukh"/>
    <d v="1977-07-06T00:00:00"/>
    <x v="7"/>
    <n v="206"/>
    <n v="1"/>
    <n v="200"/>
    <s v="UPI"/>
    <x v="1"/>
    <s v="Spicy"/>
  </r>
  <r>
    <s v="BC20988"/>
    <x v="280"/>
    <x v="8"/>
    <d v="1899-12-30T23:03:00"/>
    <s v="Burger Camp, Pune"/>
    <s v="Sneha Patil"/>
    <d v="1998-12-09T00:00:00"/>
    <x v="14"/>
    <n v="199"/>
    <n v="1"/>
    <n v="199"/>
    <s v="Cash"/>
    <x v="1"/>
    <s v="Spicy"/>
  </r>
  <r>
    <s v="BC20989"/>
    <x v="290"/>
    <x v="9"/>
    <d v="1899-12-30T14:16:00"/>
    <s v="Burger Camp, Pune"/>
    <s v="Zaid Shinde"/>
    <d v="1998-12-09T00:00:00"/>
    <x v="7"/>
    <n v="301"/>
    <n v="2"/>
    <n v="602"/>
    <s v="UPI"/>
    <x v="2"/>
    <s v="Spicy"/>
  </r>
  <r>
    <s v="BC20990"/>
    <x v="67"/>
    <x v="7"/>
    <d v="1899-12-30T21:16:30"/>
    <s v="Burger Camp, Pune"/>
    <s v="Rahul Kulkarni"/>
    <d v="2008-05-14T00:00:00"/>
    <x v="19"/>
    <n v="252"/>
    <n v="3"/>
    <n v="784"/>
    <s v="UPI"/>
    <x v="0"/>
    <s v="No onion"/>
  </r>
  <r>
    <s v="BC20991"/>
    <x v="195"/>
    <x v="11"/>
    <d v="1899-12-30T14:07:00"/>
    <s v="Burger Camp, Pune"/>
    <s v="Aarav Shinde"/>
    <d v="2003-07-02T00:00:00"/>
    <x v="19"/>
    <n v="323"/>
    <n v="1"/>
    <n v="324"/>
    <s v="Wallet"/>
    <x v="1"/>
    <s v="Spicy"/>
  </r>
  <r>
    <s v="BC20992"/>
    <x v="124"/>
    <x v="10"/>
    <d v="1899-12-30T13:23:00"/>
    <s v="Burger Camp, Pune"/>
    <s v="Anil Shaikh"/>
    <d v="1975-10-20T00:00:00"/>
    <x v="21"/>
    <n v="245"/>
    <n v="2"/>
    <n v="492"/>
    <s v="Card"/>
    <x v="3"/>
    <s v="Extra cheese"/>
  </r>
  <r>
    <s v="BC20993"/>
    <x v="50"/>
    <x v="4"/>
    <d v="1899-12-30T21:03:30"/>
    <s v="Burger Camp, Pune"/>
    <s v="Aarav Naik"/>
    <d v="2005-10-12T00:00:00"/>
    <x v="8"/>
    <n v="37"/>
    <n v="1"/>
    <n v="38"/>
    <s v="Card"/>
    <x v="6"/>
    <s v="Extra cheese"/>
  </r>
  <r>
    <s v="BC20994"/>
    <x v="50"/>
    <x v="4"/>
    <d v="1899-12-30T12:00:00"/>
    <s v="Burger Camp, Pune"/>
    <s v="Sneha Shinde"/>
    <d v="1980-11-25T00:00:00"/>
    <x v="21"/>
    <n v="251"/>
    <n v="2"/>
    <n v="502"/>
    <s v="Card"/>
    <x v="4"/>
    <s v="repeat customer"/>
  </r>
  <r>
    <s v="BC20995"/>
    <x v="34"/>
    <x v="1"/>
    <d v="1899-12-30T21:19:00"/>
    <s v="Burger Camp, Pune"/>
    <s v="Farhan Patil"/>
    <d v="2009-12-09T00:00:00"/>
    <x v="4"/>
    <n v="219"/>
    <n v="1"/>
    <n v="219"/>
    <s v="Wallet"/>
    <x v="6"/>
    <s v="repeat customer"/>
  </r>
  <r>
    <s v="BC20996"/>
    <x v="245"/>
    <x v="9"/>
    <d v="1899-12-30T16:34:00"/>
    <s v="Burger Camp, Pune"/>
    <s v=" Kiran Deshmukh "/>
    <d v="2003-06-11T00:00:00"/>
    <x v="23"/>
    <n v="290"/>
    <n v="1"/>
    <n v="290"/>
    <s v="Card"/>
    <x v="0"/>
    <s v="Spicy"/>
  </r>
  <r>
    <s v="BC20997"/>
    <x v="78"/>
    <x v="10"/>
    <d v="1899-12-30T17:16:16"/>
    <s v="Burger Camp, Pune"/>
    <s v="Aarav Gore"/>
    <d v="1983-03-09T00:00:00"/>
    <x v="12"/>
    <n v="324"/>
    <n v="3"/>
    <n v="972"/>
    <s v="Card"/>
    <x v="4"/>
    <s v="Spicy"/>
  </r>
  <r>
    <s v="BC20998"/>
    <x v="218"/>
    <x v="5"/>
    <d v="1899-12-30T11:32:00"/>
    <s v="Burger Camp, Pune"/>
    <s v="Aarav More"/>
    <d v="1987-12-28T00:00:00"/>
    <x v="13"/>
    <n v="97"/>
    <n v="3"/>
    <n v="293"/>
    <s v="Card"/>
    <x v="1"/>
    <s v="Spicy"/>
  </r>
  <r>
    <s v="BC20999"/>
    <x v="341"/>
    <x v="5"/>
    <d v="1899-12-30T17:43:00"/>
    <s v="Burger Camp, Pune"/>
    <s v="Aisha Kulkarni"/>
    <d v="1970-05-06T00:00:00"/>
    <x v="3"/>
    <n v="111"/>
    <n v="2"/>
    <n v="223"/>
    <s v="UPI"/>
    <x v="0"/>
    <s v="Spicy"/>
  </r>
  <r>
    <s v="BC21000"/>
    <x v="315"/>
    <x v="9"/>
    <d v="1899-12-30T19:34:33"/>
    <s v="Burger Camp, Pune"/>
    <s v="Pooja Shinde"/>
    <d v="1986-08-25T00:00:00"/>
    <x v="25"/>
    <n v="142"/>
    <n v="2"/>
    <n v="286"/>
    <s v="Card"/>
    <x v="4"/>
    <s v="Custmer complaned"/>
  </r>
  <r>
    <s v="BC21001"/>
    <x v="99"/>
    <x v="9"/>
    <d v="1899-12-30T11:09:53"/>
    <s v="Burger Camp, Pune"/>
    <s v="Rahul Naik"/>
    <d v="1985-07-24T00:00:00"/>
    <x v="8"/>
    <n v="47"/>
    <n v="2"/>
    <n v="97"/>
    <s v="Cash "/>
    <x v="5"/>
    <s v="Servd late"/>
  </r>
  <r>
    <s v="BC21002"/>
    <x v="22"/>
    <x v="7"/>
    <d v="1899-12-30T12:45:08"/>
    <s v="Burger Camp, Pune"/>
    <s v="Kiran Naik"/>
    <d v="1998-11-06T00:00:00"/>
    <x v="5"/>
    <n v="280"/>
    <n v="1"/>
    <n v="280"/>
    <s v="Cash"/>
    <x v="6"/>
    <s v="Servd late"/>
  </r>
  <r>
    <s v="BC21003"/>
    <x v="74"/>
    <x v="8"/>
    <d v="1899-12-30T18:48:00"/>
    <s v="Burger Camp, Pune"/>
    <s v="Zaid Deshmukh"/>
    <d v="1989-06-20T00:00:00"/>
    <x v="16"/>
    <n v="280"/>
    <n v="3"/>
    <n v="280"/>
    <s v="UPI"/>
    <x v="2"/>
    <s v="Spicy"/>
  </r>
  <r>
    <s v="BC21004"/>
    <x v="92"/>
    <x v="5"/>
    <d v="1899-12-30T16:37:02"/>
    <s v="Burger Camp, Pune"/>
    <s v="Zara Naik"/>
    <d v="2008-09-25T00:00:00"/>
    <x v="24"/>
    <n v="161"/>
    <n v="3"/>
    <n v="483"/>
    <s v="Card"/>
    <x v="3"/>
    <s v="Less salt"/>
  </r>
  <r>
    <s v="BC21005"/>
    <x v="114"/>
    <x v="8"/>
    <d v="1899-12-30T23:27:00"/>
    <s v="Burger Camp, Pune"/>
    <s v="Zaid Naik"/>
    <d v="2000-09-13T00:00:00"/>
    <x v="14"/>
    <n v="302"/>
    <n v="2"/>
    <n v="606"/>
    <s v="Card"/>
    <x v="1"/>
    <s v="Extra cheese"/>
  </r>
  <r>
    <s v="BC21006"/>
    <x v="233"/>
    <x v="9"/>
    <d v="1899-12-30T23:14:00"/>
    <s v="Burger Camp, Pune"/>
    <s v="Kiran Shinde"/>
    <d v="2010-12-12T00:00:00"/>
    <x v="23"/>
    <n v="52"/>
    <n v="3"/>
    <n v="158"/>
    <s v="UPI"/>
    <x v="6"/>
    <s v="Less salt"/>
  </r>
  <r>
    <s v="BC21007"/>
    <x v="75"/>
    <x v="0"/>
    <d v="1899-12-30T12:35:22"/>
    <s v="Burger Camp, Pune"/>
    <s v="Aarav Naik"/>
    <d v="1972-12-05T00:00:00"/>
    <x v="7"/>
    <n v="101"/>
    <n v="3"/>
    <n v="304"/>
    <s v="UPI"/>
    <x v="7"/>
    <s v="repeat customer"/>
  </r>
  <r>
    <s v="BC21008"/>
    <x v="142"/>
    <x v="0"/>
    <d v="1899-12-30T23:50:55"/>
    <s v="Burger Camp, Pune"/>
    <s v="zaid gore"/>
    <d v="1987-09-22T00:00:00"/>
    <x v="2"/>
    <n v="228"/>
    <n v="3"/>
    <n v="686"/>
    <s v="Cash"/>
    <x v="5"/>
    <s v="repeat customer"/>
  </r>
  <r>
    <s v="BC21009"/>
    <x v="281"/>
    <x v="8"/>
    <d v="1899-12-30T15:37:00"/>
    <s v="Burger Camp, Pune"/>
    <s v="Kiran Naik"/>
    <d v="1987-09-22T00:00:00"/>
    <x v="5"/>
    <n v="127"/>
    <n v="1"/>
    <n v="127"/>
    <s v="Cash"/>
    <x v="1"/>
    <s v="repeat customer"/>
  </r>
  <r>
    <s v="BC21010"/>
    <x v="96"/>
    <x v="8"/>
    <d v="1899-12-30T15:27:00"/>
    <s v="Burger Camp, Pune"/>
    <s v="Aarav Shinde"/>
    <d v="1974-01-18T00:00:00"/>
    <x v="13"/>
    <n v="127"/>
    <n v="1"/>
    <n v="127"/>
    <s v="Cash"/>
    <x v="1"/>
    <s v="Servd late"/>
  </r>
  <r>
    <s v="BC21011"/>
    <x v="112"/>
    <x v="9"/>
    <d v="1899-12-30T20:39:23"/>
    <s v="Burger Camp, Pune"/>
    <s v="Aisha Gore"/>
    <d v="1974-01-18T00:00:00"/>
    <x v="16"/>
    <n v="169"/>
    <n v="2"/>
    <n v="340"/>
    <s v="Cash "/>
    <x v="1"/>
    <s v="Servd late"/>
  </r>
  <r>
    <s v="BC21012"/>
    <x v="140"/>
    <x v="7"/>
    <d v="1899-12-30T21:20:00"/>
    <s v="Burger Camp, Pune"/>
    <s v="Kiran Shinde"/>
    <d v="1999-11-25T00:00:00"/>
    <x v="22"/>
    <n v="237"/>
    <n v="2"/>
    <n v="474"/>
    <s v="Wallet"/>
    <x v="5"/>
    <s v="Spicy"/>
  </r>
  <r>
    <s v="BC21013"/>
    <x v="191"/>
    <x v="4"/>
    <d v="1899-12-30T17:12:00"/>
    <s v="Burger Camp, Pune"/>
    <s v="Aisha Kulkarni"/>
    <d v="1982-12-12T00:00:00"/>
    <x v="25"/>
    <n v="227"/>
    <n v="1"/>
    <n v="228"/>
    <s v="Card"/>
    <x v="5"/>
    <s v="Servd late"/>
  </r>
  <r>
    <s v="BC21014"/>
    <x v="139"/>
    <x v="0"/>
    <d v="1899-12-30T19:20:00"/>
    <s v="Burger Camp, Pune"/>
    <s v="Aarav Khan"/>
    <d v="2008-05-03T00:00:00"/>
    <x v="8"/>
    <n v="36"/>
    <n v="1"/>
    <n v="36"/>
    <s v="Card"/>
    <x v="6"/>
    <s v="No onion"/>
  </r>
  <r>
    <s v="BC21015"/>
    <x v="120"/>
    <x v="7"/>
    <d v="1899-12-30T21:11:57"/>
    <s v="Burger Camp, Pune"/>
    <s v="Zaid Kulkarni"/>
    <d v="1985-05-27T00:00:00"/>
    <x v="15"/>
    <n v="170"/>
    <n v="3"/>
    <n v="511"/>
    <s v="Card"/>
    <x v="0"/>
    <s v="repeat customer"/>
  </r>
  <r>
    <s v="BC21016"/>
    <x v="63"/>
    <x v="10"/>
    <d v="1899-12-30T13:07:00"/>
    <s v="Burger Camp, Pune"/>
    <s v=" Mubin Gore "/>
    <d v="1979-02-22T00:00:00"/>
    <x v="12"/>
    <n v="269"/>
    <n v="1"/>
    <n v="269"/>
    <s v="Wallet"/>
    <x v="1"/>
    <s v="No onion"/>
  </r>
  <r>
    <s v="BC21017"/>
    <x v="138"/>
    <x v="2"/>
    <d v="1899-12-30T14:02:00"/>
    <s v="Burger Camp, Pune"/>
    <s v="Mubin Joshi"/>
    <d v="1979-02-22T00:00:00"/>
    <x v="14"/>
    <n v="215"/>
    <n v="1"/>
    <n v="216"/>
    <s v="Wallet"/>
    <x v="3"/>
    <s v="Less salt"/>
  </r>
  <r>
    <s v="BC21018"/>
    <x v="92"/>
    <x v="5"/>
    <d v="1899-12-30T11:25:00"/>
    <s v="Burger Camp, Pune"/>
    <s v="Kiran More"/>
    <d v="1974-02-21T00:00:00"/>
    <x v="21"/>
    <n v="247"/>
    <n v="2"/>
    <n v="490"/>
    <s v="Cash "/>
    <x v="0"/>
    <s v="repeat customer"/>
  </r>
  <r>
    <s v="BC21019"/>
    <x v="81"/>
    <x v="9"/>
    <d v="1899-12-30T23:45:00"/>
    <s v="Burger Camp, Pune"/>
    <s v="riya more"/>
    <d v="1974-02-21T00:00:00"/>
    <x v="21"/>
    <n v="214"/>
    <n v="2"/>
    <n v="428"/>
    <s v="UPI"/>
    <x v="2"/>
    <s v="repeat customer"/>
  </r>
  <r>
    <s v="BC21020"/>
    <x v="158"/>
    <x v="4"/>
    <d v="1899-12-30T19:56:00"/>
    <s v="Burger Camp, Pune"/>
    <s v="Riya More"/>
    <d v="2006-08-06T00:00:00"/>
    <x v="3"/>
    <n v="293"/>
    <n v="3"/>
    <n v="881"/>
    <s v="Wallet"/>
    <x v="7"/>
    <s v="repeat customer"/>
  </r>
  <r>
    <s v="BC21021"/>
    <x v="342"/>
    <x v="8"/>
    <d v="1899-12-30T16:31:00"/>
    <s v="Burger Camp, Pune"/>
    <s v="Riya Kulkarni"/>
    <d v="1991-12-12T00:00:00"/>
    <x v="13"/>
    <n v="124"/>
    <n v="2"/>
    <n v="249"/>
    <s v="Cash "/>
    <x v="1"/>
    <s v="repeat customer"/>
  </r>
  <r>
    <s v="BC21022"/>
    <x v="22"/>
    <x v="7"/>
    <d v="1899-12-30T12:02:00"/>
    <s v="Burger Camp, Pune"/>
    <s v="Mubin More"/>
    <d v="2006-08-16T00:00:00"/>
    <x v="12"/>
    <n v="305"/>
    <n v="1"/>
    <n v="306"/>
    <s v="Card"/>
    <x v="0"/>
    <s v="repeat customer"/>
  </r>
  <r>
    <s v="BC21023"/>
    <x v="112"/>
    <x v="9"/>
    <d v="1899-12-30T16:58:00"/>
    <s v="Burger Camp, Pune"/>
    <s v="Zaid Shaikh"/>
    <d v="2006-08-16T00:00:00"/>
    <x v="16"/>
    <n v="171"/>
    <n v="1"/>
    <n v="171"/>
    <s v="Wallet"/>
    <x v="6"/>
    <s v="repeat customer"/>
  </r>
  <r>
    <s v="BC21024"/>
    <x v="209"/>
    <x v="3"/>
    <d v="1899-12-30T13:18:00"/>
    <s v="Burger Camp, Pune"/>
    <s v="Anil Shinde"/>
    <d v="1991-12-12T00:00:00"/>
    <x v="21"/>
    <n v="238"/>
    <n v="1"/>
    <n v="239"/>
    <s v="Wallet"/>
    <x v="7"/>
    <s v="Spicy"/>
  </r>
  <r>
    <s v="BC21025"/>
    <x v="106"/>
    <x v="11"/>
    <d v="1899-12-30T21:55:00"/>
    <s v="Burger Camp, Pune"/>
    <s v="Zaid Kulkarni"/>
    <d v="1991-12-12T00:00:00"/>
    <x v="23"/>
    <n v="119"/>
    <n v="2"/>
    <n v="239"/>
    <s v="Cash"/>
    <x v="1"/>
    <s v="No onion"/>
  </r>
  <r>
    <s v="BC21026"/>
    <x v="206"/>
    <x v="8"/>
    <d v="1899-12-30T23:57:00"/>
    <s v="Burger Camp, Pune"/>
    <s v="Riya Naik"/>
    <d v="2005-05-07T00:00:00"/>
    <x v="20"/>
    <n v="326"/>
    <n v="1"/>
    <n v="326"/>
    <s v="Cash "/>
    <x v="0"/>
    <s v="repeat customer"/>
  </r>
  <r>
    <s v="BC21027"/>
    <x v="309"/>
    <x v="6"/>
    <d v="1899-12-30T23:05:00"/>
    <s v="Burger Camp, Pune"/>
    <s v="Pooja Shinde"/>
    <d v="2005-05-07T00:00:00"/>
    <x v="21"/>
    <n v="172"/>
    <n v="2"/>
    <n v="344"/>
    <s v="Cash "/>
    <x v="2"/>
    <s v="Spicy"/>
  </r>
  <r>
    <s v="BC21028"/>
    <x v="322"/>
    <x v="7"/>
    <d v="1899-12-30T23:26:00"/>
    <s v="Burger Camp, Pune"/>
    <s v="Rahul Joshi"/>
    <d v="2002-10-16T00:00:00"/>
    <x v="24"/>
    <n v="108"/>
    <n v="2"/>
    <n v="218"/>
    <s v="Wallet"/>
    <x v="5"/>
    <s v="Custmer complaned"/>
  </r>
  <r>
    <s v="BC21029"/>
    <x v="199"/>
    <x v="6"/>
    <d v="1899-12-30T11:44:58"/>
    <s v="Burger Camp, Pune"/>
    <s v="Sneha Joshi"/>
    <d v="1979-09-07T00:00:00"/>
    <x v="6"/>
    <n v="110"/>
    <n v="2"/>
    <n v="221"/>
    <s v="Wallet"/>
    <x v="1"/>
    <s v="No onion"/>
  </r>
  <r>
    <s v="BC21030"/>
    <x v="246"/>
    <x v="1"/>
    <d v="1899-12-30T21:46:00"/>
    <s v="Burger Camp, Pune"/>
    <s v="Pooja Khan"/>
    <d v="2008-05-03T00:00:00"/>
    <x v="8"/>
    <n v="38"/>
    <n v="3"/>
    <n v="115"/>
    <s v="Wallet"/>
    <x v="2"/>
    <s v="Custmer complaned"/>
  </r>
  <r>
    <s v="BC21031"/>
    <x v="280"/>
    <x v="8"/>
    <d v="1899-12-30T23:58:00"/>
    <s v="Burger Camp, Pune"/>
    <s v="Aisha Kulkarni"/>
    <d v="1991-12-06T00:00:00"/>
    <x v="24"/>
    <n v="108"/>
    <n v="1"/>
    <n v="108"/>
    <s v="Cash"/>
    <x v="3"/>
    <s v="Spicy"/>
  </r>
  <r>
    <s v="BC21032"/>
    <x v="263"/>
    <x v="9"/>
    <d v="1899-12-30T19:26:42"/>
    <s v="Burger Camp, Pune"/>
    <s v="Zaid Khan"/>
    <d v="1983-09-07T00:00:00"/>
    <x v="6"/>
    <n v="115"/>
    <n v="2"/>
    <n v="276"/>
    <s v="Cash"/>
    <x v="6"/>
    <s v="Extra cheese"/>
  </r>
  <r>
    <s v="BC21033"/>
    <x v="312"/>
    <x v="7"/>
    <d v="1899-12-30T18:40:00"/>
    <s v="Burger Camp, Pune"/>
    <s v="Zaid Deshmukh"/>
    <d v="1984-03-02T00:00:00"/>
    <x v="13"/>
    <n v="115"/>
    <n v="2"/>
    <n v="230"/>
    <s v="UPI"/>
    <x v="2"/>
    <s v="Extra cheese"/>
  </r>
  <r>
    <s v="BC21034"/>
    <x v="178"/>
    <x v="4"/>
    <d v="1899-12-30T22:21:25"/>
    <s v="Burger Camp, Pune"/>
    <s v="Pooja Patil"/>
    <d v="1987-02-25T00:00:00"/>
    <x v="14"/>
    <n v="95"/>
    <n v="2"/>
    <n v="190"/>
    <s v="UPI"/>
    <x v="5"/>
    <s v="Spicy"/>
  </r>
  <r>
    <s v="BC21035"/>
    <x v="126"/>
    <x v="4"/>
    <d v="1899-12-30T19:14:00"/>
    <s v="Burger Camp, Pune"/>
    <s v="Sneha Deshmukh"/>
    <d v="1991-12-12T00:00:00"/>
    <x v="15"/>
    <n v="82"/>
    <n v="2"/>
    <n v="165"/>
    <s v="UPI"/>
    <x v="3"/>
    <s v="Custmer complaned"/>
  </r>
  <r>
    <s v="BC21036"/>
    <x v="28"/>
    <x v="4"/>
    <d v="1899-12-30T15:07:08"/>
    <s v="Burger Camp, Pune"/>
    <s v="Aisha Kulkarni"/>
    <d v="2006-10-01T00:00:00"/>
    <x v="25"/>
    <n v="154"/>
    <n v="1"/>
    <n v="154"/>
    <s v="UPI"/>
    <x v="3"/>
    <s v="Custmer complaned"/>
  </r>
  <r>
    <s v="BC21037"/>
    <x v="22"/>
    <x v="7"/>
    <d v="1899-12-30T17:43:00"/>
    <s v="Burger Camp, Pune"/>
    <s v=" Farhan Gore "/>
    <d v="1984-12-16T00:00:00"/>
    <x v="11"/>
    <n v="208"/>
    <n v="1"/>
    <n v="209"/>
    <s v="Wallet"/>
    <x v="7"/>
    <s v="Servd late"/>
  </r>
  <r>
    <s v="BC21038"/>
    <x v="314"/>
    <x v="9"/>
    <d v="1899-12-30T12:23:41"/>
    <s v="Burger Camp, Pune"/>
    <s v="Rahul Khan"/>
    <d v="1976-10-17T00:00:00"/>
    <x v="14"/>
    <n v="272"/>
    <n v="2"/>
    <n v="545"/>
    <s v="Cash "/>
    <x v="7"/>
    <s v="Spicy"/>
  </r>
  <r>
    <s v="BC21039"/>
    <x v="343"/>
    <x v="3"/>
    <d v="1899-12-30T17:39:00"/>
    <s v="Burger Camp, Pune"/>
    <s v="zaid naik"/>
    <d v="1979-11-27T00:00:00"/>
    <x v="9"/>
    <n v="247"/>
    <n v="2"/>
    <n v="495"/>
    <s v="Wallet"/>
    <x v="4"/>
    <s v="No onion"/>
  </r>
  <r>
    <s v="BC21040"/>
    <x v="340"/>
    <x v="11"/>
    <d v="1899-12-30T12:06:00"/>
    <s v="Burger Camp, Pune"/>
    <s v="Farhan Gore"/>
    <d v="1991-12-12T00:00:00"/>
    <x v="16"/>
    <n v="144"/>
    <n v="2"/>
    <n v="290"/>
    <s v="Cash "/>
    <x v="6"/>
    <s v="repeat customer"/>
  </r>
  <r>
    <s v="BC21041"/>
    <x v="186"/>
    <x v="4"/>
    <d v="1899-12-30T23:36:00"/>
    <s v="Burger Camp, Pune"/>
    <s v="Rahul Deshmukh"/>
    <d v="1992-12-20T00:00:00"/>
    <x v="11"/>
    <n v="225"/>
    <n v="2"/>
    <n v="452"/>
    <s v="UPI"/>
    <x v="4"/>
    <s v="Custmer complaned"/>
  </r>
  <r>
    <s v="BC21042"/>
    <x v="160"/>
    <x v="0"/>
    <d v="1899-12-30T10:12:00"/>
    <s v="Burger Camp, Pune"/>
    <s v="Farhan Shinde"/>
    <d v="1993-07-25T00:00:00"/>
    <x v="2"/>
    <n v="225"/>
    <n v="2"/>
    <n v="452"/>
    <s v="Wallet"/>
    <x v="0"/>
    <s v="repeat customer"/>
  </r>
  <r>
    <s v="BC21043"/>
    <x v="101"/>
    <x v="7"/>
    <d v="1899-12-30T15:47:00"/>
    <s v="Burger Camp, Pune"/>
    <s v="Pooja Joshi"/>
    <d v="1980-12-07T00:00:00"/>
    <x v="8"/>
    <n v="49"/>
    <n v="3"/>
    <n v="168"/>
    <s v="UPI"/>
    <x v="5"/>
    <s v="repeat customer"/>
  </r>
  <r>
    <s v="BC21044"/>
    <x v="226"/>
    <x v="7"/>
    <d v="1899-12-30T16:19:19"/>
    <s v="Burger Camp, Pune"/>
    <s v="Rahul Gore"/>
    <d v="2000-09-12T00:00:00"/>
    <x v="23"/>
    <n v="232"/>
    <n v="2"/>
    <n v="466"/>
    <s v="Card"/>
    <x v="1"/>
    <s v="Extra cheese"/>
  </r>
  <r>
    <s v="BC21045"/>
    <x v="344"/>
    <x v="10"/>
    <d v="1899-12-30T23:15:45"/>
    <s v="Burger Camp, Pune"/>
    <s v="Zaid Deshmukh"/>
    <d v="1986-08-26T00:00:00"/>
    <x v="25"/>
    <n v="116"/>
    <n v="2"/>
    <n v="233"/>
    <s v="Wallet"/>
    <x v="6"/>
    <s v="Extra cheese"/>
  </r>
  <r>
    <s v="BC21046"/>
    <x v="232"/>
    <x v="10"/>
    <d v="1899-12-30T11:37:00"/>
    <s v="Burger Camp, Pune"/>
    <s v="Rahul Joshi"/>
    <d v="1986-06-02T00:00:00"/>
    <x v="6"/>
    <n v="88"/>
    <n v="2"/>
    <n v="176"/>
    <s v="UPI"/>
    <x v="7"/>
    <s v="Less salt"/>
  </r>
  <r>
    <s v="BC21047"/>
    <x v="56"/>
    <x v="10"/>
    <d v="1899-12-30T15:16:33"/>
    <s v="Burger Camp, Pune"/>
    <s v="Zara Shinde"/>
    <d v="1976-11-12T00:00:00"/>
    <x v="2"/>
    <n v="244"/>
    <n v="1"/>
    <n v="245"/>
    <s v="Cash "/>
    <x v="6"/>
    <s v="repeat customer"/>
  </r>
  <r>
    <s v="BC21048"/>
    <x v="320"/>
    <x v="6"/>
    <d v="1899-12-30T16:05:00"/>
    <s v="Burger Camp, Pune"/>
    <s v="mubin shinde"/>
    <d v="2006-11-13T00:00:00"/>
    <x v="22"/>
    <n v="162"/>
    <n v="2"/>
    <n v="324"/>
    <s v="Wallet"/>
    <x v="2"/>
    <s v="Spicy"/>
  </r>
  <r>
    <s v="BC21049"/>
    <x v="276"/>
    <x v="2"/>
    <d v="1899-12-30T10:06:00"/>
    <s v="Burger Camp, Pune"/>
    <s v=" Rahul Shinde "/>
    <d v="1971-03-19T00:00:00"/>
    <x v="21"/>
    <n v="168"/>
    <n v="3"/>
    <n v="550"/>
    <s v="Card"/>
    <x v="7"/>
    <s v="No onion"/>
  </r>
  <r>
    <s v="BC21050"/>
    <x v="19"/>
    <x v="8"/>
    <d v="1899-12-30T10:56:22"/>
    <s v="Burger Camp, Pune"/>
    <s v="Mubin Gore"/>
    <d v="2007-04-27T00:00:00"/>
    <x v="19"/>
    <n v="296"/>
    <n v="3"/>
    <n v="890"/>
    <s v="Card"/>
    <x v="5"/>
    <s v="No onion"/>
  </r>
  <r>
    <s v="BC21051"/>
    <x v="174"/>
    <x v="11"/>
    <d v="1899-12-30T11:09:00"/>
    <s v="Burger Camp, Pune"/>
    <s v="Riya Patil"/>
    <d v="2006-06-06T00:00:00"/>
    <x v="1"/>
    <n v="258"/>
    <n v="2"/>
    <n v="518"/>
    <s v="UPI"/>
    <x v="6"/>
    <s v="Custmer complaned"/>
  </r>
  <r>
    <s v="BC21052"/>
    <x v="174"/>
    <x v="11"/>
    <d v="1899-12-30T16:06:00"/>
    <s v="Burger Camp, Pune"/>
    <s v="Sneha Deshmukh"/>
    <d v="1972-11-08T00:00:00"/>
    <x v="8"/>
    <n v="42"/>
    <n v="1"/>
    <n v="42"/>
    <s v="UPI"/>
    <x v="4"/>
    <s v="Less salt"/>
  </r>
  <r>
    <s v="BC21053"/>
    <x v="66"/>
    <x v="7"/>
    <d v="1899-12-30T15:37:00"/>
    <s v="Burger Camp, Pune"/>
    <s v="Rahul More"/>
    <d v="1973-07-26T00:00:00"/>
    <x v="5"/>
    <n v="199"/>
    <n v="1"/>
    <n v="199"/>
    <s v="Cash"/>
    <x v="7"/>
    <s v="Servd late"/>
  </r>
  <r>
    <s v="BC21054"/>
    <x v="241"/>
    <x v="5"/>
    <d v="1899-12-30T11:09:00"/>
    <s v="Burger Camp, Pune"/>
    <s v="riya deshmukh"/>
    <d v="1987-02-23T00:00:00"/>
    <x v="1"/>
    <n v="281"/>
    <n v="1"/>
    <n v="281"/>
    <s v="Cash "/>
    <x v="7"/>
    <s v="Servd late"/>
  </r>
  <r>
    <s v="BC21055"/>
    <x v="241"/>
    <x v="5"/>
    <d v="1899-12-30T19:43:00"/>
    <s v="Burger Camp, Pune"/>
    <s v="farhan kulkarni"/>
    <d v="1999-05-11T00:00:00"/>
    <x v="7"/>
    <n v="147"/>
    <n v="2"/>
    <n v="294"/>
    <s v="Cash "/>
    <x v="0"/>
    <s v="Spicy"/>
  </r>
  <r>
    <s v="BC21056"/>
    <x v="219"/>
    <x v="1"/>
    <d v="1899-12-30T17:25:48"/>
    <s v="Burger Camp, Pune"/>
    <s v="Zara Shaikh"/>
    <d v="1982-01-04T00:00:00"/>
    <x v="12"/>
    <n v="272"/>
    <n v="2"/>
    <n v="545"/>
    <s v="UPI"/>
    <x v="1"/>
    <s v="No onion"/>
  </r>
  <r>
    <s v="BC21057"/>
    <x v="306"/>
    <x v="9"/>
    <d v="1899-12-30T16:00:00"/>
    <s v="Burger Camp, Pune"/>
    <s v="Anil Gore"/>
    <d v="1995-09-20T00:00:00"/>
    <x v="12"/>
    <n v="263"/>
    <n v="2"/>
    <n v="527"/>
    <s v="UPI"/>
    <x v="4"/>
    <s v="No onion"/>
  </r>
  <r>
    <s v="BC21058"/>
    <x v="157"/>
    <x v="8"/>
    <d v="1899-12-30T12:12:00"/>
    <s v="Burger Camp, Pune"/>
    <s v=" Farhan Deshmukh "/>
    <d v="1990-12-27T00:00:00"/>
    <x v="20"/>
    <n v="238"/>
    <n v="1"/>
    <n v="238"/>
    <s v="Wallet"/>
    <x v="1"/>
    <s v="No onion"/>
  </r>
  <r>
    <s v="BC21059"/>
    <x v="169"/>
    <x v="10"/>
    <d v="1899-12-30T10:21:00"/>
    <s v="Burger Camp, Pune"/>
    <s v="Riya Naik"/>
    <d v="1990-12-27T00:00:00"/>
    <x v="19"/>
    <n v="348"/>
    <n v="2"/>
    <n v="698"/>
    <s v="Card"/>
    <x v="7"/>
    <s v="Extra cheese"/>
  </r>
  <r>
    <s v="BC21060"/>
    <x v="243"/>
    <x v="2"/>
    <d v="1899-12-30T18:14:00"/>
    <s v="Burger Camp, Pune"/>
    <s v="Riya More"/>
    <d v="2004-03-23T00:00:00"/>
    <x v="18"/>
    <n v="263"/>
    <n v="1"/>
    <n v="264"/>
    <s v="UPI"/>
    <x v="3"/>
    <s v="Custmer complaned"/>
  </r>
  <r>
    <s v="BC21061"/>
    <x v="54"/>
    <x v="8"/>
    <d v="1899-12-30T17:33:00"/>
    <s v="Burger Camp, Pune"/>
    <s v="Zaid Joshi"/>
    <d v="2000-08-10T00:00:00"/>
    <x v="18"/>
    <n v="137"/>
    <n v="1"/>
    <n v="138"/>
    <s v="Card"/>
    <x v="1"/>
    <s v="No onion"/>
  </r>
  <r>
    <s v="BC21062"/>
    <x v="28"/>
    <x v="4"/>
    <d v="1899-12-30T18:01:00"/>
    <s v="Burger Camp, Pune"/>
    <s v="Riya Naik"/>
    <d v="2003-03-17T00:00:00"/>
    <x v="8"/>
    <n v="43"/>
    <n v="3"/>
    <n v="131"/>
    <s v="UPI"/>
    <x v="5"/>
    <s v="No onion"/>
  </r>
  <r>
    <s v="BC21063"/>
    <x v="123"/>
    <x v="10"/>
    <d v="1899-12-30T21:58:00"/>
    <s v="Burger Camp, Pune"/>
    <s v="Farhan Gore"/>
    <d v="1978-07-05T00:00:00"/>
    <x v="13"/>
    <n v="129"/>
    <n v="2"/>
    <n v="259"/>
    <s v="Card"/>
    <x v="3"/>
    <s v="repeat customer"/>
  </r>
  <r>
    <s v="BC21064"/>
    <x v="234"/>
    <x v="10"/>
    <d v="1899-12-30T14:17:00"/>
    <s v="Burger Camp, Pune"/>
    <s v="Riya Shaikh"/>
    <d v="2000-02-26T00:00:00"/>
    <x v="23"/>
    <n v="163"/>
    <n v="1"/>
    <n v="164"/>
    <s v="Cash "/>
    <x v="7"/>
    <s v="repeat customer"/>
  </r>
  <r>
    <s v="BC21065"/>
    <x v="164"/>
    <x v="1"/>
    <d v="1899-12-30T23:35:45"/>
    <s v="Burger Camp, Pune"/>
    <s v="Kiran Shaikh"/>
    <d v="1975-08-17T00:00:00"/>
    <x v="12"/>
    <n v="259"/>
    <n v="1"/>
    <n v="260"/>
    <s v="Cash"/>
    <x v="4"/>
    <s v="Less salt"/>
  </r>
  <r>
    <s v="BC21066"/>
    <x v="210"/>
    <x v="3"/>
    <d v="1899-12-30T13:55:38"/>
    <s v="Burger Camp, Pune"/>
    <s v="anil kulkarni"/>
    <d v="1970-05-15T00:00:00"/>
    <x v="23"/>
    <n v="270"/>
    <n v="2"/>
    <n v="542"/>
    <s v="Card"/>
    <x v="0"/>
    <s v="Extra cheese"/>
  </r>
  <r>
    <s v="BC21067"/>
    <x v="192"/>
    <x v="11"/>
    <d v="1899-12-30T16:45:00"/>
    <s v="Burger Camp, Pune"/>
    <s v="Rahul Patil"/>
    <d v="2004-03-04T00:00:00"/>
    <x v="14"/>
    <n v="129"/>
    <n v="1"/>
    <n v="130"/>
    <s v="Card"/>
    <x v="0"/>
    <s v="Spicy"/>
  </r>
  <r>
    <s v="BC21068"/>
    <x v="171"/>
    <x v="0"/>
    <d v="1899-12-30T16:42:00"/>
    <s v="Burger Camp, Pune"/>
    <s v="Anil Kulkarni"/>
    <d v="1981-04-09T00:00:00"/>
    <x v="7"/>
    <n v="167"/>
    <n v="1"/>
    <n v="168"/>
    <s v="Cash"/>
    <x v="0"/>
    <s v="Less salt"/>
  </r>
  <r>
    <s v="BC21069"/>
    <x v="227"/>
    <x v="4"/>
    <d v="1899-12-30T17:48:00"/>
    <s v="Burger Camp, Pune"/>
    <s v="Anil Kulkarni"/>
    <d v="1994-05-21T00:00:00"/>
    <x v="4"/>
    <n v="215"/>
    <n v="1"/>
    <n v="216"/>
    <s v="Card"/>
    <x v="4"/>
    <s v="repeat customer"/>
  </r>
  <r>
    <s v="BC21070"/>
    <x v="278"/>
    <x v="8"/>
    <d v="1899-12-30T15:36:00"/>
    <s v="Burger Camp, Pune"/>
    <s v="Pooja Deshmukh"/>
    <d v="2000-08-12T00:00:00"/>
    <x v="19"/>
    <n v="297"/>
    <n v="3"/>
    <n v="891"/>
    <s v="UPI"/>
    <x v="0"/>
    <s v="repeat customer"/>
  </r>
  <r>
    <s v="BC21071"/>
    <x v="38"/>
    <x v="3"/>
    <d v="1899-12-30T20:51:31"/>
    <s v="Burger Camp, Pune"/>
    <s v=" Mubin Shinde "/>
    <d v="2000-08-12T00:00:00"/>
    <x v="17"/>
    <n v="119"/>
    <n v="3"/>
    <n v="307"/>
    <s v="UPI"/>
    <x v="1"/>
    <s v="repeat customer"/>
  </r>
  <r>
    <s v="BC21072"/>
    <x v="333"/>
    <x v="7"/>
    <d v="1899-12-30T14:53:00"/>
    <s v="Burger Camp, Pune"/>
    <s v="Zara Gore"/>
    <d v="2000-08-12T00:00:00"/>
    <x v="24"/>
    <n v="144"/>
    <n v="2"/>
    <n v="290"/>
    <s v="Wallet"/>
    <x v="6"/>
    <s v="Spicy"/>
  </r>
  <r>
    <s v="BC21073"/>
    <x v="129"/>
    <x v="9"/>
    <d v="1899-12-30T10:23:32"/>
    <s v="Burger Camp, Pune"/>
    <s v="Zara Gore"/>
    <d v="1987-06-20T00:00:00"/>
    <x v="3"/>
    <n v="96"/>
    <n v="3"/>
    <n v="290"/>
    <s v="Wallet"/>
    <x v="4"/>
    <s v="Spicy"/>
  </r>
  <r>
    <s v="BC21074"/>
    <x v="129"/>
    <x v="9"/>
    <d v="1899-12-30T19:27:32"/>
    <s v="Burger Camp, Pune"/>
    <s v="Zaid Kulkarni"/>
    <d v="2005-07-25T00:00:00"/>
    <x v="2"/>
    <n v="315"/>
    <n v="1"/>
    <n v="315"/>
    <s v="UPI"/>
    <x v="7"/>
    <s v="Custmer complaned"/>
  </r>
  <r>
    <s v="BC21075"/>
    <x v="221"/>
    <x v="2"/>
    <d v="1899-12-30T13:09:31"/>
    <s v="Burger Camp, Pune"/>
    <s v="Pooja Deshmukh"/>
    <d v="1992-10-13T00:00:00"/>
    <x v="6"/>
    <n v="108"/>
    <n v="1"/>
    <n v="109"/>
    <s v="Cash "/>
    <x v="2"/>
    <s v="Extra cheese"/>
  </r>
  <r>
    <s v="BC21076"/>
    <x v="330"/>
    <x v="0"/>
    <d v="1899-12-30T22:23:15"/>
    <s v="Burger Camp, Pune"/>
    <s v=" Pooja Patil "/>
    <d v="1987-11-27T00:00:00"/>
    <x v="16"/>
    <n v="214"/>
    <n v="2"/>
    <n v="428"/>
    <s v="Wallet"/>
    <x v="4"/>
    <s v="Extra cheese"/>
  </r>
  <r>
    <s v="BC21077"/>
    <x v="255"/>
    <x v="1"/>
    <d v="1899-12-30T12:46:00"/>
    <s v="Burger Camp, Pune"/>
    <s v="Riya Deshmukh"/>
    <d v="1991-12-12T00:00:00"/>
    <x v="0"/>
    <n v="90"/>
    <n v="1"/>
    <n v="90"/>
    <s v="Cash"/>
    <x v="2"/>
    <s v="No onion"/>
  </r>
  <r>
    <s v="BC21078"/>
    <x v="296"/>
    <x v="5"/>
    <d v="1899-12-30T16:23:00"/>
    <s v="Burger Camp, Pune"/>
    <s v="Rahul More"/>
    <d v="1982-05-13T00:00:00"/>
    <x v="8"/>
    <n v="50"/>
    <n v="3"/>
    <n v="153"/>
    <s v="UPI"/>
    <x v="5"/>
    <s v="Custmer complaned"/>
  </r>
  <r>
    <s v="BC21079"/>
    <x v="11"/>
    <x v="5"/>
    <d v="1899-12-30T10:11:40"/>
    <s v="Burger Camp, Pune"/>
    <s v="Zaid Khan"/>
    <d v="2008-06-04T00:00:00"/>
    <x v="7"/>
    <n v="181"/>
    <n v="2"/>
    <n v="363"/>
    <s v="Cash "/>
    <x v="6"/>
    <s v="Custmer complaned"/>
  </r>
  <r>
    <s v="BC21080"/>
    <x v="217"/>
    <x v="6"/>
    <d v="1899-12-30T10:51:58"/>
    <s v="Burger Camp, Pune"/>
    <s v="Kiran Patil"/>
    <d v="1999-01-24T00:00:00"/>
    <x v="14"/>
    <n v="255"/>
    <n v="2"/>
    <n v="512"/>
    <s v="Card"/>
    <x v="3"/>
    <s v="Less salt"/>
  </r>
  <r>
    <s v="BC21081"/>
    <x v="158"/>
    <x v="4"/>
    <d v="1899-12-30T19:41:00"/>
    <s v="Burger Camp, Pune"/>
    <s v="Anil Shaikh"/>
    <d v="1985-08-14T00:00:00"/>
    <x v="14"/>
    <n v="111"/>
    <n v="2"/>
    <m/>
    <s v="UPI"/>
    <x v="7"/>
    <s v="Extra cheese"/>
  </r>
  <r>
    <s v="BC21082"/>
    <x v="244"/>
    <x v="2"/>
    <d v="1899-12-30T18:13:00"/>
    <s v="Burger Camp, Pune"/>
    <s v="Kiran Naik"/>
    <d v="1985-08-14T00:00:00"/>
    <x v="13"/>
    <n v="115"/>
    <n v="1"/>
    <n v="116"/>
    <s v="UPI"/>
    <x v="6"/>
    <s v="Spicy"/>
  </r>
  <r>
    <s v="BC21083"/>
    <x v="237"/>
    <x v="2"/>
    <d v="1899-12-30T13:07:55"/>
    <s v="Burger Camp, Pune"/>
    <s v="Rahul Kulkarni"/>
    <d v="1994-05-08T00:00:00"/>
    <x v="13"/>
    <n v="139"/>
    <n v="1"/>
    <n v="140"/>
    <s v="Cash"/>
    <x v="6"/>
    <s v="Servd late"/>
  </r>
  <r>
    <s v="BC21084"/>
    <x v="237"/>
    <x v="2"/>
    <d v="1899-12-30T21:52:00"/>
    <s v="Burger Camp, Pune"/>
    <s v="Zaid Gore"/>
    <d v="1993-03-07T00:00:00"/>
    <x v="6"/>
    <n v="89"/>
    <n v="1"/>
    <n v="90"/>
    <s v="Card"/>
    <x v="7"/>
    <s v="Extra cheese"/>
  </r>
  <r>
    <s v="BC21085"/>
    <x v="237"/>
    <x v="2"/>
    <d v="1899-12-30T19:41:00"/>
    <s v="Burger Camp, Pune"/>
    <s v="Farhan Naik"/>
    <d v="1981-11-15T00:00:00"/>
    <x v="2"/>
    <n v="89"/>
    <n v="3"/>
    <n v="90"/>
    <s v="UPI"/>
    <x v="5"/>
    <s v="repeat customer"/>
  </r>
  <r>
    <s v="BC21086"/>
    <x v="84"/>
    <x v="2"/>
    <d v="1899-12-30T14:33:00"/>
    <s v="Burger Camp, Pune"/>
    <s v="Aisha Khan"/>
    <d v="1973-06-10T00:00:00"/>
    <x v="10"/>
    <n v="45"/>
    <n v="2"/>
    <n v="91"/>
    <s v="Card"/>
    <x v="2"/>
    <s v="No onion"/>
  </r>
  <r>
    <s v="BC21087"/>
    <x v="328"/>
    <x v="2"/>
    <d v="1899-12-30T23:43:00"/>
    <s v="Burger Camp, Pune"/>
    <s v="Sneha Deshmukh"/>
    <d v="2007-06-28T00:00:00"/>
    <x v="3"/>
    <n v="296"/>
    <n v="3"/>
    <n v="888"/>
    <s v="Card"/>
    <x v="7"/>
    <s v="Custmer complaned"/>
  </r>
  <r>
    <s v="BC21088"/>
    <x v="231"/>
    <x v="2"/>
    <d v="1899-12-30T20:51:00"/>
    <s v="Burger Camp, Pune"/>
    <s v="Aisha Naik"/>
    <d v="1977-12-28T00:00:00"/>
    <x v="8"/>
    <n v="50"/>
    <n v="2"/>
    <n v="100"/>
    <s v="Card"/>
    <x v="4"/>
    <s v="Servd late"/>
  </r>
  <r>
    <s v="BC21089"/>
    <x v="291"/>
    <x v="1"/>
    <d v="1899-12-30T23:03:00"/>
    <s v="Burger Camp, Pune"/>
    <s v="Sneha Patil"/>
    <d v="1989-08-25T00:00:00"/>
    <x v="4"/>
    <n v="177"/>
    <n v="1"/>
    <n v="177"/>
    <s v="Cash"/>
    <x v="5"/>
    <s v="Servd late"/>
  </r>
  <r>
    <s v="BC21090"/>
    <x v="94"/>
    <x v="5"/>
    <d v="1899-12-30T15:38:00"/>
    <s v="Burger Camp, Pune"/>
    <s v="Anil Gore"/>
    <d v="1986-12-28T00:00:00"/>
    <x v="23"/>
    <n v="282"/>
    <n v="2"/>
    <n v="566"/>
    <s v="Cash"/>
    <x v="0"/>
    <s v="Custmer complaned"/>
  </r>
  <r>
    <s v="BC21091"/>
    <x v="326"/>
    <x v="3"/>
    <d v="1899-12-30T17:09:43"/>
    <s v="Burger Camp, Pune"/>
    <s v="Zaid Shinde"/>
    <d v="1988-06-04T00:00:00"/>
    <x v="1"/>
    <n v="224"/>
    <n v="2"/>
    <n v="449"/>
    <s v="Card"/>
    <x v="0"/>
    <s v="Custmer complaned"/>
  </r>
  <r>
    <s v="BC21092"/>
    <x v="171"/>
    <x v="0"/>
    <d v="1899-12-30T22:59:42"/>
    <s v="Burger Camp, Pune"/>
    <s v="Aisha Deshmukh"/>
    <d v="1988-06-04T00:00:00"/>
    <x v="23"/>
    <n v="202"/>
    <n v="2"/>
    <n v="405"/>
    <s v="Card"/>
    <x v="2"/>
    <s v="Custmer complaned"/>
  </r>
  <r>
    <s v="BC21093"/>
    <x v="10"/>
    <x v="6"/>
    <d v="1899-12-30T11:40:00"/>
    <s v="Burger Camp, Pune"/>
    <s v="Pooja Gore"/>
    <d v="1994-01-25T00:00:00"/>
    <x v="1"/>
    <n v="243"/>
    <n v="1"/>
    <n v="241"/>
    <s v="Wallet"/>
    <x v="1"/>
    <s v="No onion"/>
  </r>
  <r>
    <s v="BC21094"/>
    <x v="17"/>
    <x v="3"/>
    <d v="1899-12-30T12:02:10"/>
    <s v="Burger Camp, Pune"/>
    <s v="anil khan"/>
    <d v="1985-12-07T00:00:00"/>
    <x v="3"/>
    <n v="215"/>
    <n v="3"/>
    <n v="645"/>
    <s v="Cash "/>
    <x v="6"/>
    <s v="No onion"/>
  </r>
  <r>
    <s v="BC21095"/>
    <x v="43"/>
    <x v="3"/>
    <d v="1899-12-30T22:28:27"/>
    <s v="Burger Camp, Pune"/>
    <s v="Riya Naik"/>
    <d v="1970-09-08T00:00:00"/>
    <x v="8"/>
    <n v="41"/>
    <n v="3"/>
    <n v="126"/>
    <s v="UPI"/>
    <x v="6"/>
    <s v="repeat customer"/>
  </r>
  <r>
    <s v="BC21096"/>
    <x v="233"/>
    <x v="9"/>
    <d v="1899-12-30T18:05:00"/>
    <s v="Burger Camp, Pune"/>
    <s v="Rahul More"/>
    <d v="1987-10-19T00:00:00"/>
    <x v="6"/>
    <n v="117"/>
    <n v="2"/>
    <n v="235"/>
    <s v="Wallet"/>
    <x v="7"/>
    <s v="Extra cheese"/>
  </r>
  <r>
    <s v="BC21097"/>
    <x v="331"/>
    <x v="8"/>
    <d v="1899-12-30T23:35:36"/>
    <s v="Burger Camp, Pune"/>
    <s v="Anil Gore"/>
    <d v="2003-02-04T00:00:00"/>
    <x v="0"/>
    <n v="98"/>
    <n v="1"/>
    <n v="99"/>
    <s v="Wallet"/>
    <x v="7"/>
    <s v="Extra cheese"/>
  </r>
  <r>
    <s v="BC21098"/>
    <x v="132"/>
    <x v="9"/>
    <d v="1899-12-30T13:32:26"/>
    <s v="Burger Camp, Pune"/>
    <s v="Anil Kulkarni"/>
    <d v="1985-01-09T00:00:00"/>
    <x v="3"/>
    <n v="101"/>
    <n v="2"/>
    <m/>
    <s v="Card"/>
    <x v="2"/>
    <s v="No onion"/>
  </r>
  <r>
    <s v="BC21099"/>
    <x v="288"/>
    <x v="3"/>
    <d v="1899-12-30T20:27:00"/>
    <s v="Burger Camp, Pune"/>
    <s v="Anil Gore"/>
    <d v="1984-03-15T00:00:00"/>
    <x v="13"/>
    <n v="129"/>
    <n v="2"/>
    <n v="260"/>
    <s v="UPI"/>
    <x v="5"/>
    <s v="Less salt"/>
  </r>
  <r>
    <s v="BC21100"/>
    <x v="220"/>
    <x v="1"/>
    <d v="1899-12-30T19:33:00"/>
    <s v="Burger Camp, Pune"/>
    <s v="Kiran Khan"/>
    <d v="2010-02-08T00:00:00"/>
    <x v="22"/>
    <n v="237"/>
    <n v="2"/>
    <n v="474"/>
    <s v="UPI"/>
    <x v="5"/>
    <s v="Custmer complaned"/>
  </r>
  <r>
    <s v="BC21101"/>
    <x v="345"/>
    <x v="3"/>
    <d v="1899-12-30T10:25:00"/>
    <s v="Burger Camp, Pune"/>
    <s v="Rahul Gore"/>
    <d v="2001-01-02T00:00:00"/>
    <x v="22"/>
    <n v="118"/>
    <n v="2"/>
    <n v="210"/>
    <s v="UPI"/>
    <x v="1"/>
    <s v="No onion"/>
  </r>
  <r>
    <s v="BC21102"/>
    <x v="147"/>
    <x v="10"/>
    <d v="1899-12-30T10:19:00"/>
    <s v="Burger Camp, Pune"/>
    <s v="Kiran More"/>
    <d v="1993-02-08T00:00:00"/>
    <x v="12"/>
    <n v="264"/>
    <n v="2"/>
    <n v="528"/>
    <s v="Cash"/>
    <x v="7"/>
    <s v="Less salt"/>
  </r>
  <r>
    <s v="BC21103"/>
    <x v="346"/>
    <x v="3"/>
    <d v="1899-12-30T14:15:00"/>
    <s v="Burger Camp, Pune"/>
    <s v="Sneha Deshmukh"/>
    <d v="1972-03-08T00:00:00"/>
    <x v="8"/>
    <n v="51"/>
    <n v="1"/>
    <n v="51"/>
    <s v="Cash"/>
    <x v="3"/>
    <s v="Less salt"/>
  </r>
  <r>
    <s v="BC21104"/>
    <x v="123"/>
    <x v="10"/>
    <d v="1899-12-30T15:57:00"/>
    <s v="Burger Camp, Pune"/>
    <s v="Zaid Kulkarni"/>
    <d v="1970-06-15T00:00:00"/>
    <x v="6"/>
    <n v="101"/>
    <n v="1"/>
    <n v="101"/>
    <s v="Cash"/>
    <x v="2"/>
    <s v="Custmer complaned"/>
  </r>
  <r>
    <s v="BC21105"/>
    <x v="323"/>
    <x v="2"/>
    <d v="1899-12-30T11:55:55"/>
    <s v="Burger Camp, Pune"/>
    <s v="Farhan More"/>
    <d v="2007-05-07T00:00:00"/>
    <x v="20"/>
    <n v="274"/>
    <n v="3"/>
    <n v="865"/>
    <s v="Card"/>
    <x v="1"/>
    <s v="Servd late"/>
  </r>
  <r>
    <s v="BC21106"/>
    <x v="287"/>
    <x v="11"/>
    <d v="1899-12-30T22:20:00"/>
    <s v="Burger Camp, Pune"/>
    <s v="Zara Joshi"/>
    <d v="2007-05-07T00:00:00"/>
    <x v="14"/>
    <n v="218"/>
    <n v="2"/>
    <n v="437"/>
    <s v="Cash "/>
    <x v="4"/>
    <s v="Servd late"/>
  </r>
  <r>
    <s v="BC21107"/>
    <x v="110"/>
    <x v="4"/>
    <d v="1899-12-30T11:50:00"/>
    <s v="Burger Camp, Pune"/>
    <s v="Aisha Naik"/>
    <d v="1981-06-23T00:00:00"/>
    <x v="2"/>
    <n v="312"/>
    <n v="2"/>
    <n v="626"/>
    <s v="Cash "/>
    <x v="2"/>
    <s v="Extra cheese"/>
  </r>
  <r>
    <s v="BC21108"/>
    <x v="285"/>
    <x v="1"/>
    <d v="1899-12-30T21:15:00"/>
    <s v="Burger Camp, Pune"/>
    <s v="Riya Khan"/>
    <d v="1973-11-12T00:00:00"/>
    <x v="0"/>
    <n v="100"/>
    <n v="3"/>
    <n v="302"/>
    <s v="Cash "/>
    <x v="5"/>
    <s v="repeat customer"/>
  </r>
  <r>
    <s v="BC21109"/>
    <x v="299"/>
    <x v="1"/>
    <d v="1899-12-30T23:22:00"/>
    <s v="Burger Camp, Pune"/>
    <s v="Aisha Shinde"/>
    <d v="1993-08-01T00:00:00"/>
    <x v="7"/>
    <n v="186"/>
    <n v="1"/>
    <n v="186"/>
    <s v="UPI"/>
    <x v="0"/>
    <s v="Extra cheese"/>
  </r>
  <r>
    <s v="BC21110"/>
    <x v="345"/>
    <x v="3"/>
    <d v="1899-12-30T22:47:00"/>
    <s v="Burger Camp, Pune"/>
    <s v="Mubin Kulkarni"/>
    <d v="1993-08-01T00:00:00"/>
    <x v="9"/>
    <n v="164"/>
    <n v="3"/>
    <n v="502"/>
    <s v="Wallet"/>
    <x v="3"/>
    <s v="Extra cheese"/>
  </r>
  <r>
    <s v="BC21111"/>
    <x v="106"/>
    <x v="11"/>
    <d v="1899-12-30T18:01:00"/>
    <s v="Burger Camp, Pune"/>
    <s v="Kiran Kulkarni"/>
    <d v="2001-01-03T00:00:00"/>
    <x v="12"/>
    <n v="228"/>
    <n v="2"/>
    <n v="457"/>
    <s v="Card"/>
    <x v="0"/>
    <s v="No onion"/>
  </r>
  <r>
    <s v="BC21112"/>
    <x v="155"/>
    <x v="6"/>
    <d v="1899-12-30T10:22:00"/>
    <s v="Burger Camp, Pune"/>
    <s v="Riya Shinde"/>
    <d v="2006-12-22T00:00:00"/>
    <x v="4"/>
    <n v="156"/>
    <n v="2"/>
    <n v="314"/>
    <s v="UPI"/>
    <x v="1"/>
    <s v="No onion"/>
  </r>
  <r>
    <s v="BC21113"/>
    <x v="221"/>
    <x v="2"/>
    <d v="1899-12-30T14:31:00"/>
    <s v="Burger Camp, Pune"/>
    <s v="Riya Shinde"/>
    <d v="2009-11-22T00:00:00"/>
    <x v="6"/>
    <n v="108"/>
    <n v="1"/>
    <n v="106"/>
    <s v="UPI"/>
    <x v="1"/>
    <s v="Spicy"/>
  </r>
  <r>
    <s v="BC21114"/>
    <x v="112"/>
    <x v="9"/>
    <d v="1899-12-30T19:05:36"/>
    <s v="Burger Camp, Pune"/>
    <s v="Zara Gore"/>
    <d v="1972-04-21T00:00:00"/>
    <x v="22"/>
    <n v="267"/>
    <n v="1"/>
    <n v="268"/>
    <s v="UPI"/>
    <x v="7"/>
    <s v="Spicy"/>
  </r>
  <r>
    <s v="BC21115"/>
    <x v="158"/>
    <x v="4"/>
    <d v="1899-12-30T11:11:00"/>
    <s v="Burger Camp, Pune"/>
    <s v="Zaid Gore"/>
    <d v="1988-12-12T00:00:00"/>
    <x v="7"/>
    <n v="225"/>
    <n v="2"/>
    <n v="452"/>
    <s v="UPI"/>
    <x v="2"/>
    <s v="Extra cheese"/>
  </r>
  <r>
    <s v="BC21116"/>
    <x v="219"/>
    <x v="1"/>
    <d v="1899-12-30T21:42:00"/>
    <s v="Burger Camp, Pune"/>
    <s v="Pooja Gore"/>
    <d v="1974-03-22T00:00:00"/>
    <x v="19"/>
    <n v="323"/>
    <n v="2"/>
    <n v="647"/>
    <s v="Wallet"/>
    <x v="0"/>
    <s v="Servd late"/>
  </r>
  <r>
    <s v="BC21117"/>
    <x v="113"/>
    <x v="4"/>
    <d v="1899-12-30T12:56:39"/>
    <s v="Burger Camp, Pune"/>
    <s v="Riya Joshi"/>
    <d v="1994-08-01T00:00:00"/>
    <x v="0"/>
    <n v="102"/>
    <n v="2"/>
    <n v="206"/>
    <s v="Wallet"/>
    <x v="7"/>
    <s v="Less salt"/>
  </r>
  <r>
    <s v="BC21118"/>
    <x v="205"/>
    <x v="1"/>
    <d v="1899-12-30T11:58:00"/>
    <s v="Burger Camp, Pune"/>
    <s v="Rahul Shaikh"/>
    <d v="2009-07-20T00:00:00"/>
    <x v="4"/>
    <n v="191"/>
    <n v="2"/>
    <n v="382"/>
    <s v="Wallet"/>
    <x v="7"/>
    <s v="Less salt"/>
  </r>
  <r>
    <s v="BC21119"/>
    <x v="307"/>
    <x v="1"/>
    <d v="1899-12-30T23:53:26"/>
    <s v="Burger Camp, Pune"/>
    <s v="Kiran Patil"/>
    <d v="1991-06-10T00:00:00"/>
    <x v="16"/>
    <n v="200"/>
    <n v="2"/>
    <n v="401"/>
    <s v="Wallet"/>
    <x v="4"/>
    <s v="Custmer complaned"/>
  </r>
  <r>
    <s v="BC21120"/>
    <x v="198"/>
    <x v="7"/>
    <d v="1899-12-30T10:58:00"/>
    <s v="Burger Camp, Pune"/>
    <s v="Farhan Naik"/>
    <d v="1973-07-02T00:00:00"/>
    <x v="1"/>
    <n v="235"/>
    <n v="1"/>
    <m/>
    <s v="UPI"/>
    <x v="3"/>
    <s v="Custmer complaned"/>
  </r>
  <r>
    <s v="BC21121"/>
    <x v="119"/>
    <x v="0"/>
    <d v="1899-12-30T16:04:00"/>
    <s v="Burger Camp, Pune"/>
    <s v="Aarav Gore"/>
    <d v="1975-09-24T00:00:00"/>
    <x v="8"/>
    <n v="43"/>
    <n v="3"/>
    <n v="132"/>
    <s v="UPI"/>
    <x v="2"/>
    <s v="Custmer complaned"/>
  </r>
  <r>
    <s v="BC21122"/>
    <x v="31"/>
    <x v="3"/>
    <d v="1899-12-30T20:23:46"/>
    <s v="Burger Camp, Pune"/>
    <s v="Rahul Patil"/>
    <d v="1981-12-26T00:00:00"/>
    <x v="22"/>
    <n v="152"/>
    <n v="1"/>
    <n v="152"/>
    <s v="Card"/>
    <x v="0"/>
    <s v="Less salt"/>
  </r>
  <r>
    <s v="BC21123"/>
    <x v="347"/>
    <x v="6"/>
    <d v="1899-12-30T16:20:00"/>
    <s v="Burger Camp, Pune"/>
    <s v=" Mubin Patil "/>
    <d v="1998-05-02T00:00:00"/>
    <x v="8"/>
    <n v="48"/>
    <n v="3"/>
    <n v="145"/>
    <s v="Card"/>
    <x v="4"/>
    <s v="repeat customer"/>
  </r>
  <r>
    <s v="BC21124"/>
    <x v="121"/>
    <x v="4"/>
    <d v="1899-12-30T19:06:58"/>
    <s v="Burger Camp, Pune"/>
    <s v="Anil Naik"/>
    <d v="1990-04-26T00:00:00"/>
    <x v="2"/>
    <n v="214"/>
    <n v="1"/>
    <n v="214"/>
    <s v="Cash"/>
    <x v="3"/>
    <s v="Spicy"/>
  </r>
  <r>
    <s v="BC21125"/>
    <x v="333"/>
    <x v="7"/>
    <d v="1899-12-30T17:53:00"/>
    <s v="Burger Camp, Pune"/>
    <s v="riya patil"/>
    <d v="1985-05-06T00:00:00"/>
    <x v="6"/>
    <n v="82"/>
    <n v="3"/>
    <n v="247"/>
    <s v="UPI"/>
    <x v="0"/>
    <s v="Spicy"/>
  </r>
  <r>
    <s v="BC21126"/>
    <x v="63"/>
    <x v="10"/>
    <d v="1899-12-30T17:55:00"/>
    <s v="Burger Camp, Pune"/>
    <s v="Aarav More"/>
    <d v="1985-05-06T00:00:00"/>
    <x v="2"/>
    <n v="287"/>
    <n v="2"/>
    <n v="575"/>
    <s v="UPI"/>
    <x v="3"/>
    <s v="Servd late"/>
  </r>
  <r>
    <s v="BC21127"/>
    <x v="32"/>
    <x v="10"/>
    <d v="1899-12-30T14:56:04"/>
    <s v="Burger Camp, Pune"/>
    <s v="Aisha Kulkarni"/>
    <d v="1981-08-28T00:00:00"/>
    <x v="15"/>
    <n v="262"/>
    <n v="1"/>
    <n v="263"/>
    <s v="UPI"/>
    <x v="0"/>
    <s v="Servd late"/>
  </r>
  <r>
    <s v="BC21128"/>
    <x v="122"/>
    <x v="5"/>
    <d v="1899-12-30T14:11:00"/>
    <s v="Burger Camp, Pune"/>
    <s v="Farhan More"/>
    <d v="2003-10-20T00:00:00"/>
    <x v="3"/>
    <n v="257"/>
    <n v="1"/>
    <n v="100"/>
    <s v="Cash"/>
    <x v="6"/>
    <s v="Servd late"/>
  </r>
  <r>
    <s v="BC21129"/>
    <x v="122"/>
    <x v="5"/>
    <d v="1899-12-30T18:35:58"/>
    <s v="Burger Camp, Pune"/>
    <s v="Zara Naik"/>
    <d v="1995-04-26T00:00:00"/>
    <x v="10"/>
    <n v="213"/>
    <n v="3"/>
    <n v="642"/>
    <s v="UPI"/>
    <x v="3"/>
    <s v="Servd late"/>
  </r>
  <r>
    <s v="BC21130"/>
    <x v="320"/>
    <x v="6"/>
    <d v="1899-12-30T13:52:00"/>
    <s v="Burger Camp, Pune"/>
    <s v="Aisha Khan"/>
    <d v="1992-05-04T00:00:00"/>
    <x v="21"/>
    <n v="215"/>
    <n v="2"/>
    <n v="431"/>
    <s v="Cash"/>
    <x v="2"/>
    <s v="Extra cheese"/>
  </r>
  <r>
    <s v="BC21131"/>
    <x v="333"/>
    <x v="7"/>
    <d v="1899-12-30T17:56:00"/>
    <s v="Burger Camp, Pune"/>
    <s v="Sneha Joshi"/>
    <d v="2001-09-26T00:00:00"/>
    <x v="3"/>
    <n v="262"/>
    <n v="3"/>
    <n v="786"/>
    <s v="Wallet"/>
    <x v="2"/>
    <s v="Custmer complaned"/>
  </r>
  <r>
    <s v="BC21132"/>
    <x v="116"/>
    <x v="11"/>
    <d v="1899-12-30T12:52:00"/>
    <s v="Burger Camp, Pune"/>
    <s v="Sneha More"/>
    <d v="1997-04-25T00:00:00"/>
    <x v="0"/>
    <n v="111"/>
    <n v="1"/>
    <n v="107"/>
    <s v="Card"/>
    <x v="7"/>
    <s v="Extra cheese"/>
  </r>
  <r>
    <s v="BC21133"/>
    <x v="93"/>
    <x v="5"/>
    <d v="1899-12-30T18:51:00"/>
    <s v="Burger Camp, Pune"/>
    <s v="Aisha Deshmukh"/>
    <d v="1975-11-02T00:00:00"/>
    <x v="21"/>
    <n v="210"/>
    <n v="3"/>
    <n v="633"/>
    <s v="Wallet"/>
    <x v="3"/>
    <s v="No onion"/>
  </r>
  <r>
    <s v="BC21134"/>
    <x v="310"/>
    <x v="10"/>
    <d v="1899-12-30T23:58:00"/>
    <s v="Burger Camp, Pune"/>
    <s v="Riya Patil"/>
    <d v="1989-11-16T00:00:00"/>
    <x v="8"/>
    <n v="43"/>
    <n v="1"/>
    <n v="43"/>
    <s v="Card"/>
    <x v="2"/>
    <s v="No onion"/>
  </r>
  <r>
    <s v="BC21135"/>
    <x v="207"/>
    <x v="6"/>
    <d v="1899-12-30T21:30:00"/>
    <s v="Burger Camp, Pune"/>
    <s v="Kiran Patil"/>
    <d v="1992-07-25T00:00:00"/>
    <x v="23"/>
    <n v="84"/>
    <n v="3"/>
    <n v="253"/>
    <s v="Card"/>
    <x v="0"/>
    <s v="No onion"/>
  </r>
  <r>
    <s v="BC21136"/>
    <x v="216"/>
    <x v="4"/>
    <d v="1899-12-30T13:32:30"/>
    <s v="Burger Camp, Pune"/>
    <s v="Kiran Shaikh"/>
    <d v="2004-02-18T00:00:00"/>
    <x v="1"/>
    <n v="218"/>
    <n v="2"/>
    <n v="436"/>
    <s v="Card"/>
    <x v="6"/>
    <s v="Less salt"/>
  </r>
  <r>
    <s v="BC21137"/>
    <x v="143"/>
    <x v="10"/>
    <d v="1899-12-30T17:37:42"/>
    <s v="Burger Camp, Pune"/>
    <s v="Anil Khan"/>
    <d v="1976-06-16T00:00:00"/>
    <x v="10"/>
    <n v="121"/>
    <n v="1"/>
    <n v="122"/>
    <s v="Card"/>
    <x v="1"/>
    <s v="Servd late"/>
  </r>
  <r>
    <s v="BC21138"/>
    <x v="333"/>
    <x v="7"/>
    <d v="1899-12-30T13:33:20"/>
    <s v="Burger Camp, Pune"/>
    <s v="Pooja Khan"/>
    <d v="1999-11-03T00:00:00"/>
    <x v="3"/>
    <n v="128"/>
    <n v="1"/>
    <n v="129"/>
    <s v="UPI"/>
    <x v="6"/>
    <s v="Servd late"/>
  </r>
  <r>
    <s v="BC21139"/>
    <x v="188"/>
    <x v="11"/>
    <d v="1899-12-30T20:45:00"/>
    <s v="Burger Camp, Pune"/>
    <s v=" Sneha Shaikh "/>
    <d v="1999-11-03T00:00:00"/>
    <x v="10"/>
    <n v="126"/>
    <n v="2"/>
    <n v="253"/>
    <s v="Cash"/>
    <x v="7"/>
    <s v="No onion"/>
  </r>
  <r>
    <s v="BC21140"/>
    <x v="130"/>
    <x v="5"/>
    <d v="1899-12-30T18:27:26"/>
    <s v="Burger Camp, Pune"/>
    <s v="Mubin Kulkarni"/>
    <d v="1979-07-05T00:00:00"/>
    <x v="7"/>
    <n v="110"/>
    <n v="1"/>
    <n v="111"/>
    <s v="Cash"/>
    <x v="7"/>
    <s v="Custmer complaned"/>
  </r>
  <r>
    <s v="BC21141"/>
    <x v="140"/>
    <x v="7"/>
    <d v="1899-12-30T17:15:08"/>
    <s v="Burger Camp, Pune"/>
    <s v="Zaid Deshmukh"/>
    <d v="2009-08-22T00:00:00"/>
    <x v="22"/>
    <n v="83"/>
    <n v="3"/>
    <n v="251"/>
    <s v="Cash "/>
    <x v="0"/>
    <s v="Spicy"/>
  </r>
  <r>
    <s v="BC21142"/>
    <x v="78"/>
    <x v="10"/>
    <d v="1899-12-30T23:33:00"/>
    <s v="Burger Camp, Pune"/>
    <s v="kiran joshi"/>
    <d v="1988-04-05T00:00:00"/>
    <x v="12"/>
    <n v="277"/>
    <n v="2"/>
    <n v="554"/>
    <s v="Cash "/>
    <x v="4"/>
    <s v="Spicy"/>
  </r>
  <r>
    <s v="BC21143"/>
    <x v="285"/>
    <x v="1"/>
    <d v="1899-12-30T14:01:00"/>
    <s v="Burger Camp, Pune"/>
    <s v="Farhan Joshi"/>
    <d v="1979-04-04T00:00:00"/>
    <x v="22"/>
    <n v="237"/>
    <n v="3"/>
    <n v="713"/>
    <s v="Card"/>
    <x v="3"/>
    <s v="Spicy"/>
  </r>
  <r>
    <s v="BC21144"/>
    <x v="92"/>
    <x v="5"/>
    <d v="1899-12-30T14:10:41"/>
    <s v="Burger Camp, Pune"/>
    <s v="Pooja Joshi"/>
    <d v="1982-09-09T00:00:00"/>
    <x v="12"/>
    <n v="331"/>
    <n v="1"/>
    <n v="332"/>
    <s v="Card"/>
    <x v="2"/>
    <s v="Less salt"/>
  </r>
  <r>
    <s v="BC21145"/>
    <x v="216"/>
    <x v="4"/>
    <d v="1899-12-30T18:09:00"/>
    <s v="Burger Camp, Pune"/>
    <s v="Sneha Gore"/>
    <d v="1987-10-19T00:00:00"/>
    <x v="11"/>
    <n v="169"/>
    <n v="2"/>
    <n v="339"/>
    <s v="Cash"/>
    <x v="2"/>
    <s v="Extra cheese"/>
  </r>
  <r>
    <s v="BC21146"/>
    <x v="244"/>
    <x v="2"/>
    <d v="1899-12-30T21:42:00"/>
    <s v="Burger Camp, Pune"/>
    <s v="Zara More"/>
    <d v="1988-03-12T00:00:00"/>
    <x v="17"/>
    <n v="154"/>
    <n v="1"/>
    <n v="106"/>
    <s v="UPI"/>
    <x v="0"/>
    <s v="Custmer complaned"/>
  </r>
  <r>
    <s v="BC21147"/>
    <x v="15"/>
    <x v="2"/>
    <d v="1899-12-30T15:51:00"/>
    <s v="Burger Camp, Pune"/>
    <s v="Pooja More"/>
    <d v="2005-06-21T00:00:00"/>
    <x v="12"/>
    <n v="218"/>
    <n v="2"/>
    <n v="437"/>
    <s v="Cash"/>
    <x v="1"/>
    <s v="repeat customer"/>
  </r>
  <r>
    <s v="BC21148"/>
    <x v="238"/>
    <x v="5"/>
    <d v="1899-12-30T12:53:00"/>
    <s v="Burger Camp, Pune"/>
    <s v="anil more"/>
    <d v="1995-03-12T00:00:00"/>
    <x v="12"/>
    <n v="298"/>
    <n v="3"/>
    <n v="895"/>
    <s v="Cash "/>
    <x v="7"/>
    <s v="Spicy"/>
  </r>
  <r>
    <s v="BC21149"/>
    <x v="319"/>
    <x v="4"/>
    <d v="1899-12-30T12:43:00"/>
    <s v="Burger Camp, Pune"/>
    <s v="Zaid Shaikh"/>
    <d v="1986-10-14T00:00:00"/>
    <x v="15"/>
    <n v="129"/>
    <n v="2"/>
    <n v="258"/>
    <s v="UPI"/>
    <x v="6"/>
    <s v="No onion"/>
  </r>
  <r>
    <s v="BC21150"/>
    <x v="194"/>
    <x v="2"/>
    <d v="1899-12-30T20:17:00"/>
    <s v="Burger Camp, Pune"/>
    <s v="Sneha Joshi"/>
    <d v="1978-08-13T00:00:00"/>
    <x v="1"/>
    <n v="218"/>
    <n v="1"/>
    <n v="218"/>
    <s v="Card"/>
    <x v="5"/>
    <s v="Spicy"/>
  </r>
  <r>
    <s v="BC21151"/>
    <x v="195"/>
    <x v="11"/>
    <d v="1899-12-30T18:45:00"/>
    <s v="Burger Camp, Pune"/>
    <s v="Aarav More"/>
    <d v="2010-06-19T00:00:00"/>
    <x v="24"/>
    <n v="154"/>
    <n v="2"/>
    <n v="310"/>
    <s v="Card"/>
    <x v="4"/>
    <s v="Spicy"/>
  </r>
  <r>
    <s v="BC21152"/>
    <x v="190"/>
    <x v="4"/>
    <d v="1899-12-30T19:26:00"/>
    <s v="Burger Camp, Pune"/>
    <s v="Zara Patil"/>
    <d v="2010-06-19T00:00:00"/>
    <x v="24"/>
    <n v="153"/>
    <n v="3"/>
    <n v="460"/>
    <s v="Card"/>
    <x v="4"/>
    <s v="Spicy"/>
  </r>
  <r>
    <s v="BC21153"/>
    <x v="95"/>
    <x v="5"/>
    <d v="1899-12-30T17:15:00"/>
    <s v="Burger Camp, Pune"/>
    <s v="farhan patil"/>
    <d v="1982-02-18T00:00:00"/>
    <x v="14"/>
    <n v="120"/>
    <n v="1"/>
    <n v="121"/>
    <s v="Card"/>
    <x v="7"/>
    <s v="Spicy"/>
  </r>
  <r>
    <s v="BC21154"/>
    <x v="246"/>
    <x v="1"/>
    <d v="1899-12-30T20:44:00"/>
    <s v="Burger Camp, Pune"/>
    <s v="Farhan Gore"/>
    <d v="1991-12-12T00:00:00"/>
    <x v="1"/>
    <n v="238"/>
    <n v="3"/>
    <n v="716"/>
    <s v="Cash "/>
    <x v="2"/>
    <s v="Spicy"/>
  </r>
  <r>
    <s v="BC21155"/>
    <x v="312"/>
    <x v="7"/>
    <d v="1899-12-30T19:26:00"/>
    <s v="Burger Camp, Pune"/>
    <s v="Sneha Joshi"/>
    <d v="2009-10-17T00:00:00"/>
    <x v="2"/>
    <n v="226"/>
    <n v="1"/>
    <n v="226"/>
    <s v="Cash "/>
    <x v="1"/>
    <s v="Spicy"/>
  </r>
  <r>
    <s v="BC21156"/>
    <x v="312"/>
    <x v="7"/>
    <d v="1899-12-30T22:46:00"/>
    <s v="Burger Camp, Pune"/>
    <s v="riya khan"/>
    <d v="2004-07-16T00:00:00"/>
    <x v="21"/>
    <n v="214"/>
    <n v="1"/>
    <n v="215"/>
    <s v="UPI"/>
    <x v="3"/>
    <s v="Spicy"/>
  </r>
  <r>
    <s v="BC21157"/>
    <x v="348"/>
    <x v="8"/>
    <d v="1899-12-30T11:34:00"/>
    <s v="Burger Camp, Pune"/>
    <s v="anil patil"/>
    <d v="1984-11-18T00:00:00"/>
    <x v="6"/>
    <n v="87"/>
    <n v="3"/>
    <n v="263"/>
    <s v="UPI"/>
    <x v="6"/>
    <s v="Custmer complaned"/>
  </r>
  <r>
    <s v="BC21158"/>
    <x v="193"/>
    <x v="5"/>
    <d v="1899-12-30T19:32:00"/>
    <s v="Burger Camp, Pune"/>
    <s v="Farhan Kulkarni"/>
    <d v="1974-02-02T00:00:00"/>
    <x v="17"/>
    <n v="164"/>
    <n v="2"/>
    <n v="330"/>
    <s v="UPI"/>
    <x v="7"/>
    <s v="Less salt"/>
  </r>
  <r>
    <s v="BC21159"/>
    <x v="44"/>
    <x v="3"/>
    <d v="1899-12-30T15:43:00"/>
    <s v="Burger Camp, Pune"/>
    <s v="Rahul Patil"/>
    <d v="1974-02-02T00:00:00"/>
    <x v="24"/>
    <n v="108"/>
    <n v="2"/>
    <n v="231"/>
    <s v="Card"/>
    <x v="0"/>
    <s v="Spicy"/>
  </r>
  <r>
    <s v="BC21160"/>
    <x v="129"/>
    <x v="9"/>
    <d v="1899-12-30T22:03:00"/>
    <s v="Burger Camp, Pune"/>
    <s v="Kiran Patil"/>
    <d v="1991-08-04T00:00:00"/>
    <x v="11"/>
    <n v="225"/>
    <n v="3"/>
    <n v="676"/>
    <s v="Card"/>
    <x v="2"/>
    <s v="Less salt"/>
  </r>
  <r>
    <s v="BC21161"/>
    <x v="77"/>
    <x v="8"/>
    <d v="1899-12-30T15:49:24"/>
    <s v="Burger Camp, Pune"/>
    <s v="Aarav Khan"/>
    <d v="1970-06-16T00:00:00"/>
    <x v="21"/>
    <n v="180"/>
    <n v="1"/>
    <n v="180"/>
    <s v="UPI"/>
    <x v="7"/>
    <s v="Less salt"/>
  </r>
  <r>
    <s v="BC21162"/>
    <x v="190"/>
    <x v="4"/>
    <d v="1899-12-30T21:31:00"/>
    <s v="Burger Camp, Pune"/>
    <s v="zaid khan"/>
    <d v="1994-02-27T00:00:00"/>
    <x v="23"/>
    <n v="215"/>
    <n v="3"/>
    <n v="646"/>
    <s v="UPI"/>
    <x v="4"/>
    <s v="Less salt"/>
  </r>
  <r>
    <s v="BC21163"/>
    <x v="174"/>
    <x v="11"/>
    <d v="1899-12-30T23:05:58"/>
    <s v="Burger Camp, Pune"/>
    <s v="Pooja More"/>
    <d v="1990-05-12T00:00:00"/>
    <x v="17"/>
    <n v="112"/>
    <n v="3"/>
    <n v="336"/>
    <s v="UPI"/>
    <x v="4"/>
    <s v="Custmer complaned"/>
  </r>
  <r>
    <s v="BC21164"/>
    <x v="258"/>
    <x v="11"/>
    <d v="1899-12-30T20:10:00"/>
    <s v="Burger Camp, Pune"/>
    <s v="Aisha Joshi"/>
    <d v="1991-12-12T00:00:00"/>
    <x v="15"/>
    <n v="38"/>
    <n v="2"/>
    <n v="77"/>
    <s v="UPI"/>
    <x v="1"/>
    <s v="Servd late"/>
  </r>
  <r>
    <s v="BC21165"/>
    <x v="82"/>
    <x v="0"/>
    <d v="1899-12-30T20:44:24"/>
    <s v="Burger Camp, Pune"/>
    <s v="Aarav Naik"/>
    <d v="1984-10-03T00:00:00"/>
    <x v="22"/>
    <n v="263"/>
    <n v="2"/>
    <n v="527"/>
    <s v="UPI"/>
    <x v="0"/>
    <s v="Extra cheese"/>
  </r>
  <r>
    <s v="BC21166"/>
    <x v="109"/>
    <x v="6"/>
    <d v="1899-12-30T18:42:47"/>
    <s v="Burger Camp, Pune"/>
    <s v="Kiran Patil"/>
    <d v="1990-03-03T00:00:00"/>
    <x v="18"/>
    <n v="311"/>
    <n v="2"/>
    <n v="622"/>
    <s v="Card"/>
    <x v="5"/>
    <s v="repeat customer"/>
  </r>
  <r>
    <s v="BC21167"/>
    <x v="29"/>
    <x v="6"/>
    <d v="1899-12-30T22:43:00"/>
    <s v="Burger Camp, Pune"/>
    <s v="Rahul Deshmukh"/>
    <d v="1973-07-26T00:00:00"/>
    <x v="0"/>
    <n v="78"/>
    <n v="1"/>
    <m/>
    <s v="Card"/>
    <x v="1"/>
    <s v="No onion"/>
  </r>
  <r>
    <s v="BC21168"/>
    <x v="118"/>
    <x v="2"/>
    <d v="1899-12-30T16:22:00"/>
    <s v="Burger Camp, Pune"/>
    <s v="Rahul Shinde"/>
    <d v="1993-03-23T00:00:00"/>
    <x v="2"/>
    <n v="254"/>
    <n v="2"/>
    <n v="509"/>
    <s v="Wallet"/>
    <x v="6"/>
    <s v="No onion"/>
  </r>
  <r>
    <s v="BC21169"/>
    <x v="85"/>
    <x v="0"/>
    <d v="1899-12-30T16:27:00"/>
    <s v="Burger Camp, Pune"/>
    <s v="Zaid Joshi"/>
    <d v="2004-12-26T00:00:00"/>
    <x v="19"/>
    <n v="294"/>
    <n v="3"/>
    <n v="883"/>
    <s v="UPI"/>
    <x v="3"/>
    <s v="Custmer complaned"/>
  </r>
  <r>
    <s v="BC21170"/>
    <x v="161"/>
    <x v="9"/>
    <d v="1899-12-30T20:30:00"/>
    <s v="Burger Camp, Pune"/>
    <s v="Sneha Gore"/>
    <d v="2004-05-05T00:00:00"/>
    <x v="2"/>
    <n v="256"/>
    <n v="1"/>
    <n v="257"/>
    <s v="UPI"/>
    <x v="1"/>
    <s v="Extra cheese"/>
  </r>
  <r>
    <s v="BC21171"/>
    <x v="349"/>
    <x v="11"/>
    <d v="1899-12-30T23:46:00"/>
    <s v="Burger Camp, Pune"/>
    <s v="Sneha Khan"/>
    <d v="1999-03-04T00:00:00"/>
    <x v="7"/>
    <n v="219"/>
    <n v="2"/>
    <n v="438"/>
    <s v="Card"/>
    <x v="0"/>
    <s v="Servd late"/>
  </r>
  <r>
    <s v="BC21172"/>
    <x v="161"/>
    <x v="9"/>
    <d v="1899-12-30T19:13:43"/>
    <s v="Burger Camp, Pune"/>
    <s v="Aarav Kulkarni"/>
    <d v="1978-07-05T00:00:00"/>
    <x v="1"/>
    <n v="256"/>
    <n v="1"/>
    <n v="243"/>
    <s v="Wallet"/>
    <x v="2"/>
    <s v="Extra cheese"/>
  </r>
  <r>
    <s v="BC21173"/>
    <x v="150"/>
    <x v="4"/>
    <d v="1899-12-30T22:47:00"/>
    <s v="Burger Camp, Pune"/>
    <s v="Aisha Joshi"/>
    <d v="2007-11-19T00:00:00"/>
    <x v="23"/>
    <n v="226"/>
    <n v="1"/>
    <n v="226"/>
    <s v="Wallet"/>
    <x v="3"/>
    <s v="Extra cheese"/>
  </r>
  <r>
    <s v="BC21174"/>
    <x v="178"/>
    <x v="4"/>
    <d v="1899-12-30T17:27:22"/>
    <s v="Burger Camp, Pune"/>
    <s v="Anil More"/>
    <d v="1998-06-16T00:00:00"/>
    <x v="24"/>
    <n v="164"/>
    <n v="3"/>
    <n v="493"/>
    <s v="Cash "/>
    <x v="3"/>
    <s v="Extra cheese"/>
  </r>
  <r>
    <s v="BC21175"/>
    <x v="195"/>
    <x v="11"/>
    <d v="1899-12-30T11:22:00"/>
    <s v="Burger Camp, Pune"/>
    <s v="Mubin Joshi"/>
    <d v="1984-11-08T00:00:00"/>
    <x v="18"/>
    <n v="349"/>
    <n v="3"/>
    <n v="1050"/>
    <s v="Wallet"/>
    <x v="6"/>
    <s v="No onion"/>
  </r>
  <r>
    <s v="BC21176"/>
    <x v="303"/>
    <x v="11"/>
    <d v="1899-12-30T17:22:00"/>
    <s v="Burger Camp, Pune"/>
    <s v="Zara Shinde"/>
    <d v="1975-05-26T00:00:00"/>
    <x v="20"/>
    <n v="229"/>
    <n v="2"/>
    <n v="458"/>
    <s v="Cash "/>
    <x v="4"/>
    <s v="repeat customer"/>
  </r>
  <r>
    <s v="BC21177"/>
    <x v="146"/>
    <x v="10"/>
    <d v="1899-12-30T23:10:00"/>
    <s v="Burger Camp, Pune"/>
    <s v="Zaid Gore"/>
    <d v="1970-11-02T00:00:00"/>
    <x v="15"/>
    <n v="101"/>
    <n v="3"/>
    <n v="306"/>
    <s v="Cash"/>
    <x v="4"/>
    <s v="Less salt"/>
  </r>
  <r>
    <s v="BC21178"/>
    <x v="23"/>
    <x v="2"/>
    <d v="1899-12-30T10:00:00"/>
    <s v="Burger Camp, Pune"/>
    <s v="Aarav Khan"/>
    <d v="1978-06-17T00:00:00"/>
    <x v="17"/>
    <n v="132"/>
    <n v="1"/>
    <n v="132"/>
    <s v="Wallet"/>
    <x v="4"/>
    <s v="Spicy"/>
  </r>
  <r>
    <s v="BC21179"/>
    <x v="247"/>
    <x v="11"/>
    <d v="1899-12-30T15:41:00"/>
    <s v="Burger Camp, Pune"/>
    <s v="Zaid Kulkarni"/>
    <d v="1974-06-10T00:00:00"/>
    <x v="2"/>
    <n v="243"/>
    <n v="2"/>
    <n v="486"/>
    <s v="Card"/>
    <x v="2"/>
    <s v="repeat customer"/>
  </r>
  <r>
    <s v="BC21180"/>
    <x v="53"/>
    <x v="1"/>
    <d v="1899-12-30T10:50:00"/>
    <s v="Burger Camp, Pune"/>
    <s v="Riya Joshi"/>
    <d v="1981-10-27T00:00:00"/>
    <x v="7"/>
    <n v="257"/>
    <n v="2"/>
    <n v="516"/>
    <s v="UPI"/>
    <x v="4"/>
    <s v="repeat customer"/>
  </r>
  <r>
    <s v="BC21181"/>
    <x v="81"/>
    <x v="9"/>
    <d v="1899-12-30T11:18:09"/>
    <s v="Burger Camp, Pune"/>
    <s v="anil joshi"/>
    <d v="2000-01-18T00:00:00"/>
    <x v="12"/>
    <n v="217"/>
    <n v="1"/>
    <n v="218"/>
    <s v="Cash"/>
    <x v="1"/>
    <s v="Custmer complaned"/>
  </r>
  <r>
    <s v="BC21182"/>
    <x v="59"/>
    <x v="6"/>
    <d v="1899-12-30T18:16:01"/>
    <s v="Burger Camp, Pune"/>
    <s v="Zaid Gore"/>
    <d v="1973-09-15T00:00:00"/>
    <x v="6"/>
    <n v="101"/>
    <n v="2"/>
    <n v="203"/>
    <s v="Wallet"/>
    <x v="0"/>
    <s v="Extra cheese"/>
  </r>
  <r>
    <s v="BC21183"/>
    <x v="350"/>
    <x v="11"/>
    <d v="1899-12-30T13:33:00"/>
    <s v="Burger Camp, Pune"/>
    <s v=" Sneha Shinde "/>
    <d v="1990-06-19T00:00:00"/>
    <x v="6"/>
    <n v="98"/>
    <n v="1"/>
    <n v="98"/>
    <s v="Cash "/>
    <x v="0"/>
    <s v="Extra cheese"/>
  </r>
  <r>
    <s v="BC21184"/>
    <x v="29"/>
    <x v="6"/>
    <d v="1899-12-30T10:46:43"/>
    <s v="Burger Camp, Pune"/>
    <s v="Pooja Patil"/>
    <d v="1985-05-21T00:00:00"/>
    <x v="4"/>
    <n v="161"/>
    <n v="3"/>
    <n v="485"/>
    <s v="UPI"/>
    <x v="6"/>
    <s v="Spicy"/>
  </r>
  <r>
    <s v="BC21185"/>
    <x v="169"/>
    <x v="10"/>
    <d v="1899-12-30T10:48:00"/>
    <s v="Burger Camp, Pune"/>
    <s v="Kiran Gore"/>
    <d v="1997-10-23T00:00:00"/>
    <x v="5"/>
    <n v="101"/>
    <n v="1"/>
    <n v="101"/>
    <s v="Card"/>
    <x v="3"/>
    <s v="Less salt"/>
  </r>
  <r>
    <s v="BC21186"/>
    <x v="177"/>
    <x v="4"/>
    <d v="1899-12-30T20:39:00"/>
    <s v="Burger Camp, Pune"/>
    <s v="Mubin Patil"/>
    <d v="1997-10-23T00:00:00"/>
    <x v="11"/>
    <n v="173"/>
    <n v="1"/>
    <n v="173"/>
    <s v="Cash"/>
    <x v="3"/>
    <s v="No onion"/>
  </r>
  <r>
    <s v="BC21187"/>
    <x v="351"/>
    <x v="8"/>
    <d v="1899-12-30T13:07:00"/>
    <s v="Burger Camp, Pune"/>
    <s v="Zaid More"/>
    <d v="1981-10-12T00:00:00"/>
    <x v="14"/>
    <n v="173"/>
    <n v="3"/>
    <n v="173"/>
    <s v="Card"/>
    <x v="6"/>
    <s v="repeat customer"/>
  </r>
  <r>
    <s v="BC21188"/>
    <x v="260"/>
    <x v="1"/>
    <d v="1899-12-30T23:48:11"/>
    <s v="Burger Camp, Pune"/>
    <s v="Anil Kulkarni"/>
    <d v="2002-08-04T00:00:00"/>
    <x v="9"/>
    <n v="200"/>
    <n v="1"/>
    <n v="100"/>
    <s v="UPI"/>
    <x v="5"/>
    <s v="Custmer complaned"/>
  </r>
  <r>
    <s v="BC21189"/>
    <x v="165"/>
    <x v="5"/>
    <d v="1899-12-30T20:46:00"/>
    <s v="Burger Camp, Pune"/>
    <s v="Aarav Kulkarni"/>
    <d v="2010-12-19T00:00:00"/>
    <x v="21"/>
    <n v="195"/>
    <n v="2"/>
    <n v="391"/>
    <s v="UPI"/>
    <x v="2"/>
    <s v="Spicy"/>
  </r>
  <r>
    <s v="BC21190"/>
    <x v="40"/>
    <x v="0"/>
    <d v="1899-12-30T11:14:00"/>
    <s v="Burger Camp, Pune"/>
    <s v="Zaid More"/>
    <d v="2010-12-19T00:00:00"/>
    <x v="25"/>
    <n v="84"/>
    <n v="3"/>
    <n v="254"/>
    <s v="Cash"/>
    <x v="3"/>
    <s v="Servd late"/>
  </r>
  <r>
    <s v="BC21191"/>
    <x v="343"/>
    <x v="3"/>
    <d v="1899-12-30T23:16:00"/>
    <s v="Burger Camp, Pune"/>
    <s v=" Zaid More "/>
    <d v="1980-01-20T00:00:00"/>
    <x v="2"/>
    <n v="280"/>
    <n v="1"/>
    <n v="281"/>
    <s v="Card"/>
    <x v="5"/>
    <s v="Servd late"/>
  </r>
  <r>
    <s v="BC21192"/>
    <x v="302"/>
    <x v="5"/>
    <d v="1899-12-30T10:33:00"/>
    <s v="Burger Camp, Pune"/>
    <s v="Farhan Patil"/>
    <d v="2001-08-02T00:00:00"/>
    <x v="1"/>
    <n v="266"/>
    <n v="1"/>
    <n v="266"/>
    <s v="Card"/>
    <x v="2"/>
    <s v="Extra cheese"/>
  </r>
  <r>
    <s v="BC21193"/>
    <x v="35"/>
    <x v="3"/>
    <d v="1899-12-30T17:10:00"/>
    <s v="Burger Camp, Pune"/>
    <s v="Zara More"/>
    <d v="2001-08-02T00:00:00"/>
    <x v="15"/>
    <n v="135"/>
    <n v="2"/>
    <n v="271"/>
    <s v="Cash"/>
    <x v="1"/>
    <s v="Extra cheese"/>
  </r>
  <r>
    <s v="BC21194"/>
    <x v="35"/>
    <x v="3"/>
    <d v="1899-12-30T14:02:25"/>
    <s v="Burger Camp, Pune"/>
    <s v="Mubin Shaikh"/>
    <d v="1987-08-26T00:00:00"/>
    <x v="23"/>
    <n v="44"/>
    <n v="2"/>
    <n v="90"/>
    <s v="Cash"/>
    <x v="7"/>
    <s v="Custmer complaned"/>
  </r>
  <r>
    <s v="BC21195"/>
    <x v="276"/>
    <x v="2"/>
    <d v="1899-12-30T18:42:00"/>
    <s v="Burger Camp, Pune"/>
    <s v="Zara Khan"/>
    <d v="1987-06-23T00:00:00"/>
    <x v="7"/>
    <n v="44"/>
    <n v="1"/>
    <n v="90"/>
    <s v="Cash"/>
    <x v="0"/>
    <s v="Custmer complaned"/>
  </r>
  <r>
    <s v="BC21196"/>
    <x v="88"/>
    <x v="1"/>
    <d v="1899-12-30T23:29:00"/>
    <s v="Burger Camp, Pune"/>
    <s v="Sneha Patil"/>
    <d v="1986-12-12T00:00:00"/>
    <x v="3"/>
    <n v="275"/>
    <n v="3"/>
    <n v="828"/>
    <s v="Cash"/>
    <x v="4"/>
    <s v="Servd late"/>
  </r>
  <r>
    <s v="BC21197"/>
    <x v="195"/>
    <x v="11"/>
    <d v="1899-12-30T17:10:00"/>
    <s v="Burger Camp, Pune"/>
    <s v="Riya Joshi"/>
    <d v="1986-12-12T00:00:00"/>
    <x v="15"/>
    <n v="123"/>
    <n v="3"/>
    <n v="370"/>
    <s v="Cash "/>
    <x v="7"/>
    <s v="Spicy"/>
  </r>
  <r>
    <s v="BC21198"/>
    <x v="151"/>
    <x v="11"/>
    <d v="1899-12-30T15:46:48"/>
    <s v="Burger Camp, Pune"/>
    <s v="Kiran Shinde"/>
    <d v="1974-09-24T00:00:00"/>
    <x v="14"/>
    <n v="256"/>
    <n v="1"/>
    <n v="100"/>
    <s v="Card"/>
    <x v="0"/>
    <s v="repeat customer"/>
  </r>
  <r>
    <s v="BC21199"/>
    <x v="278"/>
    <x v="8"/>
    <d v="1899-12-30T11:16:00"/>
    <s v="Burger Camp, Pune"/>
    <s v="Mubin Shinde"/>
    <d v="1991-03-28T00:00:00"/>
    <x v="20"/>
    <n v="335"/>
    <n v="2"/>
    <n v="672"/>
    <s v="UPI"/>
    <x v="1"/>
    <s v="No onion"/>
  </r>
  <r>
    <s v="BC21200"/>
    <x v="105"/>
    <x v="3"/>
    <d v="1899-12-30T19:16:00"/>
    <s v="Burger Camp, Pune"/>
    <s v="Farhan More"/>
    <d v="1975-11-18T00:00:00"/>
    <x v="0"/>
    <n v="92"/>
    <n v="2"/>
    <n v="184"/>
    <s v="Cash "/>
    <x v="0"/>
    <s v="Custmer complaned"/>
  </r>
  <r>
    <s v="BC21201"/>
    <x v="348"/>
    <x v="8"/>
    <d v="1899-12-30T12:16:00"/>
    <s v="Burger Camp, Pune"/>
    <s v="Riya Shinde"/>
    <d v="2009-09-16T00:00:00"/>
    <x v="1"/>
    <n v="237"/>
    <n v="2"/>
    <n v="476"/>
    <s v="Wallet"/>
    <x v="5"/>
    <s v="Servd late"/>
  </r>
  <r>
    <s v="BC21202"/>
    <x v="28"/>
    <x v="4"/>
    <d v="1899-12-30T14:20:00"/>
    <s v="Burger Camp, Pune"/>
    <s v="Mubin Khan"/>
    <d v="1986-07-10T00:00:00"/>
    <x v="20"/>
    <n v="263"/>
    <n v="2"/>
    <n v="527"/>
    <s v="Card"/>
    <x v="5"/>
    <s v="repeat customer"/>
  </r>
  <r>
    <s v="BC21203"/>
    <x v="149"/>
    <x v="6"/>
    <d v="1899-12-30T21:28:58"/>
    <s v="Burger Camp, Pune"/>
    <s v="Zara Shaikh"/>
    <d v="1974-09-16T00:00:00"/>
    <x v="19"/>
    <n v="344"/>
    <n v="1"/>
    <n v="344"/>
    <s v="UPI"/>
    <x v="5"/>
    <s v="Extra cheese"/>
  </r>
  <r>
    <s v="BC21204"/>
    <x v="352"/>
    <x v="7"/>
    <d v="1899-12-30T17:10:00"/>
    <s v="Burger Camp, Pune"/>
    <s v="Rahul Deshmukh"/>
    <d v="2002-04-21T00:00:00"/>
    <x v="13"/>
    <n v="127"/>
    <n v="3"/>
    <n v="382"/>
    <s v="UPI"/>
    <x v="7"/>
    <s v="Spicy"/>
  </r>
  <r>
    <s v="BC21205"/>
    <x v="55"/>
    <x v="5"/>
    <d v="1899-12-30T14:05:17"/>
    <s v="Burger Camp, Pune"/>
    <s v="Sneha Naik"/>
    <d v="1984-08-06T00:00:00"/>
    <x v="7"/>
    <n v="246"/>
    <n v="2"/>
    <n v="492"/>
    <s v="Wallet"/>
    <x v="6"/>
    <s v="Spicy"/>
  </r>
  <r>
    <s v="BC21206"/>
    <x v="152"/>
    <x v="8"/>
    <d v="1899-12-30T15:20:31"/>
    <s v="Burger Camp, Pune"/>
    <s v="Zara More"/>
    <d v="1984-08-06T00:00:00"/>
    <x v="17"/>
    <n v="151"/>
    <n v="1"/>
    <n v="151"/>
    <s v="Wallet"/>
    <x v="5"/>
    <s v="Less salt"/>
  </r>
  <r>
    <s v="BC21207"/>
    <x v="246"/>
    <x v="1"/>
    <d v="1899-12-30T21:01:00"/>
    <s v="Burger Camp, Pune"/>
    <s v="Rahul Shinde"/>
    <d v="1984-08-06T00:00:00"/>
    <x v="9"/>
    <n v="231"/>
    <n v="1"/>
    <n v="231"/>
    <s v="Cash "/>
    <x v="3"/>
    <s v="repeat customer"/>
  </r>
  <r>
    <s v="BC21208"/>
    <x v="342"/>
    <x v="8"/>
    <d v="1899-12-30T14:53:41"/>
    <s v="Burger Camp, Pune"/>
    <s v="mubin kulkarni"/>
    <d v="1987-06-19T00:00:00"/>
    <x v="16"/>
    <n v="176"/>
    <n v="3"/>
    <n v="529"/>
    <s v="UPI"/>
    <x v="2"/>
    <s v="Servd late"/>
  </r>
  <r>
    <s v="BC21209"/>
    <x v="121"/>
    <x v="4"/>
    <d v="1899-12-30T23:16:00"/>
    <s v="Burger Camp, Pune"/>
    <s v="Aisha Shinde"/>
    <d v="1991-02-06T00:00:00"/>
    <x v="8"/>
    <n v="45"/>
    <n v="1"/>
    <n v="45"/>
    <s v="UPI"/>
    <x v="7"/>
    <s v="repeat customer"/>
  </r>
  <r>
    <s v="BC21210"/>
    <x v="53"/>
    <x v="1"/>
    <d v="1899-12-30T22:39:25"/>
    <s v="Burger Camp, Pune"/>
    <s v="Anil Gore"/>
    <d v="1973-03-02T00:00:00"/>
    <x v="1"/>
    <n v="247"/>
    <n v="2"/>
    <n v="496"/>
    <s v="Card"/>
    <x v="1"/>
    <s v="Less salt"/>
  </r>
  <r>
    <s v="BC21211"/>
    <x v="116"/>
    <x v="11"/>
    <d v="1899-12-30T16:45:15"/>
    <s v="Burger Camp, Pune"/>
    <s v="Sneha Gore"/>
    <d v="1973-03-02T00:00:00"/>
    <x v="1"/>
    <n v="242"/>
    <n v="3"/>
    <n v="728"/>
    <s v="Card"/>
    <x v="3"/>
    <s v="Less salt"/>
  </r>
  <r>
    <s v="BC21212"/>
    <x v="348"/>
    <x v="8"/>
    <d v="1899-12-30T19:57:00"/>
    <s v="Burger Camp, Pune"/>
    <s v="Kiran Joshi"/>
    <d v="1976-12-20T00:00:00"/>
    <x v="2"/>
    <n v="320"/>
    <n v="2"/>
    <n v="641"/>
    <s v="UPI"/>
    <x v="5"/>
    <s v="Spicy"/>
  </r>
  <r>
    <s v="BC21213"/>
    <x v="348"/>
    <x v="8"/>
    <d v="1899-12-30T19:58:00"/>
    <s v="Burger Camp, Pune"/>
    <s v="Riya More"/>
    <d v="1980-11-03T00:00:00"/>
    <x v="14"/>
    <n v="103"/>
    <n v="2"/>
    <n v="207"/>
    <s v="Wallet"/>
    <x v="7"/>
    <s v="Spicy"/>
  </r>
  <r>
    <s v="BC21214"/>
    <x v="44"/>
    <x v="3"/>
    <d v="1899-12-30T13:22:00"/>
    <s v="Burger Camp, Pune"/>
    <s v="Aisha Shaikh"/>
    <d v="1994-10-07T00:00:00"/>
    <x v="2"/>
    <n v="286"/>
    <n v="3"/>
    <n v="859"/>
    <s v="Cash"/>
    <x v="6"/>
    <s v="Extra cheese"/>
  </r>
  <r>
    <s v="BC21215"/>
    <x v="96"/>
    <x v="8"/>
    <d v="1899-12-30T16:08:51"/>
    <s v="Burger Camp, Pune"/>
    <s v="Aarav Deshmukh"/>
    <d v="1990-11-04T00:00:00"/>
    <x v="12"/>
    <n v="327"/>
    <n v="1"/>
    <n v="328"/>
    <s v="Cash"/>
    <x v="4"/>
    <s v="Extra cheese"/>
  </r>
  <r>
    <s v="BC21216"/>
    <x v="236"/>
    <x v="8"/>
    <d v="1899-12-30T16:36:20"/>
    <s v="Burger Camp, Pune"/>
    <s v=" Sneha Shinde "/>
    <d v="1984-12-26T00:00:00"/>
    <x v="20"/>
    <n v="271"/>
    <n v="3"/>
    <n v="815"/>
    <s v="Card"/>
    <x v="1"/>
    <s v="repeat customer"/>
  </r>
  <r>
    <s v="BC21217"/>
    <x v="349"/>
    <x v="11"/>
    <d v="1899-12-30T21:45:00"/>
    <s v="Burger Camp, Pune"/>
    <s v="Anil Shinde"/>
    <d v="1988-05-14T00:00:00"/>
    <x v="13"/>
    <n v="93"/>
    <n v="2"/>
    <n v="187"/>
    <s v="Card"/>
    <x v="5"/>
    <s v="No onion"/>
  </r>
  <r>
    <s v="BC21218"/>
    <x v="274"/>
    <x v="2"/>
    <d v="1899-12-30T19:43:00"/>
    <s v="Burger Camp, Pune"/>
    <s v="Mubin Naik"/>
    <d v="2009-11-25T00:00:00"/>
    <x v="25"/>
    <n v="351"/>
    <n v="1"/>
    <n v="352"/>
    <s v="Cash "/>
    <x v="0"/>
    <s v="Extra cheese"/>
  </r>
  <r>
    <s v="BC21219"/>
    <x v="136"/>
    <x v="0"/>
    <d v="1899-12-30T11:14:42"/>
    <s v="Burger Camp, Pune"/>
    <s v="Aarav More"/>
    <d v="1975-07-09T00:00:00"/>
    <x v="15"/>
    <n v="125"/>
    <n v="3"/>
    <n v="377"/>
    <s v="Card"/>
    <x v="5"/>
    <s v="repeat customer"/>
  </r>
  <r>
    <s v="BC21220"/>
    <x v="294"/>
    <x v="9"/>
    <d v="1899-12-30T15:22:47"/>
    <s v="Burger Camp, Pune"/>
    <s v="Mubin Shinde"/>
    <d v="1996-02-28T00:00:00"/>
    <x v="7"/>
    <n v="266"/>
    <n v="1"/>
    <n v="266"/>
    <s v="Card"/>
    <x v="4"/>
    <s v="Less salt"/>
  </r>
  <r>
    <s v="BC21221"/>
    <x v="98"/>
    <x v="6"/>
    <d v="1899-12-30T12:08:16"/>
    <s v="Burger Camp, Pune"/>
    <s v="Mubin Kulkarni"/>
    <d v="1995-02-19T00:00:00"/>
    <x v="25"/>
    <n v="126"/>
    <n v="3"/>
    <n v="380"/>
    <s v="Wallet"/>
    <x v="1"/>
    <s v="repeat customer"/>
  </r>
  <r>
    <s v="BC21222"/>
    <x v="140"/>
    <x v="7"/>
    <d v="1899-12-30T17:40:03"/>
    <s v="Burger Camp, Pune"/>
    <s v="Aisha Joshi"/>
    <d v="1981-03-25T00:00:00"/>
    <x v="21"/>
    <n v="246"/>
    <n v="1"/>
    <n v="100"/>
    <s v="Card"/>
    <x v="1"/>
    <s v="repeat customer"/>
  </r>
  <r>
    <s v="BC21223"/>
    <x v="161"/>
    <x v="9"/>
    <d v="1899-12-30T23:33:00"/>
    <s v="Burger Camp, Pune"/>
    <s v=" Farhan Joshi "/>
    <d v="1981-03-25T00:00:00"/>
    <x v="2"/>
    <n v="247"/>
    <n v="1"/>
    <n v="247"/>
    <s v="Card"/>
    <x v="5"/>
    <s v="Custmer complaned"/>
  </r>
  <r>
    <s v="BC21224"/>
    <x v="127"/>
    <x v="11"/>
    <d v="1899-12-30T13:54:00"/>
    <s v="Burger Camp, Pune"/>
    <s v="pooja joshi"/>
    <d v="1989-09-06T00:00:00"/>
    <x v="11"/>
    <n v="211"/>
    <n v="1"/>
    <n v="211"/>
    <s v="Cash"/>
    <x v="0"/>
    <s v="Servd late"/>
  </r>
  <r>
    <s v="BC21225"/>
    <x v="9"/>
    <x v="2"/>
    <d v="1899-12-30T12:42:00"/>
    <s v="Burger Camp, Pune"/>
    <s v="Farhan Joshi"/>
    <d v="1974-12-04T00:00:00"/>
    <x v="23"/>
    <n v="109"/>
    <n v="3"/>
    <n v="329"/>
    <s v="Card"/>
    <x v="4"/>
    <s v="Spicy"/>
  </r>
  <r>
    <s v="BC21226"/>
    <x v="25"/>
    <x v="9"/>
    <d v="1899-12-30T19:32:17"/>
    <s v="Burger Camp, Pune"/>
    <s v="Aarav Joshi"/>
    <d v="2009-01-23T00:00:00"/>
    <x v="14"/>
    <n v="252"/>
    <n v="2"/>
    <n v="505"/>
    <s v="Card"/>
    <x v="0"/>
    <s v="Spicy"/>
  </r>
  <r>
    <s v="BC21227"/>
    <x v="43"/>
    <x v="3"/>
    <d v="1899-12-30T10:52:00"/>
    <s v="Burger Camp, Pune"/>
    <s v="Riya Khan"/>
    <d v="2005-01-15T00:00:00"/>
    <x v="17"/>
    <n v="158"/>
    <n v="3"/>
    <n v="477"/>
    <s v="UPI"/>
    <x v="5"/>
    <s v="No onion"/>
  </r>
  <r>
    <s v="BC21228"/>
    <x v="53"/>
    <x v="1"/>
    <d v="1899-12-30T17:31:26"/>
    <s v="Burger Camp, Pune"/>
    <s v="Zara Shaikh"/>
    <d v="1996-06-15T00:00:00"/>
    <x v="15"/>
    <n v="114"/>
    <n v="1"/>
    <n v="115"/>
    <s v="Cash "/>
    <x v="7"/>
    <s v="Custmer complaned"/>
  </r>
  <r>
    <s v="BC21229"/>
    <x v="19"/>
    <x v="8"/>
    <d v="1899-12-30T21:54:20"/>
    <s v="Burger Camp, Pune"/>
    <s v="Pooja Deshmukh"/>
    <d v="1985-09-18T00:00:00"/>
    <x v="15"/>
    <n v="142"/>
    <n v="1"/>
    <n v="143"/>
    <s v="Card"/>
    <x v="4"/>
    <s v="repeat customer"/>
  </r>
  <r>
    <s v="BC21230"/>
    <x v="33"/>
    <x v="11"/>
    <d v="1899-12-30T11:09:40"/>
    <s v="Burger Camp, Pune"/>
    <s v="Aarav Deshmukh"/>
    <d v="1990-11-08T00:00:00"/>
    <x v="11"/>
    <n v="153"/>
    <n v="3"/>
    <n v="459"/>
    <s v="Cash"/>
    <x v="0"/>
    <s v="repeat customer"/>
  </r>
  <r>
    <s v="BC21231"/>
    <x v="353"/>
    <x v="4"/>
    <d v="1899-12-30T17:10:00"/>
    <s v="Burger Camp, Pune"/>
    <s v="Kiran More"/>
    <d v="2002-04-13T00:00:00"/>
    <x v="4"/>
    <n v="187"/>
    <n v="2"/>
    <n v="358"/>
    <s v="Cash"/>
    <x v="4"/>
    <s v="Less salt"/>
  </r>
  <r>
    <s v="BC21232"/>
    <x v="92"/>
    <x v="5"/>
    <d v="1899-12-30T19:47:21"/>
    <s v="Burger Camp, Pune"/>
    <s v="Zaid Kulkarni"/>
    <d v="1985-12-22T00:00:00"/>
    <x v="1"/>
    <n v="278"/>
    <n v="2"/>
    <n v="556"/>
    <s v="Cash"/>
    <x v="5"/>
    <s v="Extra cheese"/>
  </r>
  <r>
    <s v="BC21233"/>
    <x v="284"/>
    <x v="6"/>
    <d v="1899-12-30T14:00:00"/>
    <s v="Burger Camp, Pune"/>
    <s v="Anil Deshmukh"/>
    <d v="1999-12-01T00:00:00"/>
    <x v="24"/>
    <n v="120"/>
    <n v="2"/>
    <n v="241"/>
    <s v="Wallet"/>
    <x v="5"/>
    <s v="Extra cheese"/>
  </r>
  <r>
    <s v="BC21234"/>
    <x v="48"/>
    <x v="6"/>
    <d v="1899-12-30T11:36:33"/>
    <s v="Burger Camp, Pune"/>
    <s v="Zara Deshmukh"/>
    <d v="1979-02-07T00:00:00"/>
    <x v="22"/>
    <n v="112"/>
    <n v="2"/>
    <n v="226"/>
    <s v="Cash"/>
    <x v="7"/>
    <s v="Spicy"/>
  </r>
  <r>
    <s v="BC21235"/>
    <x v="100"/>
    <x v="0"/>
    <d v="1899-12-30T23:11:00"/>
    <s v="Burger Camp, Pune"/>
    <s v="Pooja Gore"/>
    <d v="1972-12-22T00:00:00"/>
    <x v="3"/>
    <n v="320"/>
    <n v="3"/>
    <n v="962"/>
    <s v="Card"/>
    <x v="4"/>
    <s v="Custmer complaned"/>
  </r>
  <r>
    <s v="BC21236"/>
    <x v="251"/>
    <x v="11"/>
    <d v="1899-12-30T18:13:34"/>
    <s v="Burger Camp, Pune"/>
    <s v="Anil Naik"/>
    <d v="1971-09-04T00:00:00"/>
    <x v="22"/>
    <n v="160"/>
    <n v="1"/>
    <n v="160"/>
    <s v="Cash "/>
    <x v="1"/>
    <s v="Custmer complaned"/>
  </r>
  <r>
    <s v="BC21237"/>
    <x v="220"/>
    <x v="1"/>
    <d v="1899-12-30T23:55:00"/>
    <s v="Burger Camp, Pune"/>
    <s v="Pooja Kulkarni"/>
    <d v="1998-07-27T00:00:00"/>
    <x v="10"/>
    <n v="240"/>
    <n v="1"/>
    <n v="241"/>
    <s v="UPI"/>
    <x v="4"/>
    <s v="Extra cheese"/>
  </r>
  <r>
    <s v="BC21238"/>
    <x v="168"/>
    <x v="7"/>
    <d v="1899-12-30T17:31:33"/>
    <s v="Burger Camp, Pune"/>
    <s v="Mubin Gore"/>
    <d v="2008-08-22T00:00:00"/>
    <x v="2"/>
    <n v="313"/>
    <n v="2"/>
    <n v="626"/>
    <s v="UPI"/>
    <x v="2"/>
    <s v="Extra cheese"/>
  </r>
  <r>
    <s v="BC21239"/>
    <x v="72"/>
    <x v="10"/>
    <d v="1899-12-30T20:51:00"/>
    <s v="Burger Camp, Pune"/>
    <s v="Rahul Patil"/>
    <d v="1996-11-27T00:00:00"/>
    <x v="12"/>
    <n v="307"/>
    <n v="2"/>
    <n v="615"/>
    <s v="Cash "/>
    <x v="0"/>
    <s v="Extra cheese"/>
  </r>
  <r>
    <s v="BC21240"/>
    <x v="166"/>
    <x v="5"/>
    <d v="1899-12-30T20:26:00"/>
    <s v="Burger Camp, Pune"/>
    <s v="Aarav Gore"/>
    <d v="1983-02-28T00:00:00"/>
    <x v="16"/>
    <n v="184"/>
    <n v="1"/>
    <n v="185"/>
    <s v="UPI"/>
    <x v="4"/>
    <s v="Custmer complaned"/>
  </r>
  <r>
    <s v="BC21241"/>
    <x v="311"/>
    <x v="0"/>
    <d v="1899-12-30T12:17:49"/>
    <s v="Burger Camp, Pune"/>
    <s v="Pooja Khan"/>
    <d v="1991-12-16T00:00:00"/>
    <x v="22"/>
    <n v="312"/>
    <n v="3"/>
    <n v="937"/>
    <s v="UPI"/>
    <x v="0"/>
    <s v="Custmer complaned"/>
  </r>
  <r>
    <s v="BC21242"/>
    <x v="333"/>
    <x v="7"/>
    <d v="1899-12-30T13:40:00"/>
    <s v="Burger Camp, Pune"/>
    <s v="Riya Kulkarni"/>
    <d v="2000-09-25T00:00:00"/>
    <x v="12"/>
    <n v="311"/>
    <n v="1"/>
    <n v="312"/>
    <s v="Cash"/>
    <x v="0"/>
    <s v="Spicy"/>
  </r>
  <r>
    <s v="BC21243"/>
    <x v="205"/>
    <x v="1"/>
    <d v="1899-12-30T23:46:00"/>
    <s v="Burger Camp, Pune"/>
    <s v="Farhan Naik"/>
    <d v="2004-10-06T00:00:00"/>
    <x v="13"/>
    <n v="128"/>
    <n v="1"/>
    <n v="128"/>
    <s v="Cash "/>
    <x v="5"/>
    <s v="Custmer complaned"/>
  </r>
  <r>
    <s v="BC21244"/>
    <x v="47"/>
    <x v="4"/>
    <d v="1899-12-30T15:28:06"/>
    <s v="Burger Camp, Pune"/>
    <s v="Rahul Gore"/>
    <d v="1975-04-05T00:00:00"/>
    <x v="5"/>
    <n v="273"/>
    <n v="3"/>
    <m/>
    <s v="UPI"/>
    <x v="2"/>
    <s v="Custmer complaned"/>
  </r>
  <r>
    <s v="BC21245"/>
    <x v="216"/>
    <x v="4"/>
    <d v="1899-12-30T16:29:00"/>
    <s v="Burger Camp, Pune"/>
    <s v="Riya Deshmukh"/>
    <d v="1985-01-28T00:00:00"/>
    <x v="11"/>
    <n v="196"/>
    <n v="2"/>
    <n v="393"/>
    <s v="Cash "/>
    <x v="6"/>
    <s v="Custmer complaned"/>
  </r>
  <r>
    <s v="BC21246"/>
    <x v="207"/>
    <x v="6"/>
    <d v="1899-12-30T16:51:15"/>
    <s v="Burger Camp, Pune"/>
    <s v="Kiran Joshi"/>
    <d v="1984-02-02T00:00:00"/>
    <x v="8"/>
    <n v="39"/>
    <n v="1"/>
    <n v="40"/>
    <s v="UPI"/>
    <x v="3"/>
    <s v="Spicy"/>
  </r>
  <r>
    <s v="BC21247"/>
    <x v="309"/>
    <x v="6"/>
    <d v="1899-12-30T20:00:32"/>
    <s v="Burger Camp, Pune"/>
    <s v="Rahul Deshmukh"/>
    <d v="1996-12-02T00:00:00"/>
    <x v="17"/>
    <n v="133"/>
    <n v="2"/>
    <n v="266"/>
    <s v="Card"/>
    <x v="0"/>
    <s v="Spicy"/>
  </r>
  <r>
    <s v="BC21248"/>
    <x v="182"/>
    <x v="10"/>
    <d v="1899-12-30T16:24:40"/>
    <s v="Burger Camp, Pune"/>
    <s v="Rahul Kulkarni"/>
    <d v="1984-03-03T00:00:00"/>
    <x v="2"/>
    <n v="296"/>
    <n v="1"/>
    <n v="100"/>
    <s v="Cash"/>
    <x v="6"/>
    <s v="Spicy"/>
  </r>
  <r>
    <s v="BC21249"/>
    <x v="262"/>
    <x v="0"/>
    <d v="1899-12-30T12:15:00"/>
    <s v="Burger Camp, Pune"/>
    <s v="Aarav Shinde"/>
    <d v="1997-07-15T00:00:00"/>
    <x v="10"/>
    <n v="241"/>
    <n v="3"/>
    <n v="724"/>
    <s v="UPI"/>
    <x v="7"/>
    <s v="Spicy"/>
  </r>
  <r>
    <s v="BC21250"/>
    <x v="262"/>
    <x v="0"/>
    <d v="1899-12-30T22:11:00"/>
    <s v="Burger Camp, Pune"/>
    <s v="Rahul Shaikh"/>
    <d v="1973-09-19T00:00:00"/>
    <x v="5"/>
    <n v="172"/>
    <n v="1"/>
    <n v="173"/>
    <s v="UPI"/>
    <x v="7"/>
    <s v="No onion"/>
  </r>
  <r>
    <s v="BC21251"/>
    <x v="22"/>
    <x v="7"/>
    <d v="1899-12-30T13:03:00"/>
    <s v="Burger Camp, Pune"/>
    <s v="sneha shinde"/>
    <d v="2001-05-20T00:00:00"/>
    <x v="17"/>
    <n v="110"/>
    <n v="2"/>
    <n v="222"/>
    <s v="Cash "/>
    <x v="3"/>
    <s v="No onion"/>
  </r>
  <r>
    <s v="BC21252"/>
    <x v="87"/>
    <x v="1"/>
    <d v="1899-12-30T13:14:00"/>
    <s v="Burger Camp, Pune"/>
    <s v="Zaid Naik"/>
    <d v="1996-11-08T00:00:00"/>
    <x v="16"/>
    <n v="221"/>
    <n v="1"/>
    <n v="222"/>
    <s v="UPI"/>
    <x v="4"/>
    <s v="No onion"/>
  </r>
  <r>
    <s v="BC21253"/>
    <x v="150"/>
    <x v="4"/>
    <d v="1899-12-30T19:03:30"/>
    <s v="Burger Camp, Pune"/>
    <s v="Anil Naik"/>
    <d v="2006-02-23T00:00:00"/>
    <x v="21"/>
    <n v="180"/>
    <n v="2"/>
    <n v="360"/>
    <s v="Wallet"/>
    <x v="6"/>
    <s v="Custmer complaned"/>
  </r>
  <r>
    <s v="BC21254"/>
    <x v="224"/>
    <x v="10"/>
    <d v="1899-12-30T16:00:00"/>
    <s v="Burger Camp, Pune"/>
    <s v="Riya Deshmukh"/>
    <d v="2006-02-23T00:00:00"/>
    <x v="12"/>
    <n v="281"/>
    <n v="3"/>
    <n v="844"/>
    <s v="Cash "/>
    <x v="5"/>
    <s v="Custmer complaned"/>
  </r>
  <r>
    <s v="BC21255"/>
    <x v="223"/>
    <x v="7"/>
    <d v="1899-12-30T11:25:00"/>
    <s v="Burger Camp, Pune"/>
    <s v="Zaid Gore"/>
    <d v="1998-06-05T00:00:00"/>
    <x v="2"/>
    <n v="283"/>
    <n v="3"/>
    <n v="844"/>
    <s v="UPI"/>
    <x v="7"/>
    <s v="Spicy"/>
  </r>
  <r>
    <s v="BC21256"/>
    <x v="230"/>
    <x v="6"/>
    <d v="1899-12-30T22:39:00"/>
    <s v="Burger Camp, Pune"/>
    <s v="Riya Gore"/>
    <d v="2008-06-05T00:00:00"/>
    <x v="2"/>
    <n v="227"/>
    <n v="2"/>
    <n v="456"/>
    <s v="Cash "/>
    <x v="6"/>
    <s v="Servd late"/>
  </r>
  <r>
    <s v="BC21257"/>
    <x v="169"/>
    <x v="10"/>
    <d v="1899-12-30T20:55:41"/>
    <s v="Burger Camp, Pune"/>
    <s v="Pooja Khan"/>
    <d v="2009-01-19T00:00:00"/>
    <x v="16"/>
    <n v="190"/>
    <n v="2"/>
    <n v="390"/>
    <s v="UPI"/>
    <x v="1"/>
    <s v="Extra cheese"/>
  </r>
  <r>
    <s v="BC21258"/>
    <x v="327"/>
    <x v="2"/>
    <d v="1899-12-30T14:51:00"/>
    <s v="Burger Camp, Pune"/>
    <s v="Kiran More"/>
    <d v="2009-11-09T00:00:00"/>
    <x v="3"/>
    <n v="123"/>
    <n v="3"/>
    <n v="369"/>
    <s v="UPI"/>
    <x v="3"/>
    <s v="Less salt"/>
  </r>
  <r>
    <s v="BC21259"/>
    <x v="318"/>
    <x v="9"/>
    <d v="1899-12-30T11:02:00"/>
    <s v="Burger Camp, Pune"/>
    <s v="Farhan More"/>
    <d v="1996-08-04T00:00:00"/>
    <x v="5"/>
    <n v="343"/>
    <n v="3"/>
    <n v="1030"/>
    <s v="Cash "/>
    <x v="1"/>
    <s v="repeat customer"/>
  </r>
  <r>
    <s v="BC21260"/>
    <x v="93"/>
    <x v="5"/>
    <d v="1899-12-30T11:46:44"/>
    <s v="Burger Camp, Pune"/>
    <s v="Kiran Kulkarni"/>
    <d v="1982-08-23T00:00:00"/>
    <x v="2"/>
    <n v="221"/>
    <n v="3"/>
    <n v="664"/>
    <s v="Card"/>
    <x v="7"/>
    <s v="Custmer complaned"/>
  </r>
  <r>
    <s v="BC21261"/>
    <x v="93"/>
    <x v="5"/>
    <d v="1899-12-30T21:46:00"/>
    <s v="Burger Camp, Pune"/>
    <s v="Pooja Shinde"/>
    <d v="1977-01-24T00:00:00"/>
    <x v="20"/>
    <n v="298"/>
    <n v="2"/>
    <n v="596"/>
    <s v="Cash "/>
    <x v="7"/>
    <s v="Custmer complaned"/>
  </r>
  <r>
    <s v="BC21262"/>
    <x v="309"/>
    <x v="6"/>
    <d v="1899-12-30T23:23:00"/>
    <s v="Burger Camp, Pune"/>
    <s v="Zara More"/>
    <d v="1996-11-27T00:00:00"/>
    <x v="5"/>
    <n v="236"/>
    <n v="2"/>
    <n v="472"/>
    <s v="UPI"/>
    <x v="2"/>
    <s v="Extra cheese"/>
  </r>
  <r>
    <s v="BC21263"/>
    <x v="240"/>
    <x v="9"/>
    <d v="1899-12-30T17:07:35"/>
    <s v="Burger Camp, Pune"/>
    <s v="riya deshmukh"/>
    <d v="2000-05-08T00:00:00"/>
    <x v="23"/>
    <n v="166"/>
    <n v="2"/>
    <m/>
    <s v="Card"/>
    <x v="3"/>
    <s v="Extra cheese"/>
  </r>
  <r>
    <s v="BC21264"/>
    <x v="309"/>
    <x v="6"/>
    <d v="1899-12-30T11:28:00"/>
    <s v="Burger Camp, Pune"/>
    <s v="aisha shinde"/>
    <d v="2000-05-08T00:00:00"/>
    <x v="17"/>
    <n v="120"/>
    <n v="1"/>
    <n v="121"/>
    <s v="UPI"/>
    <x v="2"/>
    <s v="Custmer complaned"/>
  </r>
  <r>
    <s v="BC21265"/>
    <x v="62"/>
    <x v="7"/>
    <d v="1899-12-30T20:14:00"/>
    <s v="Burger Camp, Pune"/>
    <s v="Farhan Kulkarni"/>
    <d v="2000-03-11T00:00:00"/>
    <x v="22"/>
    <n v="223"/>
    <n v="2"/>
    <n v="474"/>
    <s v="Card"/>
    <x v="4"/>
    <s v="Custmer complaned"/>
  </r>
  <r>
    <s v="BC21266"/>
    <x v="241"/>
    <x v="5"/>
    <d v="1899-12-30T13:05:00"/>
    <s v="Burger Camp, Pune"/>
    <s v="Sneha Khan"/>
    <d v="1994-08-14T00:00:00"/>
    <x v="13"/>
    <n v="97"/>
    <n v="1"/>
    <n v="98"/>
    <s v="UPI"/>
    <x v="1"/>
    <s v="Custmer complaned"/>
  </r>
  <r>
    <s v="BC21267"/>
    <x v="5"/>
    <x v="2"/>
    <d v="1899-12-30T18:56:00"/>
    <s v="Burger Camp, Pune"/>
    <s v="Rahul Khan"/>
    <d v="1981-02-08T00:00:00"/>
    <x v="17"/>
    <n v="129"/>
    <n v="2"/>
    <n v="259"/>
    <s v="Cash"/>
    <x v="2"/>
    <s v="Spicy"/>
  </r>
  <r>
    <s v="BC21268"/>
    <x v="36"/>
    <x v="0"/>
    <d v="1899-12-30T18:25:34"/>
    <s v="Burger Camp, Pune"/>
    <s v="Anil Naik"/>
    <d v="1991-11-19T00:00:00"/>
    <x v="16"/>
    <n v="188"/>
    <n v="2"/>
    <n v="378"/>
    <s v="Card"/>
    <x v="6"/>
    <s v="Spicy"/>
  </r>
  <r>
    <s v="BC21269"/>
    <x v="340"/>
    <x v="11"/>
    <d v="1899-12-30T23:37:12"/>
    <s v="Burger Camp, Pune"/>
    <s v="Rahul Naik"/>
    <d v="1981-08-26T00:00:00"/>
    <x v="3"/>
    <n v="254"/>
    <n v="2"/>
    <n v="509"/>
    <s v="UPI"/>
    <x v="0"/>
    <s v="Servd late"/>
  </r>
  <r>
    <s v="BC21270"/>
    <x v="173"/>
    <x v="7"/>
    <d v="1899-12-30T12:54:43"/>
    <s v="Burger Camp, Pune"/>
    <s v="Pooja Khan"/>
    <d v="1970-02-09T00:00:00"/>
    <x v="1"/>
    <n v="270"/>
    <n v="3"/>
    <n v="811"/>
    <s v="Card"/>
    <x v="3"/>
    <s v="repeat customer"/>
  </r>
  <r>
    <s v="BC21271"/>
    <x v="237"/>
    <x v="2"/>
    <d v="1899-12-30T10:46:00"/>
    <s v="Burger Camp, Pune"/>
    <s v="Aarav Shinde"/>
    <d v="2008-01-11T00:00:00"/>
    <x v="21"/>
    <n v="179"/>
    <n v="1"/>
    <n v="179"/>
    <s v="Wallet"/>
    <x v="2"/>
    <s v="repeat customer"/>
  </r>
  <r>
    <s v="BC21272"/>
    <x v="85"/>
    <x v="0"/>
    <d v="1899-12-30T20:11:00"/>
    <s v="Burger Camp, Pune"/>
    <s v="Mubin Shaikh"/>
    <d v="1989-07-01T00:00:00"/>
    <x v="8"/>
    <n v="55"/>
    <n v="2"/>
    <n v="111"/>
    <s v="UPI"/>
    <x v="3"/>
    <s v="Extra cheese"/>
  </r>
  <r>
    <s v="BC21273"/>
    <x v="121"/>
    <x v="4"/>
    <d v="1899-12-30T19:32:00"/>
    <s v="Burger Camp, Pune"/>
    <s v="Anil Gore"/>
    <d v="1989-07-01T00:00:00"/>
    <x v="7"/>
    <n v="234"/>
    <n v="2"/>
    <n v="468"/>
    <s v="UPI"/>
    <x v="0"/>
    <s v="Servd late"/>
  </r>
  <r>
    <s v="BC21274"/>
    <x v="158"/>
    <x v="4"/>
    <d v="1899-12-30T13:01:00"/>
    <s v="Burger Camp, Pune"/>
    <s v="Zara Shinde"/>
    <d v="2002-10-22T00:00:00"/>
    <x v="18"/>
    <n v="223"/>
    <n v="1"/>
    <n v="192"/>
    <s v="UPI"/>
    <x v="0"/>
    <s v="Custmer complaned"/>
  </r>
  <r>
    <s v="BC21275"/>
    <x v="259"/>
    <x v="3"/>
    <d v="1899-12-30T11:57:00"/>
    <s v="Burger Camp, Pune"/>
    <s v="Zara Shinde"/>
    <d v="2002-10-22T00:00:00"/>
    <x v="16"/>
    <n v="212"/>
    <n v="2"/>
    <n v="425"/>
    <s v="UPI"/>
    <x v="2"/>
    <s v="Custmer complaned"/>
  </r>
  <r>
    <s v="BC21276"/>
    <x v="12"/>
    <x v="2"/>
    <d v="1899-12-30T10:27:39"/>
    <s v="Burger Camp, Pune"/>
    <s v="Farhan Deshmukh"/>
    <d v="2008-07-26T00:00:00"/>
    <x v="5"/>
    <n v="225"/>
    <n v="2"/>
    <n v="452"/>
    <s v="UPI"/>
    <x v="5"/>
    <s v="Spicy"/>
  </r>
  <r>
    <s v="BC21277"/>
    <x v="80"/>
    <x v="3"/>
    <d v="1899-12-30T11:55:29"/>
    <s v="Burger Camp, Pune"/>
    <s v="Mubin Khan"/>
    <d v="1993-01-05T00:00:00"/>
    <x v="10"/>
    <n v="308"/>
    <n v="1"/>
    <n v="308"/>
    <s v="Card"/>
    <x v="0"/>
    <s v="repeat customer"/>
  </r>
  <r>
    <s v="BC21278"/>
    <x v="227"/>
    <x v="4"/>
    <d v="1899-12-30T16:27:40"/>
    <s v="Burger Camp, Pune"/>
    <s v="Aisha Naik"/>
    <d v="1978-01-23T00:00:00"/>
    <x v="18"/>
    <n v="173"/>
    <n v="2"/>
    <n v="348"/>
    <s v="Wallet"/>
    <x v="4"/>
    <s v="Custmer complaned"/>
  </r>
  <r>
    <s v="BC21279"/>
    <x v="77"/>
    <x v="8"/>
    <d v="1899-12-30T19:14:00"/>
    <s v="Burger Camp, Pune"/>
    <s v="Sneha Naik"/>
    <d v="2001-08-15T00:00:00"/>
    <x v="1"/>
    <n v="206"/>
    <n v="2"/>
    <n v="413"/>
    <s v="Cash"/>
    <x v="4"/>
    <s v="repeat customer"/>
  </r>
  <r>
    <s v="BC21280"/>
    <x v="19"/>
    <x v="8"/>
    <d v="1899-12-30T21:49:34"/>
    <s v="Burger Camp, Pune"/>
    <s v="Rahul Kulkarni"/>
    <d v="1971-12-26T00:00:00"/>
    <x v="4"/>
    <n v="209"/>
    <n v="1"/>
    <n v="209"/>
    <s v="Card"/>
    <x v="4"/>
    <s v="Spicy"/>
  </r>
  <r>
    <s v="BC21281"/>
    <x v="142"/>
    <x v="0"/>
    <d v="1899-12-30T15:19:00"/>
    <s v="Burger Camp, Pune"/>
    <s v="Zaid More"/>
    <d v="1998-11-15T00:00:00"/>
    <x v="2"/>
    <n v="289"/>
    <n v="2"/>
    <n v="579"/>
    <s v="Card"/>
    <x v="1"/>
    <s v="Spicy"/>
  </r>
  <r>
    <s v="BC21282"/>
    <x v="308"/>
    <x v="1"/>
    <d v="1899-12-30T13:40:00"/>
    <s v="Burger Camp, Pune"/>
    <s v="Aarav Shaikh"/>
    <d v="2001-08-19T00:00:00"/>
    <x v="4"/>
    <n v="177"/>
    <n v="3"/>
    <n v="533"/>
    <s v="UPI"/>
    <x v="5"/>
    <s v="Extra cheese"/>
  </r>
  <r>
    <s v="BC21283"/>
    <x v="5"/>
    <x v="2"/>
    <d v="1899-12-30T10:50:00"/>
    <s v="Burger Camp, Pune"/>
    <s v="Aisha Naik"/>
    <d v="1996-10-02T00:00:00"/>
    <x v="12"/>
    <n v="246"/>
    <n v="1"/>
    <m/>
    <s v="Cash "/>
    <x v="2"/>
    <s v="Extra cheese"/>
  </r>
  <r>
    <s v="BC21284"/>
    <x v="340"/>
    <x v="11"/>
    <d v="1899-12-30T14:10:00"/>
    <s v="Burger Camp, Pune"/>
    <s v="Pooja Naik"/>
    <d v="2007-07-14T00:00:00"/>
    <x v="1"/>
    <n v="288"/>
    <n v="1"/>
    <n v="289"/>
    <s v="Wallet"/>
    <x v="2"/>
    <s v="Less salt"/>
  </r>
  <r>
    <s v="BC21285"/>
    <x v="129"/>
    <x v="9"/>
    <d v="1899-12-30T20:30:31"/>
    <s v="Burger Camp, Pune"/>
    <s v="Riya Naik"/>
    <d v="1978-07-26T00:00:00"/>
    <x v="3"/>
    <n v="189"/>
    <n v="1"/>
    <m/>
    <s v="UPI"/>
    <x v="1"/>
    <s v="Extra cheese"/>
  </r>
  <r>
    <s v="BC21286"/>
    <x v="125"/>
    <x v="4"/>
    <d v="1899-12-30T16:56:45"/>
    <s v="Burger Camp, Pune"/>
    <s v="Zara More"/>
    <d v="1979-12-03T00:00:00"/>
    <x v="6"/>
    <n v="100"/>
    <n v="2"/>
    <n v="200"/>
    <s v="Card"/>
    <x v="3"/>
    <s v="Servd late"/>
  </r>
  <r>
    <s v="BC21287"/>
    <x v="220"/>
    <x v="1"/>
    <d v="1899-12-30T17:13:00"/>
    <s v="Burger Camp, Pune"/>
    <s v="Aarav More"/>
    <d v="1973-11-16T00:00:00"/>
    <x v="6"/>
    <n v="93"/>
    <n v="3"/>
    <n v="279"/>
    <s v="Wallet"/>
    <x v="0"/>
    <s v="Less salt"/>
  </r>
  <r>
    <s v="BC21288"/>
    <x v="4"/>
    <x v="3"/>
    <d v="1899-12-30T12:55:58"/>
    <s v="Burger Camp, Pune"/>
    <s v="Farhan Deshmukh"/>
    <d v="2007-01-19T00:00:00"/>
    <x v="2"/>
    <n v="321"/>
    <n v="2"/>
    <n v="644"/>
    <s v="Cash"/>
    <x v="6"/>
    <s v="Less salt"/>
  </r>
  <r>
    <s v="BC21289"/>
    <x v="286"/>
    <x v="4"/>
    <d v="1899-12-30T23:19:00"/>
    <s v="Burger Camp, Pune"/>
    <s v="Mubin Shaikh"/>
    <d v="1982-12-24T00:00:00"/>
    <x v="4"/>
    <n v="232"/>
    <n v="2"/>
    <n v="464"/>
    <s v="Cash"/>
    <x v="2"/>
    <s v="Servd late"/>
  </r>
  <r>
    <s v="BC21290"/>
    <x v="56"/>
    <x v="10"/>
    <d v="1899-12-30T17:05:00"/>
    <s v="Burger Camp, Pune"/>
    <s v="Zara Gore"/>
    <d v="1976-06-10T00:00:00"/>
    <x v="3"/>
    <n v="308"/>
    <n v="2"/>
    <n v="617"/>
    <s v="UPI"/>
    <x v="1"/>
    <s v="Less salt"/>
  </r>
  <r>
    <s v="BC21291"/>
    <x v="297"/>
    <x v="4"/>
    <d v="1899-12-30T11:23:31"/>
    <s v="Burger Camp, Pune"/>
    <s v="Mubin Patil"/>
    <d v="2003-05-06T00:00:00"/>
    <x v="10"/>
    <n v="238"/>
    <n v="2"/>
    <n v="477"/>
    <s v="Card"/>
    <x v="6"/>
    <s v="Extra cheese"/>
  </r>
  <r>
    <s v="BC21292"/>
    <x v="126"/>
    <x v="4"/>
    <d v="1899-12-30T22:09:00"/>
    <s v="Burger Camp, Pune"/>
    <s v="Sneha Gore"/>
    <d v="1992-03-18T00:00:00"/>
    <x v="4"/>
    <n v="221"/>
    <n v="2"/>
    <n v="442"/>
    <s v="Card"/>
    <x v="2"/>
    <s v="Extra cheese"/>
  </r>
  <r>
    <s v="BC21293"/>
    <x v="265"/>
    <x v="4"/>
    <d v="1899-12-30T11:48:00"/>
    <s v="Burger Camp, Pune"/>
    <s v="Rahul Shinde"/>
    <d v="2004-01-18T00:00:00"/>
    <x v="10"/>
    <n v="221"/>
    <n v="3"/>
    <n v="442"/>
    <s v="UPI"/>
    <x v="6"/>
    <s v="Extra cheese"/>
  </r>
  <r>
    <s v="BC21294"/>
    <x v="354"/>
    <x v="10"/>
    <d v="1899-12-30T11:37:13"/>
    <s v="Burger Camp, Pune"/>
    <s v="Rahul Kulkarni"/>
    <d v="1994-11-10T00:00:00"/>
    <x v="24"/>
    <n v="124"/>
    <n v="2"/>
    <n v="249"/>
    <s v="Card"/>
    <x v="1"/>
    <s v="Servd late"/>
  </r>
  <r>
    <s v="BC21295"/>
    <x v="117"/>
    <x v="11"/>
    <d v="1899-12-30T14:13:00"/>
    <s v="Burger Camp, Pune"/>
    <s v="Pooja Joshi"/>
    <d v="1994-11-10T00:00:00"/>
    <x v="22"/>
    <n v="184"/>
    <n v="3"/>
    <n v="554"/>
    <s v="Card"/>
    <x v="6"/>
    <s v="Less salt"/>
  </r>
  <r>
    <s v="BC21296"/>
    <x v="24"/>
    <x v="9"/>
    <d v="1899-12-30T19:07:00"/>
    <s v="Burger Camp, Pune"/>
    <s v="Mubin More"/>
    <d v="1984-07-14T00:00:00"/>
    <x v="23"/>
    <n v="196"/>
    <n v="3"/>
    <n v="588"/>
    <s v="Cash "/>
    <x v="0"/>
    <s v="No onion"/>
  </r>
  <r>
    <s v="BC21297"/>
    <x v="297"/>
    <x v="4"/>
    <d v="1899-12-30T12:21:30"/>
    <s v="Burger Camp, Pune"/>
    <s v="Pooja More"/>
    <d v="2010-03-03T00:00:00"/>
    <x v="19"/>
    <n v="336"/>
    <n v="2"/>
    <n v="672"/>
    <s v="Wallet"/>
    <x v="3"/>
    <s v="Spicy"/>
  </r>
  <r>
    <s v="BC21298"/>
    <x v="149"/>
    <x v="6"/>
    <d v="1899-12-30T10:20:00"/>
    <s v="Burger Camp, Pune"/>
    <s v="Farhan Naik"/>
    <d v="1984-07-11T00:00:00"/>
    <x v="13"/>
    <n v="105"/>
    <n v="1"/>
    <n v="105"/>
    <s v="Cash"/>
    <x v="0"/>
    <s v="Servd late"/>
  </r>
  <r>
    <s v="BC21299"/>
    <x v="170"/>
    <x v="7"/>
    <d v="1899-12-30T21:23:39"/>
    <s v="Burger Camp, Pune"/>
    <s v=" Farhan Gore "/>
    <d v="1995-03-17T00:00:00"/>
    <x v="5"/>
    <n v="102"/>
    <n v="1"/>
    <n v="103"/>
    <s v="Wallet"/>
    <x v="5"/>
    <s v="Servd late"/>
  </r>
  <r>
    <s v="BC21300"/>
    <x v="293"/>
    <x v="4"/>
    <d v="1899-12-30T23:27:54"/>
    <s v="Burger Camp, Pune"/>
    <s v="Zaid Khan"/>
    <d v="1991-12-12T00:00:00"/>
    <x v="10"/>
    <n v="223"/>
    <n v="3"/>
    <n v="671"/>
    <s v="Cash"/>
    <x v="1"/>
    <s v="Extra cheese"/>
  </r>
  <r>
    <s v="BC21301"/>
    <x v="7"/>
    <x v="4"/>
    <d v="1899-12-30T21:09:25"/>
    <s v="Burger Camp, Pune"/>
    <s v="Sneha More"/>
    <d v="1994-04-01T00:00:00"/>
    <x v="12"/>
    <n v="224"/>
    <n v="1"/>
    <n v="224"/>
    <s v="Card"/>
    <x v="6"/>
    <s v="Extra cheese"/>
  </r>
  <r>
    <s v="BC21302"/>
    <x v="138"/>
    <x v="2"/>
    <d v="1899-12-30T10:31:00"/>
    <s v="Burger Camp, Pune"/>
    <s v="Farhan Joshi"/>
    <d v="1993-04-24T00:00:00"/>
    <x v="9"/>
    <n v="224"/>
    <n v="1"/>
    <n v="224"/>
    <s v="UPI"/>
    <x v="0"/>
    <s v="Extra cheese"/>
  </r>
  <r>
    <s v="BC21303"/>
    <x v="202"/>
    <x v="8"/>
    <d v="1899-12-30T18:06:20"/>
    <s v="Burger Camp, Pune"/>
    <s v="Rahul Joshi"/>
    <d v="1981-08-28T00:00:00"/>
    <x v="12"/>
    <n v="250"/>
    <n v="2"/>
    <n v="501"/>
    <s v="Card"/>
    <x v="4"/>
    <s v="Extra cheese"/>
  </r>
  <r>
    <s v="BC21304"/>
    <x v="233"/>
    <x v="9"/>
    <d v="1899-12-30T23:27:00"/>
    <s v="Burger Camp, Pune"/>
    <s v="Mubin Deshmukh"/>
    <d v="1995-07-11T00:00:00"/>
    <x v="7"/>
    <n v="281"/>
    <n v="2"/>
    <n v="562"/>
    <s v="Card"/>
    <x v="5"/>
    <s v="Custmer complaned"/>
  </r>
  <r>
    <s v="BC21305"/>
    <x v="163"/>
    <x v="5"/>
    <d v="1899-12-30T10:40:34"/>
    <s v="Burger Camp, Pune"/>
    <s v="Farhan Kulkarni"/>
    <d v="2001-09-10T00:00:00"/>
    <x v="11"/>
    <n v="177"/>
    <n v="2"/>
    <n v="355"/>
    <s v="UPI"/>
    <x v="5"/>
    <s v="Custmer complaned"/>
  </r>
  <r>
    <s v="BC21306"/>
    <x v="254"/>
    <x v="0"/>
    <d v="1899-12-30T11:21:40"/>
    <s v="Burger Camp, Pune"/>
    <s v="Kiran Deshmukh"/>
    <d v="1988-01-23T00:00:00"/>
    <x v="16"/>
    <n v="188"/>
    <n v="1"/>
    <m/>
    <s v="Cash"/>
    <x v="0"/>
    <s v="Custmer complaned"/>
  </r>
  <r>
    <s v="BC21307"/>
    <x v="29"/>
    <x v="6"/>
    <d v="1899-12-30T15:27:41"/>
    <s v="Burger Camp, Pune"/>
    <s v="Aisha Kulkarni"/>
    <d v="1984-11-13T00:00:00"/>
    <x v="17"/>
    <n v="129"/>
    <n v="1"/>
    <n v="130"/>
    <s v="UPI"/>
    <x v="7"/>
    <s v="Custmer complaned"/>
  </r>
  <r>
    <s v="BC21308"/>
    <x v="46"/>
    <x v="0"/>
    <d v="1899-12-30T16:44:00"/>
    <s v="Burger Camp, Pune"/>
    <s v="Zara Khan"/>
    <d v="1986-06-07T00:00:00"/>
    <x v="14"/>
    <n v="157"/>
    <n v="3"/>
    <n v="472"/>
    <s v="Card"/>
    <x v="6"/>
    <s v="Extra cheese"/>
  </r>
  <r>
    <s v="BC21309"/>
    <x v="217"/>
    <x v="6"/>
    <d v="1899-12-30T16:26:00"/>
    <s v="Burger Camp, Pune"/>
    <s v="Mubin Joshi"/>
    <d v="2010-09-10T00:00:00"/>
    <x v="12"/>
    <n v="261"/>
    <n v="2"/>
    <n v="523"/>
    <s v="Card"/>
    <x v="0"/>
    <s v="Extra cheese"/>
  </r>
  <r>
    <s v="BC21310"/>
    <x v="316"/>
    <x v="4"/>
    <d v="1899-12-30T22:48:00"/>
    <s v="Burger Camp, Pune"/>
    <s v="Farhan More"/>
    <d v="1989-08-09T00:00:00"/>
    <x v="12"/>
    <n v="271"/>
    <n v="2"/>
    <n v="544"/>
    <s v="Card"/>
    <x v="7"/>
    <s v="Custmer complaned"/>
  </r>
  <r>
    <s v="BC21311"/>
    <x v="110"/>
    <x v="4"/>
    <d v="1899-12-30T15:02:54"/>
    <s v="Burger Camp, Pune"/>
    <s v="Anil Shaikh"/>
    <d v="1988-06-22T00:00:00"/>
    <x v="25"/>
    <n v="125"/>
    <n v="1"/>
    <n v="125"/>
    <s v="Cash"/>
    <x v="7"/>
    <s v="Custmer complaned"/>
  </r>
  <r>
    <s v="BC21312"/>
    <x v="128"/>
    <x v="4"/>
    <d v="1899-12-30T10:38:00"/>
    <s v="Burger Camp, Pune"/>
    <s v="Riya More"/>
    <d v="1990-12-06T00:00:00"/>
    <x v="17"/>
    <n v="147"/>
    <n v="1"/>
    <n v="100"/>
    <s v="Wallet"/>
    <x v="2"/>
    <s v="Less salt"/>
  </r>
  <r>
    <s v="BC21313"/>
    <x v="310"/>
    <x v="10"/>
    <d v="1899-12-30T15:24:00"/>
    <s v="Burger Camp, Pune"/>
    <s v="Riya Patil"/>
    <d v="1979-02-07T00:00:00"/>
    <x v="21"/>
    <n v="213"/>
    <n v="2"/>
    <n v="429"/>
    <s v="Cash"/>
    <x v="7"/>
    <s v="Less salt"/>
  </r>
  <r>
    <s v="BC21314"/>
    <x v="280"/>
    <x v="8"/>
    <d v="1899-12-30T12:30:00"/>
    <s v="Burger Camp, Pune"/>
    <s v=" Zaid Joshi "/>
    <d v="1981-11-20T00:00:00"/>
    <x v="8"/>
    <n v="45"/>
    <n v="2"/>
    <n v="91"/>
    <s v="Card"/>
    <x v="1"/>
    <s v="Custmer complaned"/>
  </r>
  <r>
    <s v="BC21315"/>
    <x v="248"/>
    <x v="9"/>
    <d v="1899-12-30T20:45:29"/>
    <s v="Burger Camp, Pune"/>
    <s v="Zara Patil"/>
    <d v="2008-10-07T00:00:00"/>
    <x v="20"/>
    <n v="348"/>
    <n v="1"/>
    <n v="349"/>
    <s v="UPI"/>
    <x v="0"/>
    <s v="Custmer complaned"/>
  </r>
  <r>
    <s v="BC21316"/>
    <x v="142"/>
    <x v="0"/>
    <d v="1899-12-30T10:12:04"/>
    <s v="Burger Camp, Pune"/>
    <s v="Mubin Joshi"/>
    <d v="2008-01-11T00:00:00"/>
    <x v="2"/>
    <n v="229"/>
    <n v="2"/>
    <n v="460"/>
    <s v="Cash"/>
    <x v="3"/>
    <s v="Less salt"/>
  </r>
  <r>
    <s v="BC21317"/>
    <x v="228"/>
    <x v="9"/>
    <d v="1899-12-30T23:07:00"/>
    <s v="Burger Camp, Pune"/>
    <s v="Riya Kulkarni"/>
    <d v="2009-11-28T00:00:00"/>
    <x v="7"/>
    <n v="93"/>
    <n v="1"/>
    <n v="94"/>
    <s v="Cash"/>
    <x v="0"/>
    <s v="Spicy"/>
  </r>
  <r>
    <s v="BC21318"/>
    <x v="14"/>
    <x v="7"/>
    <d v="1899-12-30T10:18:00"/>
    <s v="Burger Camp, Pune"/>
    <s v="Sneha Deshmukh"/>
    <d v="1979-05-28T00:00:00"/>
    <x v="12"/>
    <n v="292"/>
    <n v="1"/>
    <n v="293"/>
    <s v="UPI"/>
    <x v="1"/>
    <s v="Extra cheese"/>
  </r>
  <r>
    <s v="BC21319"/>
    <x v="323"/>
    <x v="2"/>
    <d v="1899-12-30T15:55:00"/>
    <s v="Burger Camp, Pune"/>
    <s v=" Zara More "/>
    <d v="1978-12-20T00:00:00"/>
    <x v="20"/>
    <n v="333"/>
    <n v="1"/>
    <n v="333"/>
    <s v="UPI"/>
    <x v="1"/>
    <s v="Custmer complaned"/>
  </r>
  <r>
    <s v="BC21320"/>
    <x v="148"/>
    <x v="5"/>
    <d v="1899-12-30T17:12:00"/>
    <s v="Burger Camp, Pune"/>
    <s v="Kiran More"/>
    <d v="1978-12-20T00:00:00"/>
    <x v="11"/>
    <n v="155"/>
    <n v="1"/>
    <n v="155"/>
    <s v="Cash "/>
    <x v="6"/>
    <s v="Custmer complaned"/>
  </r>
  <r>
    <s v="BC21321"/>
    <x v="256"/>
    <x v="2"/>
    <d v="1899-12-30T19:33:00"/>
    <s v="Burger Camp, Pune"/>
    <s v="Rahul Gore"/>
    <d v="1999-04-18T00:00:00"/>
    <x v="20"/>
    <n v="241"/>
    <n v="1"/>
    <n v="242"/>
    <s v="Cash "/>
    <x v="6"/>
    <s v="Servd late"/>
  </r>
  <r>
    <s v="BC21322"/>
    <x v="134"/>
    <x v="10"/>
    <d v="1899-12-30T18:34:25"/>
    <s v="Burger Camp, Pune"/>
    <s v="Farhan Gore"/>
    <d v="1973-08-27T00:00:00"/>
    <x v="2"/>
    <n v="252"/>
    <n v="2"/>
    <n v="506"/>
    <s v="Card"/>
    <x v="4"/>
    <s v="Servd late"/>
  </r>
  <r>
    <s v="BC21323"/>
    <x v="177"/>
    <x v="4"/>
    <d v="1899-12-30T23:47:00"/>
    <s v="Burger Camp, Pune"/>
    <s v="Pooja Khan"/>
    <d v="1982-02-15T00:00:00"/>
    <x v="7"/>
    <n v="195"/>
    <n v="2"/>
    <n v="347"/>
    <s v="UPI"/>
    <x v="5"/>
    <s v="No onion"/>
  </r>
  <r>
    <s v="BC21324"/>
    <x v="41"/>
    <x v="0"/>
    <d v="1899-12-30T15:11:00"/>
    <s v="Burger Camp, Pune"/>
    <s v="Sneha Patil"/>
    <d v="2006-04-03T00:00:00"/>
    <x v="0"/>
    <n v="76"/>
    <n v="1"/>
    <n v="77"/>
    <s v="Cash "/>
    <x v="2"/>
    <s v="No onion"/>
  </r>
  <r>
    <s v="BC21325"/>
    <x v="333"/>
    <x v="7"/>
    <d v="1899-12-30T19:42:00"/>
    <s v="Burger Camp, Pune"/>
    <s v="Farhan Khan"/>
    <d v="1970-01-27T00:00:00"/>
    <x v="22"/>
    <n v="244"/>
    <n v="1"/>
    <n v="245"/>
    <s v="Cash"/>
    <x v="3"/>
    <s v="Spicy"/>
  </r>
  <r>
    <s v="BC21326"/>
    <x v="213"/>
    <x v="2"/>
    <d v="1899-12-30T17:06:03"/>
    <s v="Burger Camp, Pune"/>
    <s v=" Zaid Shinde "/>
    <d v="1988-10-06T00:00:00"/>
    <x v="3"/>
    <n v="202"/>
    <n v="3"/>
    <n v="607"/>
    <s v="Cash"/>
    <x v="2"/>
    <s v="Spicy"/>
  </r>
  <r>
    <s v="BC21327"/>
    <x v="86"/>
    <x v="9"/>
    <d v="1899-12-30T18:29:00"/>
    <s v="Burger Camp, Pune"/>
    <s v="Zara Kulkarni"/>
    <d v="1995-12-18T00:00:00"/>
    <x v="19"/>
    <n v="242"/>
    <n v="2"/>
    <n v="485"/>
    <s v="Card"/>
    <x v="4"/>
    <s v="Spicy"/>
  </r>
  <r>
    <s v="BC21328"/>
    <x v="92"/>
    <x v="5"/>
    <d v="1899-12-30T23:56:45"/>
    <s v="Burger Camp, Pune"/>
    <s v=" Mubin Gore "/>
    <d v="1996-07-20T00:00:00"/>
    <x v="14"/>
    <n v="222"/>
    <n v="1"/>
    <n v="222"/>
    <s v="Card"/>
    <x v="6"/>
    <s v="Extra cheese"/>
  </r>
  <r>
    <s v="BC21329"/>
    <x v="132"/>
    <x v="9"/>
    <d v="1899-12-30T11:06:00"/>
    <s v="Burger Camp, Pune"/>
    <s v="Pooja Joshi"/>
    <d v="1991-12-12T00:00:00"/>
    <x v="0"/>
    <n v="110"/>
    <n v="1"/>
    <n v="42"/>
    <s v="Card"/>
    <x v="7"/>
    <s v="Spicy"/>
  </r>
  <r>
    <s v="BC21330"/>
    <x v="314"/>
    <x v="9"/>
    <d v="1899-12-30T18:52:09"/>
    <s v="Burger Camp, Pune"/>
    <s v="Mubin Shaikh"/>
    <d v="1987-12-06T00:00:00"/>
    <x v="13"/>
    <n v="133"/>
    <n v="3"/>
    <n v="402"/>
    <s v="Cash"/>
    <x v="0"/>
    <s v="Custmer complaned"/>
  </r>
  <r>
    <s v="BC21331"/>
    <x v="26"/>
    <x v="3"/>
    <d v="1899-12-30T16:58:32"/>
    <s v="Burger Camp, Pune"/>
    <s v="Zaid Khan"/>
    <d v="2008-06-04T00:00:00"/>
    <x v="6"/>
    <n v="95"/>
    <n v="1"/>
    <n v="95"/>
    <s v="Cash "/>
    <x v="2"/>
    <s v="Extra cheese"/>
  </r>
  <r>
    <s v="BC21332"/>
    <x v="240"/>
    <x v="9"/>
    <d v="1899-12-30T20:52:00"/>
    <s v="Burger Camp, Pune"/>
    <s v="Mubin Joshi"/>
    <d v="1976-04-21T00:00:00"/>
    <x v="10"/>
    <n v="144"/>
    <n v="2"/>
    <n v="290"/>
    <s v="Card"/>
    <x v="4"/>
    <s v="Extra cheese"/>
  </r>
  <r>
    <s v="BC21333"/>
    <x v="51"/>
    <x v="10"/>
    <d v="1899-12-30T20:54:00"/>
    <s v="Burger Camp, Pune"/>
    <s v="Anil More"/>
    <d v="1985-05-23T00:00:00"/>
    <x v="0"/>
    <n v="89"/>
    <n v="2"/>
    <n v="179"/>
    <s v="Card"/>
    <x v="2"/>
    <s v="Extra cheese"/>
  </r>
  <r>
    <s v="BC21334"/>
    <x v="352"/>
    <x v="7"/>
    <d v="1899-12-30T17:01:00"/>
    <s v="Burger Camp, Pune"/>
    <s v="Mubin Kulkarni"/>
    <d v="1985-05-23T00:00:00"/>
    <x v="9"/>
    <n v="246"/>
    <n v="2"/>
    <n v="486"/>
    <s v="UPI"/>
    <x v="1"/>
    <s v="Extra cheese"/>
  </r>
  <r>
    <s v="BC21335"/>
    <x v="146"/>
    <x v="10"/>
    <d v="1899-12-30T16:25:00"/>
    <s v="Burger Camp, Pune"/>
    <s v="Zaid Joshi"/>
    <d v="2010-03-10T00:00:00"/>
    <x v="1"/>
    <n v="274"/>
    <n v="3"/>
    <n v="823"/>
    <s v="Cash"/>
    <x v="5"/>
    <s v="repeat customer"/>
  </r>
  <r>
    <s v="BC21336"/>
    <x v="274"/>
    <x v="2"/>
    <d v="1899-12-30T22:07:00"/>
    <s v="Burger Camp, Pune"/>
    <s v="Mubin More"/>
    <d v="1978-09-05T00:00:00"/>
    <x v="16"/>
    <n v="175"/>
    <n v="2"/>
    <n v="350"/>
    <s v="Cash"/>
    <x v="1"/>
    <s v="Custmer complaned"/>
  </r>
  <r>
    <s v="BC21337"/>
    <x v="261"/>
    <x v="3"/>
    <d v="1899-12-30T17:41:45"/>
    <s v="Burger Camp, Pune"/>
    <s v="Riya Patil"/>
    <d v="1984-12-16T00:00:00"/>
    <x v="25"/>
    <n v="235"/>
    <n v="3"/>
    <n v="707"/>
    <s v="Cash "/>
    <x v="3"/>
    <s v="Servd late"/>
  </r>
  <r>
    <s v="BC21338"/>
    <x v="355"/>
    <x v="5"/>
    <d v="1899-12-30T19:08:42"/>
    <s v="Burger Camp, Pune"/>
    <s v="Riya Khan"/>
    <d v="1992-12-28T00:00:00"/>
    <x v="6"/>
    <n v="94"/>
    <n v="1"/>
    <n v="94"/>
    <s v="Card"/>
    <x v="3"/>
    <s v="Spicy"/>
  </r>
  <r>
    <s v="BC21339"/>
    <x v="35"/>
    <x v="3"/>
    <d v="1899-12-30T11:42:00"/>
    <s v="Burger Camp, Pune"/>
    <s v="Mubin Joshi"/>
    <d v="1971-08-11T00:00:00"/>
    <x v="6"/>
    <n v="124"/>
    <n v="1"/>
    <n v="125"/>
    <s v="UPI"/>
    <x v="4"/>
    <s v="Spicy"/>
  </r>
  <r>
    <s v="BC21340"/>
    <x v="193"/>
    <x v="5"/>
    <d v="1899-12-30T18:48:00"/>
    <s v="Burger Camp, Pune"/>
    <s v="Pooja Khan"/>
    <d v="1971-08-11T00:00:00"/>
    <x v="18"/>
    <n v="295"/>
    <n v="2"/>
    <n v="590"/>
    <s v="UPI"/>
    <x v="3"/>
    <s v="repeat customer"/>
  </r>
  <r>
    <s v="BC21341"/>
    <x v="131"/>
    <x v="0"/>
    <d v="1899-12-30T19:51:00"/>
    <s v="Burger Camp, Pune"/>
    <s v="Pooja Shaikh"/>
    <d v="1974-08-27T00:00:00"/>
    <x v="5"/>
    <n v="179"/>
    <n v="1"/>
    <n v="180"/>
    <s v="Cash "/>
    <x v="7"/>
    <s v="repeat customer"/>
  </r>
  <r>
    <s v="BC21342"/>
    <x v="356"/>
    <x v="8"/>
    <d v="1899-12-30T15:19:01"/>
    <s v="Burger Camp, Pune"/>
    <s v="pooja khan"/>
    <d v="1992-06-21T00:00:00"/>
    <x v="3"/>
    <n v="270"/>
    <n v="1"/>
    <n v="271"/>
    <s v="UPI"/>
    <x v="7"/>
    <s v="repeat customer"/>
  </r>
  <r>
    <s v="BC21343"/>
    <x v="125"/>
    <x v="4"/>
    <d v="1899-12-30T15:32:00"/>
    <s v="Burger Camp, Pune"/>
    <s v="Farhan Joshi"/>
    <d v="1997-05-04T00:00:00"/>
    <x v="24"/>
    <n v="154"/>
    <n v="1"/>
    <n v="154"/>
    <s v="Card"/>
    <x v="1"/>
    <s v="repeat customer"/>
  </r>
  <r>
    <s v="BC21344"/>
    <x v="65"/>
    <x v="11"/>
    <d v="1899-12-30T19:21:00"/>
    <s v="Burger Camp, Pune"/>
    <s v="Riya Khan"/>
    <d v="1977-04-09T00:00:00"/>
    <x v="21"/>
    <n v="231"/>
    <n v="1"/>
    <n v="232"/>
    <s v="Cash "/>
    <x v="2"/>
    <s v="repeat customer"/>
  </r>
  <r>
    <s v="BC21345"/>
    <x v="38"/>
    <x v="3"/>
    <d v="1899-12-30T22:06:00"/>
    <s v="Burger Camp, Pune"/>
    <s v="Anil More"/>
    <d v="1989-07-18T00:00:00"/>
    <x v="1"/>
    <n v="269"/>
    <n v="2"/>
    <n v="539"/>
    <s v="Card"/>
    <x v="3"/>
    <s v="Extra cheese"/>
  </r>
  <r>
    <s v="BC21346"/>
    <x v="113"/>
    <x v="4"/>
    <d v="1899-12-30T19:22:00"/>
    <s v="Burger Camp, Pune"/>
    <s v="kiran gore"/>
    <d v="1990-01-18T00:00:00"/>
    <x v="5"/>
    <n v="52"/>
    <n v="3"/>
    <n v="156"/>
    <s v="Card"/>
    <x v="7"/>
    <s v="Custmer complaned"/>
  </r>
  <r>
    <s v="BC21347"/>
    <x v="156"/>
    <x v="8"/>
    <d v="1899-12-30T14:03:00"/>
    <s v="Burger Camp, Pune"/>
    <s v="Farhan Shaikh"/>
    <d v="1990-07-16T00:00:00"/>
    <x v="25"/>
    <n v="281"/>
    <n v="1"/>
    <n v="281"/>
    <s v="Card"/>
    <x v="7"/>
    <s v="Extra cheese"/>
  </r>
  <r>
    <s v="BC21348"/>
    <x v="205"/>
    <x v="1"/>
    <d v="1899-12-30T16:40:00"/>
    <s v="Burger Camp, Pune"/>
    <s v="Zara Shaikh"/>
    <d v="1990-07-16T00:00:00"/>
    <x v="17"/>
    <n v="110"/>
    <n v="1"/>
    <n v="110"/>
    <s v="Card"/>
    <x v="2"/>
    <s v="Spicy"/>
  </r>
  <r>
    <s v="BC21349"/>
    <x v="70"/>
    <x v="1"/>
    <d v="1899-12-30T18:37:00"/>
    <s v="Burger Camp, Pune"/>
    <s v="Anil Deshmukh"/>
    <d v="1997-01-03T00:00:00"/>
    <x v="19"/>
    <n v="362"/>
    <n v="2"/>
    <n v="761"/>
    <s v="Card"/>
    <x v="5"/>
    <s v="Custmer complaned"/>
  </r>
  <r>
    <s v="BC21350"/>
    <x v="271"/>
    <x v="7"/>
    <d v="1899-12-30T17:55:00"/>
    <s v="Burger Camp, Pune"/>
    <s v="Pooja Naik"/>
    <d v="1987-08-26T00:00:00"/>
    <x v="10"/>
    <n v="52"/>
    <n v="3"/>
    <n v="157"/>
    <s v="UPI"/>
    <x v="2"/>
    <s v="Custmer complaned"/>
  </r>
  <r>
    <s v="BC21351"/>
    <x v="99"/>
    <x v="9"/>
    <d v="1899-12-30T14:17:00"/>
    <s v="Burger Camp, Pune"/>
    <s v="Zaid Naik"/>
    <d v="2002-10-25T00:00:00"/>
    <x v="20"/>
    <n v="288"/>
    <n v="2"/>
    <n v="577"/>
    <s v="Cash "/>
    <x v="6"/>
    <s v="Spicy"/>
  </r>
  <r>
    <s v="BC21352"/>
    <x v="357"/>
    <x v="6"/>
    <d v="1899-12-30T19:05:45"/>
    <s v="Burger Camp, Pune"/>
    <s v="Anil Kulkarni"/>
    <d v="1989-01-01T00:00:00"/>
    <x v="6"/>
    <n v="91"/>
    <n v="2"/>
    <n v="183"/>
    <s v="Cash "/>
    <x v="4"/>
    <s v="Spicy"/>
  </r>
  <r>
    <s v="BC21353"/>
    <x v="81"/>
    <x v="9"/>
    <d v="1899-12-30T16:51:00"/>
    <s v="Burger Camp, Pune"/>
    <s v="Pooja Joshi"/>
    <d v="1985-05-28T00:00:00"/>
    <x v="8"/>
    <n v="38"/>
    <n v="2"/>
    <n v="77"/>
    <s v="Card"/>
    <x v="1"/>
    <s v="Less salt"/>
  </r>
  <r>
    <s v="BC21354"/>
    <x v="164"/>
    <x v="1"/>
    <d v="1899-12-30T12:21:00"/>
    <s v="Burger Camp, Pune"/>
    <s v="Kiran Gore"/>
    <d v="1985-05-28T00:00:00"/>
    <x v="23"/>
    <n v="277"/>
    <n v="1"/>
    <n v="278"/>
    <s v="UPI"/>
    <x v="6"/>
    <s v="Extra cheese"/>
  </r>
  <r>
    <s v="BC21355"/>
    <x v="100"/>
    <x v="0"/>
    <d v="1899-12-30T22:28:30"/>
    <s v="Burger Camp, Pune"/>
    <s v="mubin naik"/>
    <d v="1999-01-05T00:00:00"/>
    <x v="4"/>
    <n v="234"/>
    <n v="2"/>
    <n v="470"/>
    <s v="Card"/>
    <x v="0"/>
    <s v="Less salt"/>
  </r>
  <r>
    <s v="BC21356"/>
    <x v="158"/>
    <x v="4"/>
    <d v="1899-12-30T21:35:17"/>
    <s v="Burger Camp, Pune"/>
    <s v="Farhan Shinde"/>
    <d v="1994-11-14T00:00:00"/>
    <x v="15"/>
    <n v="166"/>
    <n v="1"/>
    <n v="167"/>
    <s v="UPI"/>
    <x v="6"/>
    <s v="Less salt"/>
  </r>
  <r>
    <s v="BC21357"/>
    <x v="38"/>
    <x v="3"/>
    <d v="1899-12-30T17:24:36"/>
    <s v="Burger Camp, Pune"/>
    <s v="Kiran Kulkarni"/>
    <d v="2005-10-09T00:00:00"/>
    <x v="6"/>
    <n v="82"/>
    <n v="2"/>
    <n v="164"/>
    <s v="UPI"/>
    <x v="7"/>
    <s v="Less salt"/>
  </r>
  <r>
    <s v="BC21358"/>
    <x v="289"/>
    <x v="11"/>
    <d v="1899-12-30T17:38:53"/>
    <s v="Burger Camp, Pune"/>
    <s v="Mubin Deshmukh"/>
    <d v="1999-11-17T00:00:00"/>
    <x v="7"/>
    <n v="229"/>
    <n v="2"/>
    <n v="460"/>
    <s v="Card"/>
    <x v="0"/>
    <s v="No onion"/>
  </r>
  <r>
    <s v="BC21359"/>
    <x v="205"/>
    <x v="1"/>
    <d v="1899-12-30T18:03:00"/>
    <s v="Burger Camp, Pune"/>
    <s v="Rahul Patil"/>
    <d v="1972-01-17T00:00:00"/>
    <x v="11"/>
    <n v="170"/>
    <n v="2"/>
    <n v="341"/>
    <s v="Cash"/>
    <x v="1"/>
    <s v="repeat customer"/>
  </r>
  <r>
    <s v="BC21360"/>
    <x v="136"/>
    <x v="0"/>
    <d v="1899-12-30T19:39:00"/>
    <s v="Burger Camp, Pune"/>
    <s v="Kiran Patil"/>
    <d v="1986-01-08T00:00:00"/>
    <x v="13"/>
    <n v="111"/>
    <n v="1"/>
    <n v="112"/>
    <s v="Cash"/>
    <x v="2"/>
    <s v="repeat customer"/>
  </r>
  <r>
    <s v="BC21361"/>
    <x v="129"/>
    <x v="9"/>
    <d v="1899-12-30T12:13:36"/>
    <s v="Burger Camp, Pune"/>
    <s v="Riya Kulkarni"/>
    <d v="1992-11-24T00:00:00"/>
    <x v="0"/>
    <n v="90"/>
    <n v="1"/>
    <n v="91"/>
    <s v="UPI"/>
    <x v="1"/>
    <s v="repeat customer"/>
  </r>
  <r>
    <s v="BC21362"/>
    <x v="309"/>
    <x v="6"/>
    <d v="1899-12-30T16:10:00"/>
    <s v="Burger Camp, Pune"/>
    <s v="Farhan Shinde"/>
    <d v="2009-10-05T00:00:00"/>
    <x v="15"/>
    <n v="77"/>
    <n v="3"/>
    <n v="233"/>
    <s v="Card"/>
    <x v="3"/>
    <s v="repeat customer"/>
  </r>
  <r>
    <s v="BC21363"/>
    <x v="126"/>
    <x v="4"/>
    <d v="1899-12-30T17:16:00"/>
    <s v="Burger Camp, Pune"/>
    <s v="Zaid Gore"/>
    <d v="1998-07-23T00:00:00"/>
    <x v="16"/>
    <n v="158"/>
    <n v="1"/>
    <n v="159"/>
    <s v="Cash"/>
    <x v="6"/>
    <s v="No onion"/>
  </r>
  <r>
    <s v="BC21364"/>
    <x v="59"/>
    <x v="6"/>
    <d v="1899-12-30T13:50:00"/>
    <s v="Burger Camp, Pune"/>
    <s v="Pooja Khan"/>
    <d v="1993-08-17T00:00:00"/>
    <x v="21"/>
    <n v="169"/>
    <n v="3"/>
    <n v="507"/>
    <s v="Wallet"/>
    <x v="1"/>
    <s v="Less salt"/>
  </r>
  <r>
    <s v="BC21365"/>
    <x v="353"/>
    <x v="4"/>
    <d v="1899-12-30T21:44:00"/>
    <s v="Burger Camp, Pune"/>
    <s v="Kiran More"/>
    <d v="1993-08-17T00:00:00"/>
    <x v="12"/>
    <n v="300"/>
    <n v="2"/>
    <n v="601"/>
    <s v="Card"/>
    <x v="5"/>
    <s v="No onion"/>
  </r>
  <r>
    <s v="BC21366"/>
    <x v="100"/>
    <x v="0"/>
    <d v="1899-12-30T19:10:00"/>
    <s v="Burger Camp, Pune"/>
    <s v="Mubin Kulkarni"/>
    <d v="1993-08-17T00:00:00"/>
    <x v="21"/>
    <n v="199"/>
    <n v="1"/>
    <n v="199"/>
    <s v="Card"/>
    <x v="7"/>
    <s v="Less salt"/>
  </r>
  <r>
    <s v="BC21367"/>
    <x v="246"/>
    <x v="1"/>
    <d v="1899-12-30T23:17:53"/>
    <s v="Burger Camp, Pune"/>
    <s v="Mubin Shaikh"/>
    <d v="1971-01-10T00:00:00"/>
    <x v="15"/>
    <n v="249"/>
    <n v="1"/>
    <n v="249"/>
    <s v="Wallet"/>
    <x v="7"/>
    <s v="Less salt"/>
  </r>
  <r>
    <s v="BC21368"/>
    <x v="128"/>
    <x v="4"/>
    <d v="1899-12-30T10:54:20"/>
    <s v="Burger Camp, Pune"/>
    <s v="Rahul Shinde"/>
    <d v="1992-01-27T00:00:00"/>
    <x v="6"/>
    <n v="107"/>
    <n v="2"/>
    <n v="215"/>
    <s v="UPI"/>
    <x v="6"/>
    <s v="Less salt"/>
  </r>
  <r>
    <s v="BC21369"/>
    <x v="17"/>
    <x v="3"/>
    <d v="1899-12-30T18:35:00"/>
    <s v="Burger Camp, Pune"/>
    <s v="Zaid Khan"/>
    <d v="1974-10-16T00:00:00"/>
    <x v="6"/>
    <n v="103"/>
    <n v="2"/>
    <n v="206"/>
    <s v="UPI"/>
    <x v="7"/>
    <s v="Spicy"/>
  </r>
  <r>
    <s v="BC21370"/>
    <x v="263"/>
    <x v="9"/>
    <d v="1899-12-30T18:34:00"/>
    <s v="Burger Camp, Pune"/>
    <s v="farhan khan"/>
    <d v="1984-08-22T00:00:00"/>
    <x v="9"/>
    <n v="73"/>
    <n v="1"/>
    <n v="74"/>
    <s v="Card"/>
    <x v="6"/>
    <s v="Extra cheese"/>
  </r>
  <r>
    <s v="BC21371"/>
    <x v="270"/>
    <x v="5"/>
    <d v="1899-12-30T14:14:27"/>
    <s v="Burger Camp, Pune"/>
    <s v="Zara More"/>
    <d v="2008-12-21T00:00:00"/>
    <x v="13"/>
    <n v="96"/>
    <n v="2"/>
    <n v="192"/>
    <s v="Cash"/>
    <x v="5"/>
    <s v="Extra cheese"/>
  </r>
  <r>
    <s v="BC21372"/>
    <x v="191"/>
    <x v="4"/>
    <d v="1899-12-30T18:18:23"/>
    <s v="Burger Camp, Pune"/>
    <s v="Pooja Deshmukh"/>
    <d v="2000-08-26T00:00:00"/>
    <x v="23"/>
    <n v="39"/>
    <n v="1"/>
    <n v="100"/>
    <s v="Card"/>
    <x v="2"/>
    <s v="Spicy"/>
  </r>
  <r>
    <s v="BC21373"/>
    <x v="316"/>
    <x v="4"/>
    <d v="1899-12-30T19:31:00"/>
    <s v="Burger Camp, Pune"/>
    <s v="Riya Deshmukh"/>
    <d v="1987-12-02T00:00:00"/>
    <x v="4"/>
    <n v="203"/>
    <n v="3"/>
    <n v="610"/>
    <s v="Card"/>
    <x v="3"/>
    <s v="Spicy"/>
  </r>
  <r>
    <s v="BC21374"/>
    <x v="260"/>
    <x v="1"/>
    <d v="1899-12-30T10:34:13"/>
    <s v="Burger Camp, Pune"/>
    <s v="Mubin Khan"/>
    <d v="1979-06-16T00:00:00"/>
    <x v="15"/>
    <n v="228"/>
    <n v="3"/>
    <n v="685"/>
    <s v="Card"/>
    <x v="0"/>
    <s v="No onion"/>
  </r>
  <r>
    <s v="BC21375"/>
    <x v="126"/>
    <x v="4"/>
    <d v="1899-12-30T19:25:56"/>
    <s v="Burger Camp, Pune"/>
    <s v="Rahul Deshmukh"/>
    <d v="1994-01-05T00:00:00"/>
    <x v="11"/>
    <n v="221"/>
    <n v="1"/>
    <n v="222"/>
    <s v="Card"/>
    <x v="6"/>
    <s v="Less salt"/>
  </r>
  <r>
    <s v="BC21376"/>
    <x v="131"/>
    <x v="0"/>
    <d v="1899-12-30T11:52:00"/>
    <s v="Burger Camp, Pune"/>
    <s v="Riya Naik"/>
    <d v="1973-11-01T00:00:00"/>
    <x v="15"/>
    <n v="117"/>
    <n v="2"/>
    <n v="235"/>
    <s v="Cash"/>
    <x v="6"/>
    <s v="Extra cheese"/>
  </r>
  <r>
    <s v="BC21377"/>
    <x v="108"/>
    <x v="9"/>
    <d v="1899-12-30T17:23:00"/>
    <s v="Burger Camp, Pune"/>
    <s v="Anil Naik"/>
    <d v="1973-11-27T00:00:00"/>
    <x v="21"/>
    <n v="173"/>
    <n v="1"/>
    <n v="221"/>
    <s v="Cash"/>
    <x v="1"/>
    <s v="Extra cheese"/>
  </r>
  <r>
    <s v="BC21378"/>
    <x v="53"/>
    <x v="1"/>
    <d v="1899-12-30T14:30:00"/>
    <s v="Burger Camp, Pune"/>
    <s v="Rahul Khan"/>
    <d v="1973-11-27T00:00:00"/>
    <x v="20"/>
    <n v="268"/>
    <n v="2"/>
    <n v="536"/>
    <s v="Cash"/>
    <x v="1"/>
    <s v="Less salt"/>
  </r>
  <r>
    <s v="BC21379"/>
    <x v="325"/>
    <x v="1"/>
    <d v="1899-12-30T11:05:51"/>
    <s v="Burger Camp, Pune"/>
    <s v="Rahul Kulkarni"/>
    <d v="1992-01-24T00:00:00"/>
    <x v="18"/>
    <n v="165"/>
    <n v="1"/>
    <n v="165"/>
    <s v="Cash"/>
    <x v="7"/>
    <s v="Servd late"/>
  </r>
  <r>
    <s v="BC21380"/>
    <x v="95"/>
    <x v="5"/>
    <d v="1899-12-30T13:51:00"/>
    <s v="Burger Camp, Pune"/>
    <s v="Pooja Deshmukh"/>
    <d v="1994-09-19T00:00:00"/>
    <x v="1"/>
    <n v="248"/>
    <n v="2"/>
    <n v="497"/>
    <s v="Cash"/>
    <x v="1"/>
    <s v="Spicy"/>
  </r>
  <r>
    <s v="BC21381"/>
    <x v="63"/>
    <x v="10"/>
    <d v="1899-12-30T13:30:00"/>
    <s v="Burger Camp, Pune"/>
    <s v="Anil Gore"/>
    <d v="2004-02-19T00:00:00"/>
    <x v="17"/>
    <n v="120"/>
    <n v="3"/>
    <n v="361"/>
    <s v="UPI"/>
    <x v="1"/>
    <s v="Servd late"/>
  </r>
  <r>
    <s v="BC21382"/>
    <x v="55"/>
    <x v="5"/>
    <d v="1899-12-30T11:58:18"/>
    <s v="Burger Camp, Pune"/>
    <s v="Aisha Joshi"/>
    <d v="1976-09-15T00:00:00"/>
    <x v="3"/>
    <n v="83"/>
    <n v="3"/>
    <n v="249"/>
    <s v="UPI"/>
    <x v="5"/>
    <s v="Spicy"/>
  </r>
  <r>
    <s v="BC21383"/>
    <x v="55"/>
    <x v="5"/>
    <d v="1899-12-30T21:45:00"/>
    <s v="Burger Camp, Pune"/>
    <s v=" Pooja Khan "/>
    <d v="1989-04-25T00:00:00"/>
    <x v="24"/>
    <n v="110"/>
    <n v="3"/>
    <n v="331"/>
    <s v="UPI"/>
    <x v="5"/>
    <s v="Servd late"/>
  </r>
  <r>
    <s v="BC21384"/>
    <x v="76"/>
    <x v="7"/>
    <d v="1899-12-30T13:33:00"/>
    <s v="Burger Camp, Pune"/>
    <s v="Rahul Patil"/>
    <d v="1989-04-25T00:00:00"/>
    <x v="9"/>
    <n v="125"/>
    <n v="2"/>
    <m/>
    <s v="UPI"/>
    <x v="4"/>
    <s v="repeat customer"/>
  </r>
  <r>
    <s v="BC21385"/>
    <x v="319"/>
    <x v="4"/>
    <d v="1899-12-30T18:41:00"/>
    <s v="Burger Camp, Pune"/>
    <s v="Zaid Kulkarni"/>
    <d v="1970-07-25T00:00:00"/>
    <x v="20"/>
    <n v="285"/>
    <n v="1"/>
    <n v="286"/>
    <s v="Card"/>
    <x v="5"/>
    <s v="repeat customer"/>
  </r>
  <r>
    <s v="BC21386"/>
    <x v="15"/>
    <x v="2"/>
    <d v="1899-12-30T19:08:00"/>
    <s v="Burger Camp, Pune"/>
    <s v="Anil Shaikh"/>
    <d v="1970-07-25T00:00:00"/>
    <x v="12"/>
    <n v="220"/>
    <n v="2"/>
    <n v="442"/>
    <s v="Card"/>
    <x v="5"/>
    <s v="Custmer complaned"/>
  </r>
  <r>
    <s v="BC21387"/>
    <x v="2"/>
    <x v="2"/>
    <d v="1899-12-30T16:57:50"/>
    <s v="Burger Camp, Pune"/>
    <s v="Rahul Deshmukh"/>
    <d v="2010-03-13T00:00:00"/>
    <x v="8"/>
    <n v="50"/>
    <n v="2"/>
    <m/>
    <s v="Card"/>
    <x v="5"/>
    <s v="Less salt"/>
  </r>
  <r>
    <s v="BC21388"/>
    <x v="358"/>
    <x v="4"/>
    <d v="1899-12-30T21:59:00"/>
    <s v="Burger Camp, Pune"/>
    <s v="Pooja Shaikh"/>
    <d v="2010-03-13T00:00:00"/>
    <x v="19"/>
    <n v="277"/>
    <n v="1"/>
    <n v="277"/>
    <s v="Card"/>
    <x v="6"/>
    <s v="Servd late"/>
  </r>
  <r>
    <s v="BC21389"/>
    <x v="132"/>
    <x v="9"/>
    <d v="1899-12-30T17:38:38"/>
    <s v="Burger Camp, Pune"/>
    <s v="Aisha Naik"/>
    <d v="2001-09-06T00:00:00"/>
    <x v="8"/>
    <n v="44"/>
    <n v="2"/>
    <n v="89"/>
    <s v="UPI"/>
    <x v="7"/>
    <s v="Extra cheese"/>
  </r>
  <r>
    <s v="BC21390"/>
    <x v="30"/>
    <x v="3"/>
    <d v="1899-12-30T14:26:00"/>
    <s v="Burger Camp, Pune"/>
    <s v="Mubin Gore"/>
    <d v="1990-07-11T00:00:00"/>
    <x v="13"/>
    <n v="106"/>
    <n v="1"/>
    <n v="107"/>
    <s v="UPI"/>
    <x v="7"/>
    <s v="Extra cheese"/>
  </r>
  <r>
    <s v="BC21391"/>
    <x v="129"/>
    <x v="9"/>
    <d v="1899-12-30T15:49:00"/>
    <s v="Burger Camp, Pune"/>
    <s v="Riya Kulkarni"/>
    <d v="1984-09-14T00:00:00"/>
    <x v="5"/>
    <n v="204"/>
    <n v="2"/>
    <n v="408"/>
    <s v="UPI"/>
    <x v="1"/>
    <s v="Extra cheese"/>
  </r>
  <r>
    <s v="BC21392"/>
    <x v="27"/>
    <x v="7"/>
    <d v="1899-12-30T17:17:00"/>
    <s v="Burger Camp, Pune"/>
    <s v="Aarav Kulkarni"/>
    <d v="1975-12-10T00:00:00"/>
    <x v="21"/>
    <n v="220"/>
    <n v="2"/>
    <n v="441"/>
    <s v="UPI"/>
    <x v="5"/>
    <s v="repeat customer"/>
  </r>
  <r>
    <s v="BC21393"/>
    <x v="92"/>
    <x v="5"/>
    <d v="1899-12-30T19:58:00"/>
    <s v="Burger Camp, Pune"/>
    <s v="Aarav Khan"/>
    <d v="1992-11-19T00:00:00"/>
    <x v="1"/>
    <n v="194"/>
    <n v="2"/>
    <n v="389"/>
    <s v="UPI"/>
    <x v="5"/>
    <s v="Servd late"/>
  </r>
  <r>
    <s v="BC21394"/>
    <x v="102"/>
    <x v="8"/>
    <d v="1899-12-30T15:42:00"/>
    <s v="Burger Camp, Pune"/>
    <s v="Zara Kulkarni"/>
    <d v="1982-01-16T00:00:00"/>
    <x v="10"/>
    <n v="131"/>
    <n v="1"/>
    <n v="132"/>
    <s v="Card"/>
    <x v="4"/>
    <s v="Custmer complaned"/>
  </r>
  <r>
    <s v="BC21395"/>
    <x v="117"/>
    <x v="11"/>
    <d v="1899-12-30T10:01:26"/>
    <s v="Burger Camp, Pune"/>
    <s v="Sneha Patil"/>
    <d v="1986-04-10T00:00:00"/>
    <x v="8"/>
    <n v="49"/>
    <n v="2"/>
    <n v="99"/>
    <s v="Cash"/>
    <x v="3"/>
    <s v="Custmer complaned"/>
  </r>
  <r>
    <s v="BC21396"/>
    <x v="97"/>
    <x v="1"/>
    <d v="1899-12-30T13:45:00"/>
    <s v="Burger Camp, Pune"/>
    <s v="Rahul More"/>
    <d v="2005-08-11T00:00:00"/>
    <x v="16"/>
    <n v="157"/>
    <n v="1"/>
    <n v="157"/>
    <s v="Wallet"/>
    <x v="5"/>
    <s v="Less salt"/>
  </r>
  <r>
    <s v="BC21397"/>
    <x v="154"/>
    <x v="0"/>
    <d v="1899-12-30T19:31:00"/>
    <s v="Burger Camp, Pune"/>
    <s v="Anil Naik"/>
    <d v="1984-12-05T00:00:00"/>
    <x v="15"/>
    <n v="202"/>
    <n v="2"/>
    <n v="405"/>
    <s v="Wallet"/>
    <x v="3"/>
    <s v="Less salt"/>
  </r>
  <r>
    <s v="BC21398"/>
    <x v="69"/>
    <x v="7"/>
    <d v="1899-12-30T11:36:00"/>
    <s v="Burger Camp, Pune"/>
    <s v="Zaid More"/>
    <d v="1974-01-02T00:00:00"/>
    <x v="7"/>
    <n v="122"/>
    <n v="3"/>
    <n v="369"/>
    <s v="UPI"/>
    <x v="7"/>
    <s v="Less salt"/>
  </r>
  <r>
    <s v="BC21399"/>
    <x v="155"/>
    <x v="6"/>
    <d v="1899-12-30T20:23:00"/>
    <s v="Burger Camp, Pune"/>
    <s v="Zara Gore"/>
    <d v="2003-12-09T00:00:00"/>
    <x v="22"/>
    <n v="363"/>
    <n v="3"/>
    <n v="1090"/>
    <s v="Wallet"/>
    <x v="1"/>
    <s v="Less salt"/>
  </r>
  <r>
    <s v="BC21400"/>
    <x v="217"/>
    <x v="6"/>
    <d v="1899-12-30T13:20:59"/>
    <s v="Burger Camp, Pune"/>
    <s v="Rahul Naik"/>
    <d v="2000-04-23T00:00:00"/>
    <x v="23"/>
    <n v="208"/>
    <n v="2"/>
    <n v="416"/>
    <s v="Wallet"/>
    <x v="6"/>
    <s v="Less salt"/>
  </r>
  <r>
    <s v="BC21401"/>
    <x v="37"/>
    <x v="5"/>
    <d v="1899-12-30T23:01:00"/>
    <s v="Burger Camp, Pune"/>
    <s v="Zara Shinde"/>
    <d v="2010-07-05T00:00:00"/>
    <x v="15"/>
    <n v="213"/>
    <n v="1"/>
    <n v="100"/>
    <s v="Cash"/>
    <x v="7"/>
    <s v="Less salt"/>
  </r>
  <r>
    <s v="BC21402"/>
    <x v="163"/>
    <x v="5"/>
    <d v="1899-12-30T17:38:00"/>
    <s v="Burger Camp, Pune"/>
    <s v="Pooja More"/>
    <d v="1982-10-19T00:00:00"/>
    <x v="23"/>
    <n v="105"/>
    <n v="2"/>
    <n v="210"/>
    <s v="UPI"/>
    <x v="3"/>
    <s v="repeat customer"/>
  </r>
  <r>
    <s v="BC21403"/>
    <x v="157"/>
    <x v="8"/>
    <d v="1899-12-30T11:26:51"/>
    <s v="Burger Camp, Pune"/>
    <s v="Mubin Shinde"/>
    <d v="1980-08-10T00:00:00"/>
    <x v="4"/>
    <n v="207"/>
    <n v="1"/>
    <n v="208"/>
    <s v="Cash "/>
    <x v="6"/>
    <s v="Servd late"/>
  </r>
  <r>
    <s v="BC21404"/>
    <x v="108"/>
    <x v="9"/>
    <d v="1899-12-30T21:06:54"/>
    <s v="Burger Camp, Pune"/>
    <s v="Zaid Shinde"/>
    <d v="1971-01-26T00:00:00"/>
    <x v="18"/>
    <n v="217"/>
    <n v="1"/>
    <n v="217"/>
    <s v="UPI"/>
    <x v="4"/>
    <s v="No onion"/>
  </r>
  <r>
    <s v="BC21405"/>
    <x v="160"/>
    <x v="0"/>
    <d v="1899-12-30T13:56:31"/>
    <s v="Burger Camp, Pune"/>
    <s v="Zara Joshi"/>
    <d v="2010-10-27T00:00:00"/>
    <x v="10"/>
    <n v="257"/>
    <n v="1"/>
    <n v="257"/>
    <s v="Wallet"/>
    <x v="6"/>
    <s v="Spicy"/>
  </r>
  <r>
    <s v="BC21406"/>
    <x v="160"/>
    <x v="0"/>
    <d v="1899-12-30T15:28:00"/>
    <s v="Burger Camp, Pune"/>
    <s v="Aisha Shaikh"/>
    <d v="1986-11-20T00:00:00"/>
    <x v="3"/>
    <n v="179"/>
    <n v="1"/>
    <m/>
    <s v="UPI"/>
    <x v="6"/>
    <s v="Spicy"/>
  </r>
  <r>
    <s v="BC21407"/>
    <x v="337"/>
    <x v="0"/>
    <d v="1899-12-30T17:54:00"/>
    <s v="Burger Camp, Pune"/>
    <s v=" Kiran Deshmukh "/>
    <d v="1998-01-11T00:00:00"/>
    <x v="23"/>
    <n v="246"/>
    <n v="2"/>
    <n v="493"/>
    <s v="UPI"/>
    <x v="0"/>
    <s v="No onion"/>
  </r>
  <r>
    <s v="BC21408"/>
    <x v="68"/>
    <x v="0"/>
    <d v="1899-12-30T21:29:43"/>
    <s v="Burger Camp, Pune"/>
    <s v="Aarav Shaikh"/>
    <d v="1991-12-12T00:00:00"/>
    <x v="20"/>
    <n v="274"/>
    <n v="2"/>
    <n v="548"/>
    <s v="Wallet"/>
    <x v="3"/>
    <s v="No onion"/>
  </r>
  <r>
    <s v="BC21409"/>
    <x v="50"/>
    <x v="4"/>
    <d v="1899-12-30T22:03:00"/>
    <s v="Burger Camp, Pune"/>
    <s v=" Zaid Kulkarni "/>
    <d v="1979-04-08T00:00:00"/>
    <x v="12"/>
    <n v="253"/>
    <n v="2"/>
    <n v="507"/>
    <s v="Wallet"/>
    <x v="4"/>
    <s v="Extra cheese"/>
  </r>
  <r>
    <s v="BC21410"/>
    <x v="34"/>
    <x v="1"/>
    <d v="1899-12-30T12:34:00"/>
    <s v="Burger Camp, Pune"/>
    <s v="Pooja Kulkarni"/>
    <d v="1996-03-19T00:00:00"/>
    <x v="1"/>
    <n v="239"/>
    <n v="2"/>
    <n v="502"/>
    <s v="Card"/>
    <x v="1"/>
    <s v="Extra cheese"/>
  </r>
  <r>
    <s v="BC21411"/>
    <x v="85"/>
    <x v="0"/>
    <d v="1899-12-30T17:38:00"/>
    <s v="Burger Camp, Pune"/>
    <s v="Riya Shaikh"/>
    <d v="1996-08-02T00:00:00"/>
    <x v="9"/>
    <n v="302"/>
    <n v="1"/>
    <n v="100"/>
    <s v="Cash "/>
    <x v="6"/>
    <s v="Extra cheese"/>
  </r>
  <r>
    <s v="BC21412"/>
    <x v="284"/>
    <x v="6"/>
    <d v="1899-12-30T14:49:13"/>
    <s v="Burger Camp, Pune"/>
    <s v="Farhan Gore"/>
    <d v="1995-09-22T00:00:00"/>
    <x v="15"/>
    <n v="217"/>
    <n v="2"/>
    <n v="435"/>
    <s v="Card"/>
    <x v="4"/>
    <s v="Less salt"/>
  </r>
  <r>
    <s v="BC21413"/>
    <x v="108"/>
    <x v="9"/>
    <d v="1899-12-30T21:42:00"/>
    <s v="Burger Camp, Pune"/>
    <s v="Farhan Deshmukh"/>
    <d v="1974-05-01T00:00:00"/>
    <x v="17"/>
    <n v="164"/>
    <n v="2"/>
    <n v="314"/>
    <s v="UPI"/>
    <x v="4"/>
    <s v="No onion"/>
  </r>
  <r>
    <s v="BC21414"/>
    <x v="97"/>
    <x v="1"/>
    <d v="1899-12-30T20:15:00"/>
    <s v="Burger Camp, Pune"/>
    <s v="Mubin Joshi"/>
    <d v="2009-02-12T00:00:00"/>
    <x v="21"/>
    <n v="186"/>
    <n v="2"/>
    <n v="374"/>
    <s v="Card"/>
    <x v="1"/>
    <s v="Less salt"/>
  </r>
  <r>
    <s v="BC21415"/>
    <x v="262"/>
    <x v="0"/>
    <d v="1899-12-30T17:35:00"/>
    <s v="Burger Camp, Pune"/>
    <s v="Aisha Shaikh"/>
    <d v="1997-09-20T00:00:00"/>
    <x v="22"/>
    <n v="302"/>
    <n v="2"/>
    <n v="604"/>
    <s v="Card"/>
    <x v="6"/>
    <s v="Less salt"/>
  </r>
  <r>
    <s v="BC21416"/>
    <x v="52"/>
    <x v="11"/>
    <d v="1899-12-30T12:00:26"/>
    <s v="Burger Camp, Pune"/>
    <s v="Aarav Kulkarni"/>
    <d v="2003-12-12T00:00:00"/>
    <x v="14"/>
    <n v="211"/>
    <n v="1"/>
    <n v="100"/>
    <s v="Card"/>
    <x v="1"/>
    <s v="Less salt"/>
  </r>
  <r>
    <s v="BC21417"/>
    <x v="64"/>
    <x v="9"/>
    <d v="1899-12-30T19:35:38"/>
    <s v="Burger Camp, Pune"/>
    <s v="Sneha Patil"/>
    <d v="2010-08-14T00:00:00"/>
    <x v="18"/>
    <n v="120"/>
    <n v="2"/>
    <n v="241"/>
    <s v="UPI"/>
    <x v="3"/>
    <s v="Less salt"/>
  </r>
  <r>
    <s v="BC21418"/>
    <x v="128"/>
    <x v="4"/>
    <d v="1899-12-30T10:34:00"/>
    <s v="Burger Camp, Pune"/>
    <s v="Anil Patil"/>
    <d v="2009-11-24T00:00:00"/>
    <x v="19"/>
    <n v="265"/>
    <n v="1"/>
    <n v="265"/>
    <s v="Card"/>
    <x v="4"/>
    <s v="Less salt"/>
  </r>
  <r>
    <s v="BC21419"/>
    <x v="334"/>
    <x v="1"/>
    <d v="1899-12-30T12:57:00"/>
    <s v="Burger Camp, Pune"/>
    <s v="pooja shinde"/>
    <d v="2009-08-08T00:00:00"/>
    <x v="11"/>
    <n v="176"/>
    <n v="3"/>
    <n v="530"/>
    <s v="UPI"/>
    <x v="3"/>
    <s v="Less salt"/>
  </r>
  <r>
    <s v="BC21420"/>
    <x v="214"/>
    <x v="11"/>
    <d v="1899-12-30T15:01:00"/>
    <s v="Burger Camp, Pune"/>
    <s v="Aisha Naik"/>
    <d v="1990-12-17T00:00:00"/>
    <x v="1"/>
    <n v="238"/>
    <n v="1"/>
    <n v="239"/>
    <s v="UPI"/>
    <x v="5"/>
    <s v="repeat customer"/>
  </r>
  <r>
    <s v="BC21421"/>
    <x v="301"/>
    <x v="8"/>
    <d v="1899-12-30T23:32:00"/>
    <s v="Burger Camp, Pune"/>
    <s v="riya deshmukh"/>
    <d v="1992-09-05T00:00:00"/>
    <x v="8"/>
    <n v="55"/>
    <n v="1"/>
    <n v="56"/>
    <s v="Cash"/>
    <x v="4"/>
    <s v="Custmer complaned"/>
  </r>
  <r>
    <s v="BC21422"/>
    <x v="259"/>
    <x v="3"/>
    <d v="1899-12-30T17:30:59"/>
    <s v="Burger Camp, Pune"/>
    <s v="Zaid Kulkarni"/>
    <d v="1983-12-16T00:00:00"/>
    <x v="21"/>
    <n v="209"/>
    <n v="3"/>
    <n v="628"/>
    <s v="UPI"/>
    <x v="3"/>
    <s v="Less salt"/>
  </r>
  <r>
    <s v="BC21423"/>
    <x v="139"/>
    <x v="0"/>
    <d v="1899-12-30T22:52:21"/>
    <s v="Burger Camp, Pune"/>
    <s v="Aisha Shinde"/>
    <d v="2001-07-09T00:00:00"/>
    <x v="11"/>
    <n v="232"/>
    <n v="2"/>
    <n v="466"/>
    <s v="UPI"/>
    <x v="0"/>
    <s v="No onion"/>
  </r>
  <r>
    <s v="BC21424"/>
    <x v="168"/>
    <x v="7"/>
    <d v="1899-12-30T11:35:43"/>
    <s v="Burger Camp, Pune"/>
    <s v="Aarav Deshmukh"/>
    <d v="1982-10-20T00:00:00"/>
    <x v="18"/>
    <n v="165"/>
    <n v="1"/>
    <n v="166"/>
    <s v="UPI"/>
    <x v="1"/>
    <s v="Extra cheese"/>
  </r>
  <r>
    <s v="BC21425"/>
    <x v="312"/>
    <x v="7"/>
    <d v="1899-12-30T20:00:23"/>
    <s v="Burger Camp, Pune"/>
    <s v="Zara Shinde"/>
    <d v="1996-03-11T00:00:00"/>
    <x v="2"/>
    <n v="243"/>
    <n v="1"/>
    <n v="100"/>
    <s v="UPI"/>
    <x v="5"/>
    <s v="Extra cheese"/>
  </r>
  <r>
    <s v="BC21426"/>
    <x v="11"/>
    <x v="5"/>
    <d v="1899-12-30T17:06:00"/>
    <s v="Burger Camp, Pune"/>
    <s v="Aisha Patil"/>
    <d v="1991-12-12T00:00:00"/>
    <x v="22"/>
    <n v="347"/>
    <n v="1"/>
    <n v="348"/>
    <s v="UPI"/>
    <x v="6"/>
    <s v="repeat customer"/>
  </r>
  <r>
    <s v="BC21427"/>
    <x v="69"/>
    <x v="7"/>
    <d v="1899-12-30T22:04:00"/>
    <s v="Burger Camp, Pune"/>
    <s v="mubin kulkarni"/>
    <d v="2002-05-23T00:00:00"/>
    <x v="16"/>
    <n v="220"/>
    <n v="1"/>
    <n v="238"/>
    <s v="UPI"/>
    <x v="7"/>
    <s v="repeat customer"/>
  </r>
  <r>
    <s v="BC21428"/>
    <x v="351"/>
    <x v="8"/>
    <d v="1899-12-30T11:07:10"/>
    <s v="Burger Camp, Pune"/>
    <s v="Farhan Gore"/>
    <d v="1970-04-02T00:00:00"/>
    <x v="24"/>
    <n v="155"/>
    <n v="1"/>
    <n v="155"/>
    <s v="Card"/>
    <x v="1"/>
    <s v="repeat customer"/>
  </r>
  <r>
    <s v="BC21429"/>
    <x v="277"/>
    <x v="1"/>
    <d v="1899-12-30T10:26:00"/>
    <s v="Burger Camp, Pune"/>
    <s v="Anil Shaikh"/>
    <d v="1999-03-13T00:00:00"/>
    <x v="12"/>
    <n v="328"/>
    <n v="3"/>
    <n v="984"/>
    <s v="Card"/>
    <x v="1"/>
    <s v="Less salt"/>
  </r>
  <r>
    <s v="BC21430"/>
    <x v="81"/>
    <x v="9"/>
    <d v="1899-12-30T12:12:00"/>
    <s v="Burger Camp, Pune"/>
    <s v="Aarav Shaikh"/>
    <d v="1972-03-01T00:00:00"/>
    <x v="21"/>
    <n v="168"/>
    <n v="1"/>
    <n v="169"/>
    <s v="Card"/>
    <x v="3"/>
    <s v="Extra cheese"/>
  </r>
  <r>
    <s v="BC21431"/>
    <x v="252"/>
    <x v="0"/>
    <d v="1899-12-30T10:44:00"/>
    <s v="Burger Camp, Pune"/>
    <s v="Rahul Khan"/>
    <d v="1983-12-22T00:00:00"/>
    <x v="12"/>
    <n v="330"/>
    <n v="2"/>
    <n v="661"/>
    <s v="Wallet"/>
    <x v="5"/>
    <s v="Servd late"/>
  </r>
  <r>
    <s v="BC21432"/>
    <x v="337"/>
    <x v="0"/>
    <d v="1899-12-30T11:13:00"/>
    <s v="Burger Camp, Pune"/>
    <s v="Sneha Khan"/>
    <d v="1983-12-22T00:00:00"/>
    <x v="17"/>
    <n v="113"/>
    <n v="1"/>
    <n v="114"/>
    <s v="Card"/>
    <x v="6"/>
    <s v="Custmer complaned"/>
  </r>
  <r>
    <s v="BC21433"/>
    <x v="42"/>
    <x v="7"/>
    <d v="1899-12-30T19:20:00"/>
    <s v="Burger Camp, Pune"/>
    <s v="aarav khan"/>
    <d v="1976-07-05T00:00:00"/>
    <x v="18"/>
    <n v="293"/>
    <n v="2"/>
    <n v="588"/>
    <s v="Cash "/>
    <x v="0"/>
    <s v="Custmer complaned"/>
  </r>
  <r>
    <s v="BC21434"/>
    <x v="324"/>
    <x v="0"/>
    <d v="1899-12-30T18:06:00"/>
    <s v="Burger Camp, Pune"/>
    <s v="Zara Khan"/>
    <d v="1976-07-05T00:00:00"/>
    <x v="25"/>
    <n v="237"/>
    <n v="3"/>
    <n v="714"/>
    <s v="Cash "/>
    <x v="6"/>
    <s v="Servd late"/>
  </r>
  <r>
    <s v="BC21435"/>
    <x v="122"/>
    <x v="5"/>
    <d v="1899-12-30T16:41:00"/>
    <s v="Burger Camp, Pune"/>
    <s v="Sneha Kulkarni"/>
    <d v="1982-12-20T00:00:00"/>
    <x v="23"/>
    <n v="235"/>
    <n v="1"/>
    <n v="235"/>
    <s v="Wallet"/>
    <x v="7"/>
    <s v="Servd late"/>
  </r>
  <r>
    <s v="BC21436"/>
    <x v="99"/>
    <x v="9"/>
    <d v="1899-12-30T14:18:00"/>
    <s v="Burger Camp, Pune"/>
    <s v="Aisha More"/>
    <d v="1998-05-11T00:00:00"/>
    <x v="5"/>
    <n v="166"/>
    <n v="2"/>
    <n v="333"/>
    <s v="UPI"/>
    <x v="6"/>
    <s v="Spicy"/>
  </r>
  <r>
    <s v="BC21437"/>
    <x v="155"/>
    <x v="6"/>
    <d v="1899-12-30T20:05:00"/>
    <s v="Burger Camp, Pune"/>
    <s v="Aarav Gore"/>
    <d v="1990-01-21T00:00:00"/>
    <x v="11"/>
    <n v="224"/>
    <n v="2"/>
    <n v="448"/>
    <s v="Wallet"/>
    <x v="1"/>
    <s v="Less salt"/>
  </r>
  <r>
    <s v="BC21438"/>
    <x v="352"/>
    <x v="7"/>
    <d v="1899-12-30T16:11:00"/>
    <s v="Burger Camp, Pune"/>
    <s v="Aarav Gore"/>
    <d v="2001-06-09T00:00:00"/>
    <x v="4"/>
    <n v="218"/>
    <n v="3"/>
    <n v="656"/>
    <s v="Card"/>
    <x v="5"/>
    <s v="Less salt"/>
  </r>
  <r>
    <s v="BC21439"/>
    <x v="54"/>
    <x v="8"/>
    <d v="1899-12-30T20:42:22"/>
    <s v="Burger Camp, Pune"/>
    <s v="Mubin Patil"/>
    <d v="1994-05-13T00:00:00"/>
    <x v="24"/>
    <n v="141"/>
    <n v="1"/>
    <n v="141"/>
    <s v="Cash "/>
    <x v="4"/>
    <s v="Spicy"/>
  </r>
  <r>
    <s v="BC21440"/>
    <x v="87"/>
    <x v="1"/>
    <d v="1899-12-30T19:37:00"/>
    <s v="Burger Camp, Pune"/>
    <s v="Rahul Deshmukh"/>
    <d v="1992-11-11T00:00:00"/>
    <x v="16"/>
    <n v="198"/>
    <n v="2"/>
    <n v="397"/>
    <s v="Card"/>
    <x v="5"/>
    <s v="Servd late"/>
  </r>
  <r>
    <s v="BC21441"/>
    <x v="74"/>
    <x v="8"/>
    <d v="1899-12-30T22:38:00"/>
    <s v="Burger Camp, Pune"/>
    <s v="farhan joshi"/>
    <d v="1984-01-24T00:00:00"/>
    <x v="21"/>
    <n v="171"/>
    <n v="3"/>
    <n v="514"/>
    <s v="Cash"/>
    <x v="2"/>
    <s v="Extra cheese"/>
  </r>
  <r>
    <s v="BC21442"/>
    <x v="167"/>
    <x v="4"/>
    <d v="1899-12-30T10:38:22"/>
    <s v="Burger Camp, Pune"/>
    <s v="Anil Naik"/>
    <d v="1971-07-19T00:00:00"/>
    <x v="23"/>
    <n v="261"/>
    <n v="2"/>
    <n v="522"/>
    <s v="Card"/>
    <x v="6"/>
    <s v="Spicy"/>
  </r>
  <r>
    <s v="BC21443"/>
    <x v="284"/>
    <x v="6"/>
    <d v="1899-12-30T13:10:45"/>
    <s v="Burger Camp, Pune"/>
    <s v="Riya Patil"/>
    <d v="2001-01-07T00:00:00"/>
    <x v="16"/>
    <n v="176"/>
    <n v="2"/>
    <n v="353"/>
    <s v="UPI"/>
    <x v="4"/>
    <s v="Spicy"/>
  </r>
  <r>
    <s v="BC21444"/>
    <x v="107"/>
    <x v="6"/>
    <d v="1899-12-30T16:51:00"/>
    <s v="Burger Camp, Pune"/>
    <s v="mubin deshmukh"/>
    <d v="2010-02-19T00:00:00"/>
    <x v="8"/>
    <n v="50"/>
    <n v="1"/>
    <n v="51"/>
    <s v="Cash "/>
    <x v="1"/>
    <s v="Less salt"/>
  </r>
  <r>
    <s v="BC21445"/>
    <x v="45"/>
    <x v="1"/>
    <d v="1899-12-30T21:07:51"/>
    <s v="Burger Camp, Pune"/>
    <s v="Aisha Kulkarni"/>
    <d v="1976-12-10T00:00:00"/>
    <x v="24"/>
    <n v="140"/>
    <n v="2"/>
    <n v="281"/>
    <s v="Cash "/>
    <x v="6"/>
    <s v="Less salt"/>
  </r>
  <r>
    <s v="BC21446"/>
    <x v="341"/>
    <x v="5"/>
    <d v="1899-12-30T18:34:00"/>
    <s v="Burger Camp, Pune"/>
    <s v="Sneha Deshmukh"/>
    <d v="1971-01-18T00:00:00"/>
    <x v="1"/>
    <n v="202"/>
    <n v="2"/>
    <n v="421"/>
    <s v="Cash "/>
    <x v="1"/>
    <s v="Less salt"/>
  </r>
  <r>
    <s v="BC21447"/>
    <x v="52"/>
    <x v="11"/>
    <d v="1899-12-30T14:18:00"/>
    <s v="Burger Camp, Pune"/>
    <s v="Sneha Kulkarni"/>
    <d v="1974-08-07T00:00:00"/>
    <x v="2"/>
    <n v="294"/>
    <n v="2"/>
    <n v="590"/>
    <s v="Wallet"/>
    <x v="5"/>
    <s v="Custmer complaned"/>
  </r>
  <r>
    <s v="BC21448"/>
    <x v="52"/>
    <x v="11"/>
    <d v="1899-12-30T13:00:00"/>
    <s v="Burger Camp, Pune"/>
    <s v="Rahul Joshi"/>
    <d v="1975-07-10T00:00:00"/>
    <x v="5"/>
    <n v="85"/>
    <n v="3"/>
    <n v="256"/>
    <s v="Card"/>
    <x v="4"/>
    <s v="Spicy"/>
  </r>
  <r>
    <s v="BC21449"/>
    <x v="164"/>
    <x v="1"/>
    <d v="1899-12-30T10:59:00"/>
    <s v="Burger Camp, Pune"/>
    <s v="Riya Deshmukh"/>
    <d v="1985-04-17T00:00:00"/>
    <x v="21"/>
    <n v="85"/>
    <n v="2"/>
    <n v="256"/>
    <s v="Card"/>
    <x v="5"/>
    <s v="Servd late"/>
  </r>
  <r>
    <s v="BC21450"/>
    <x v="340"/>
    <x v="11"/>
    <d v="1899-12-30T16:30:00"/>
    <s v="Burger Camp, Pune"/>
    <s v="Sneha Kulkarni"/>
    <d v="2009-11-08T00:00:00"/>
    <x v="10"/>
    <n v="134"/>
    <n v="3"/>
    <n v="404"/>
    <s v="Wallet"/>
    <x v="0"/>
    <s v="Servd late"/>
  </r>
  <r>
    <s v="BC21451"/>
    <x v="338"/>
    <x v="8"/>
    <d v="1899-12-30T10:28:00"/>
    <s v="Burger Camp, Pune"/>
    <s v="Anil Kulkarni"/>
    <d v="1975-06-14T00:00:00"/>
    <x v="1"/>
    <n v="274"/>
    <n v="1"/>
    <n v="275"/>
    <s v="UPI"/>
    <x v="5"/>
    <s v="Custmer complaned"/>
  </r>
  <r>
    <s v="BC21452"/>
    <x v="185"/>
    <x v="10"/>
    <d v="1899-12-30T10:35:12"/>
    <s v="Burger Camp, Pune"/>
    <s v="Sneha Naik"/>
    <d v="1991-07-06T00:00:00"/>
    <x v="14"/>
    <n v="121"/>
    <n v="1"/>
    <n v="121"/>
    <s v="Card"/>
    <x v="1"/>
    <s v="Less salt"/>
  </r>
  <r>
    <s v="BC21453"/>
    <x v="233"/>
    <x v="9"/>
    <d v="1899-12-30T16:23:49"/>
    <s v="Burger Camp, Pune"/>
    <s v="Anil Shaikh"/>
    <d v="1986-11-08T00:00:00"/>
    <x v="14"/>
    <n v="223"/>
    <n v="2"/>
    <n v="448"/>
    <s v="Card"/>
    <x v="3"/>
    <s v="Custmer complaned"/>
  </r>
  <r>
    <s v="BC21454"/>
    <x v="275"/>
    <x v="1"/>
    <d v="1899-12-30T11:34:00"/>
    <s v="Burger Camp, Pune"/>
    <s v="Aisha Joshi"/>
    <d v="2006-03-07T00:00:00"/>
    <x v="13"/>
    <n v="106"/>
    <n v="3"/>
    <n v="319"/>
    <s v="Card"/>
    <x v="0"/>
    <s v="No onion"/>
  </r>
  <r>
    <s v="BC21455"/>
    <x v="192"/>
    <x v="11"/>
    <d v="1899-12-30T21:26:00"/>
    <s v="Burger Camp, Pune"/>
    <s v="zara naik"/>
    <d v="2002-12-01T00:00:00"/>
    <x v="18"/>
    <n v="184"/>
    <n v="2"/>
    <m/>
    <s v="Card"/>
    <x v="4"/>
    <s v="Less salt"/>
  </r>
  <r>
    <s v="BC21456"/>
    <x v="349"/>
    <x v="11"/>
    <d v="1899-12-30T19:19:00"/>
    <s v="Burger Camp, Pune"/>
    <s v="Kiran More"/>
    <d v="1981-06-02T00:00:00"/>
    <x v="14"/>
    <n v="197"/>
    <n v="1"/>
    <n v="197"/>
    <s v="Card"/>
    <x v="2"/>
    <s v="Less salt"/>
  </r>
  <r>
    <s v="BC21457"/>
    <x v="168"/>
    <x v="7"/>
    <d v="1899-12-30T11:03:36"/>
    <s v="Burger Camp, Pune"/>
    <s v="Aarav Khan"/>
    <d v="1977-07-26T00:00:00"/>
    <x v="6"/>
    <n v="99"/>
    <n v="1"/>
    <n v="99"/>
    <s v="Wallet"/>
    <x v="0"/>
    <s v="Less salt"/>
  </r>
  <r>
    <s v="BC21458"/>
    <x v="325"/>
    <x v="1"/>
    <d v="1899-12-30T14:25:00"/>
    <s v="Burger Camp, Pune"/>
    <s v="Zaid Kulkarni"/>
    <d v="1981-07-01T00:00:00"/>
    <x v="9"/>
    <n v="203"/>
    <n v="1"/>
    <n v="203"/>
    <s v="Cash"/>
    <x v="7"/>
    <s v="No onion"/>
  </r>
  <r>
    <s v="BC21459"/>
    <x v="147"/>
    <x v="10"/>
    <d v="1899-12-30T16:14:00"/>
    <s v="Burger Camp, Pune"/>
    <s v="Pooja Naik"/>
    <d v="1994-02-19T00:00:00"/>
    <x v="22"/>
    <n v="228"/>
    <n v="1"/>
    <n v="229"/>
    <s v="UPI"/>
    <x v="1"/>
    <s v="Less salt"/>
  </r>
  <r>
    <s v="BC21460"/>
    <x v="51"/>
    <x v="10"/>
    <d v="1899-12-30T15:53:00"/>
    <s v="Burger Camp, Pune"/>
    <s v="zara gore"/>
    <d v="1981-06-13T00:00:00"/>
    <x v="1"/>
    <n v="229"/>
    <n v="2"/>
    <n v="458"/>
    <s v="Cash "/>
    <x v="1"/>
    <s v="Less salt"/>
  </r>
  <r>
    <s v="BC21461"/>
    <x v="314"/>
    <x v="9"/>
    <d v="1899-12-30T16:31:38"/>
    <s v="Burger Camp, Pune"/>
    <s v="Zara Joshi"/>
    <d v="1978-05-28T00:00:00"/>
    <x v="16"/>
    <n v="170"/>
    <n v="1"/>
    <n v="170"/>
    <s v="Cash "/>
    <x v="7"/>
    <s v="Less salt"/>
  </r>
  <r>
    <s v="BC21462"/>
    <x v="10"/>
    <x v="6"/>
    <d v="1899-12-30T16:53:37"/>
    <s v="Burger Camp, Pune"/>
    <s v="Zaid Gore"/>
    <d v="1994-07-16T00:00:00"/>
    <x v="9"/>
    <n v="36"/>
    <n v="3"/>
    <n v="108"/>
    <s v="Cash"/>
    <x v="7"/>
    <s v="Extra cheese"/>
  </r>
  <r>
    <s v="BC21463"/>
    <x v="258"/>
    <x v="11"/>
    <d v="1899-12-30T14:29:00"/>
    <s v="Burger Camp, Pune"/>
    <s v="Pooja Khan"/>
    <d v="1987-06-24T00:00:00"/>
    <x v="24"/>
    <n v="157"/>
    <n v="1"/>
    <n v="158"/>
    <s v="UPI"/>
    <x v="5"/>
    <s v="Less salt"/>
  </r>
  <r>
    <s v="BC21464"/>
    <x v="110"/>
    <x v="4"/>
    <d v="1899-12-30T13:20:00"/>
    <s v="Burger Camp, Pune"/>
    <s v="Zara Gore"/>
    <d v="1987-06-24T00:00:00"/>
    <x v="25"/>
    <n v="86"/>
    <n v="2"/>
    <n v="173"/>
    <s v="UPI"/>
    <x v="7"/>
    <s v="repeat customer"/>
  </r>
  <r>
    <s v="BC21465"/>
    <x v="312"/>
    <x v="7"/>
    <d v="1899-12-30T22:30:00"/>
    <s v="Burger Camp, Pune"/>
    <s v="Zaid Patil"/>
    <d v="2003-07-03T00:00:00"/>
    <x v="23"/>
    <n v="95"/>
    <n v="2"/>
    <n v="192"/>
    <s v="UPI"/>
    <x v="7"/>
    <s v="Extra cheese"/>
  </r>
  <r>
    <s v="BC21466"/>
    <x v="230"/>
    <x v="6"/>
    <d v="1899-12-30T15:51:52"/>
    <s v="Burger Camp, Pune"/>
    <s v="Zara More"/>
    <d v="1984-07-10T00:00:00"/>
    <x v="17"/>
    <n v="114"/>
    <n v="1"/>
    <n v="114"/>
    <s v="Cash "/>
    <x v="3"/>
    <s v="Extra cheese"/>
  </r>
  <r>
    <s v="BC21467"/>
    <x v="127"/>
    <x v="11"/>
    <d v="1899-12-30T23:01:00"/>
    <s v="Burger Camp, Pune"/>
    <s v="zaid shinde"/>
    <d v="1995-09-14T00:00:00"/>
    <x v="2"/>
    <n v="228"/>
    <n v="2"/>
    <n v="457"/>
    <s v="Cash "/>
    <x v="3"/>
    <s v="Extra cheese"/>
  </r>
  <r>
    <s v="BC21468"/>
    <x v="228"/>
    <x v="9"/>
    <d v="1899-12-30T20:51:11"/>
    <s v="Burger Camp, Pune"/>
    <s v="Pooja Gore"/>
    <d v="1985-04-08T00:00:00"/>
    <x v="21"/>
    <n v="170"/>
    <n v="1"/>
    <n v="170"/>
    <s v="Card"/>
    <x v="5"/>
    <s v="repeat customer"/>
  </r>
  <r>
    <s v="BC21469"/>
    <x v="310"/>
    <x v="10"/>
    <d v="1899-12-30T11:34:00"/>
    <s v="Burger Camp, Pune"/>
    <s v="Kiran More"/>
    <d v="2010-07-12T00:00:00"/>
    <x v="17"/>
    <n v="133"/>
    <n v="2"/>
    <n v="268"/>
    <s v="Cash "/>
    <x v="7"/>
    <s v="Extra cheese"/>
  </r>
  <r>
    <s v="BC21470"/>
    <x v="92"/>
    <x v="5"/>
    <d v="1899-12-30T21:32:00"/>
    <s v="Burger Camp, Pune"/>
    <s v="Mubin Naik"/>
    <d v="1983-06-27T00:00:00"/>
    <x v="11"/>
    <n v="223"/>
    <n v="1"/>
    <n v="224"/>
    <s v="Cash "/>
    <x v="6"/>
    <s v="Servd late"/>
  </r>
  <r>
    <s v="BC21471"/>
    <x v="49"/>
    <x v="5"/>
    <d v="1899-12-30T22:02:00"/>
    <s v="Burger Camp, Pune"/>
    <s v="Anil Gore"/>
    <d v="1990-01-12T00:00:00"/>
    <x v="10"/>
    <n v="308"/>
    <n v="2"/>
    <n v="618"/>
    <s v="Card"/>
    <x v="6"/>
    <s v="Less salt"/>
  </r>
  <r>
    <s v="BC21472"/>
    <x v="0"/>
    <x v="0"/>
    <d v="1899-12-30T13:50:00"/>
    <s v="Burger Camp, Pune"/>
    <s v="Mubin Shinde"/>
    <d v="1984-10-26T00:00:00"/>
    <x v="13"/>
    <n v="123"/>
    <n v="1"/>
    <n v="124"/>
    <s v="Wallet"/>
    <x v="5"/>
    <s v="Servd late"/>
  </r>
  <r>
    <s v="BC21473"/>
    <x v="52"/>
    <x v="11"/>
    <d v="1899-12-30T23:02:15"/>
    <s v="Burger Camp, Pune"/>
    <s v="Kiran Joshi"/>
    <d v="1984-10-26T00:00:00"/>
    <x v="16"/>
    <n v="198"/>
    <n v="3"/>
    <n v="596"/>
    <s v="UPI"/>
    <x v="2"/>
    <s v="Servd late"/>
  </r>
  <r>
    <s v="BC21474"/>
    <x v="15"/>
    <x v="2"/>
    <d v="1899-12-30T19:15:00"/>
    <s v="Burger Camp, Pune"/>
    <s v="Anil Joshi"/>
    <d v="1992-02-18T00:00:00"/>
    <x v="23"/>
    <n v="139"/>
    <n v="1"/>
    <n v="140"/>
    <s v="Cash"/>
    <x v="1"/>
    <s v="Servd late"/>
  </r>
  <r>
    <s v="BC21475"/>
    <x v="179"/>
    <x v="6"/>
    <d v="1899-12-30T20:41:00"/>
    <s v="Burger Camp, Pune"/>
    <s v="Rahul Naik"/>
    <d v="1971-08-25T00:00:00"/>
    <x v="22"/>
    <n v="72"/>
    <n v="3"/>
    <n v="216"/>
    <s v="Cash"/>
    <x v="3"/>
    <s v="Extra cheese"/>
  </r>
  <r>
    <s v="BC21476"/>
    <x v="128"/>
    <x v="4"/>
    <d v="1899-12-30T10:16:00"/>
    <s v="Burger Camp, Pune"/>
    <s v="Aarav More"/>
    <d v="1971-11-13T00:00:00"/>
    <x v="9"/>
    <n v="239"/>
    <n v="1"/>
    <n v="100"/>
    <s v="Cash"/>
    <x v="1"/>
    <s v="Extra cheese"/>
  </r>
  <r>
    <s v="BC21477"/>
    <x v="115"/>
    <x v="0"/>
    <d v="1899-12-30T11:04:00"/>
    <s v="Burger Camp, Pune"/>
    <s v="Riya Deshmukh"/>
    <d v="1974-12-13T00:00:00"/>
    <x v="22"/>
    <n v="125"/>
    <n v="2"/>
    <n v="250"/>
    <s v="Card"/>
    <x v="3"/>
    <s v="Extra cheese"/>
  </r>
  <r>
    <s v="BC21478"/>
    <x v="276"/>
    <x v="2"/>
    <d v="1899-12-30T10:41:00"/>
    <s v="Burger Camp, Pune"/>
    <s v="Aisha Deshmukh"/>
    <d v="1984-03-03T00:00:00"/>
    <x v="17"/>
    <n v="112"/>
    <n v="1"/>
    <n v="112"/>
    <s v="Wallet"/>
    <x v="1"/>
    <s v="repeat customer"/>
  </r>
  <r>
    <s v="BC21479"/>
    <x v="158"/>
    <x v="4"/>
    <d v="1899-12-30T23:19:00"/>
    <s v="Burger Camp, Pune"/>
    <s v=" Anil Naik "/>
    <d v="1973-07-02T00:00:00"/>
    <x v="19"/>
    <n v="267"/>
    <n v="2"/>
    <n v="534"/>
    <s v="Cash"/>
    <x v="1"/>
    <s v="No onion"/>
  </r>
  <r>
    <s v="BC21480"/>
    <x v="293"/>
    <x v="4"/>
    <d v="1899-12-30T22:25:17"/>
    <s v="Burger Camp, Pune"/>
    <s v="Kiran Deshmukh"/>
    <d v="1993-08-25T00:00:00"/>
    <x v="6"/>
    <n v="109"/>
    <n v="3"/>
    <n v="328"/>
    <s v="Cash"/>
    <x v="4"/>
    <s v="No onion"/>
  </r>
  <r>
    <s v="BC21481"/>
    <x v="194"/>
    <x v="2"/>
    <d v="1899-12-30T15:10:00"/>
    <s v="Burger Camp, Pune"/>
    <s v="Rahul Khan"/>
    <d v="1993-08-25T00:00:00"/>
    <x v="9"/>
    <n v="46"/>
    <n v="1"/>
    <n v="47"/>
    <s v="Cash"/>
    <x v="2"/>
    <s v="Servd late"/>
  </r>
  <r>
    <s v="BC21482"/>
    <x v="124"/>
    <x v="10"/>
    <d v="1899-12-30T22:45:00"/>
    <s v="Burger Camp, Pune"/>
    <s v="Zaid Naik"/>
    <d v="1997-04-17T00:00:00"/>
    <x v="1"/>
    <n v="209"/>
    <n v="1"/>
    <n v="209"/>
    <s v="Cash"/>
    <x v="7"/>
    <s v="Servd late"/>
  </r>
  <r>
    <s v="BC21483"/>
    <x v="330"/>
    <x v="0"/>
    <d v="1899-12-30T18:56:00"/>
    <s v="Burger Camp, Pune"/>
    <s v="Aisha Deshmukh"/>
    <d v="1997-04-17T00:00:00"/>
    <x v="17"/>
    <n v="150"/>
    <n v="1"/>
    <n v="150"/>
    <s v="UPI"/>
    <x v="1"/>
    <s v="Extra cheese"/>
  </r>
  <r>
    <s v="BC21484"/>
    <x v="199"/>
    <x v="6"/>
    <d v="1899-12-30T23:42:55"/>
    <s v="Burger Camp, Pune"/>
    <s v="Zaid Deshmukh"/>
    <d v="1978-02-11T00:00:00"/>
    <x v="19"/>
    <n v="235"/>
    <n v="2"/>
    <n v="471"/>
    <s v="Wallet"/>
    <x v="2"/>
    <s v="Custmer complaned"/>
  </r>
  <r>
    <s v="BC21485"/>
    <x v="133"/>
    <x v="9"/>
    <d v="1899-12-30T13:40:29"/>
    <s v="Burger Camp, Pune"/>
    <s v="Sneha Shinde"/>
    <d v="1994-09-19T00:00:00"/>
    <x v="3"/>
    <n v="47"/>
    <n v="1"/>
    <n v="47"/>
    <s v="Cash"/>
    <x v="1"/>
    <s v="Custmer complaned"/>
  </r>
  <r>
    <s v="BC21486"/>
    <x v="151"/>
    <x v="11"/>
    <d v="1899-12-30T21:41:00"/>
    <s v="Burger Camp, Pune"/>
    <s v="Pooja Shaikh"/>
    <d v="1976-10-20T00:00:00"/>
    <x v="1"/>
    <n v="257"/>
    <n v="3"/>
    <n v="772"/>
    <s v="Wallet"/>
    <x v="4"/>
    <s v="Custmer complaned"/>
  </r>
  <r>
    <s v="BC21487"/>
    <x v="134"/>
    <x v="10"/>
    <d v="1899-12-30T22:43:00"/>
    <s v="Burger Camp, Pune"/>
    <s v="Kiran Khan"/>
    <d v="2002-02-11T00:00:00"/>
    <x v="21"/>
    <n v="249"/>
    <n v="2"/>
    <n v="499"/>
    <s v="Wallet"/>
    <x v="2"/>
    <s v="repeat customer"/>
  </r>
  <r>
    <s v="BC21488"/>
    <x v="194"/>
    <x v="2"/>
    <d v="1899-12-30T17:39:00"/>
    <s v="Burger Camp, Pune"/>
    <s v="Anil More"/>
    <d v="1986-02-23T00:00:00"/>
    <x v="0"/>
    <n v="72"/>
    <n v="2"/>
    <m/>
    <s v="UPI"/>
    <x v="2"/>
    <s v="No onion"/>
  </r>
  <r>
    <s v="BC21489"/>
    <x v="290"/>
    <x v="9"/>
    <d v="1899-12-30T18:19:22"/>
    <s v="Burger Camp, Pune"/>
    <s v="Rahul Patil"/>
    <d v="1983-04-04T00:00:00"/>
    <x v="6"/>
    <n v="125"/>
    <n v="2"/>
    <n v="250"/>
    <s v="UPI"/>
    <x v="2"/>
    <s v="Spicy"/>
  </r>
  <r>
    <s v="BC21490"/>
    <x v="38"/>
    <x v="3"/>
    <d v="1899-12-30T18:51:00"/>
    <s v="Burger Camp, Pune"/>
    <s v="Zaid Gore"/>
    <d v="1974-08-04T00:00:00"/>
    <x v="13"/>
    <n v="122"/>
    <n v="1"/>
    <n v="122"/>
    <s v="Cash "/>
    <x v="2"/>
    <s v="Spicy"/>
  </r>
  <r>
    <s v="BC21491"/>
    <x v="270"/>
    <x v="5"/>
    <d v="1899-12-30T14:34:00"/>
    <s v="Burger Camp, Pune"/>
    <s v="Anil Shaikh"/>
    <d v="1977-03-15T00:00:00"/>
    <x v="5"/>
    <n v="316"/>
    <n v="3"/>
    <n v="951"/>
    <s v="Cash"/>
    <x v="4"/>
    <s v="Servd late"/>
  </r>
  <r>
    <s v="BC21492"/>
    <x v="173"/>
    <x v="7"/>
    <d v="1899-12-30T16:44:53"/>
    <s v="Burger Camp, Pune"/>
    <s v="Anil Deshmukh"/>
    <d v="1976-11-25T00:00:00"/>
    <x v="0"/>
    <n v="94"/>
    <n v="2"/>
    <n v="189"/>
    <s v="Cash"/>
    <x v="1"/>
    <s v="Spicy"/>
  </r>
  <r>
    <s v="BC21493"/>
    <x v="121"/>
    <x v="4"/>
    <d v="1899-12-30T17:31:00"/>
    <s v="Burger Camp, Pune"/>
    <s v="Farhan Deshmukh"/>
    <d v="1982-10-01T00:00:00"/>
    <x v="21"/>
    <n v="244"/>
    <n v="3"/>
    <n v="732"/>
    <s v="Cash"/>
    <x v="0"/>
    <s v="Custmer complaned"/>
  </r>
  <r>
    <s v="BC21494"/>
    <x v="343"/>
    <x v="3"/>
    <d v="1899-12-30T15:35:47"/>
    <s v="Burger Camp, Pune"/>
    <s v="Aarav Patil"/>
    <d v="1996-05-11T00:00:00"/>
    <x v="18"/>
    <n v="245"/>
    <n v="3"/>
    <n v="761"/>
    <s v="Card"/>
    <x v="5"/>
    <s v="Extra cheese"/>
  </r>
  <r>
    <s v="BC21495"/>
    <x v="188"/>
    <x v="11"/>
    <d v="1899-12-30T15:59:12"/>
    <s v="Burger Camp, Pune"/>
    <s v="Rahul Patil"/>
    <d v="2003-12-16T00:00:00"/>
    <x v="10"/>
    <n v="217"/>
    <n v="1"/>
    <n v="217"/>
    <s v="Card"/>
    <x v="0"/>
    <s v="repeat customer"/>
  </r>
  <r>
    <s v="BC21496"/>
    <x v="351"/>
    <x v="8"/>
    <d v="1899-12-30T11:22:00"/>
    <s v="Burger Camp, Pune"/>
    <s v="Mubin Gore"/>
    <d v="1970-11-05T00:00:00"/>
    <x v="11"/>
    <n v="209"/>
    <n v="2"/>
    <n v="419"/>
    <s v="Card"/>
    <x v="7"/>
    <s v="Servd late"/>
  </r>
  <r>
    <s v="BC21497"/>
    <x v="299"/>
    <x v="1"/>
    <d v="1899-12-30T19:09:00"/>
    <s v="Burger Camp, Pune"/>
    <s v="Riya Joshi"/>
    <d v="2002-06-15T00:00:00"/>
    <x v="22"/>
    <n v="293"/>
    <n v="3"/>
    <n v="881"/>
    <s v="UPI"/>
    <x v="0"/>
    <s v="No onion"/>
  </r>
  <r>
    <s v="BC21498"/>
    <x v="169"/>
    <x v="10"/>
    <d v="1899-12-30T22:56:00"/>
    <s v="Burger Camp, Pune"/>
    <s v="Anil Shaikh"/>
    <d v="2010-11-06T00:00:00"/>
    <x v="13"/>
    <n v="106"/>
    <n v="1"/>
    <n v="106"/>
    <s v="Cash "/>
    <x v="6"/>
    <s v="Custmer complaned"/>
  </r>
  <r>
    <s v="BC21499"/>
    <x v="98"/>
    <x v="6"/>
    <d v="1899-12-30T19:55:11"/>
    <s v="Burger Camp, Pune"/>
    <s v="Sneha Kulkarni"/>
    <d v="2010-11-06T00:00:00"/>
    <x v="14"/>
    <n v="158"/>
    <n v="1"/>
    <n v="159"/>
    <s v="Card"/>
    <x v="6"/>
    <s v="Custmer complaned"/>
  </r>
  <r>
    <s v="BC21500"/>
    <x v="168"/>
    <x v="7"/>
    <d v="1899-12-30T17:20:00"/>
    <s v="Burger Camp, Pune"/>
    <s v="Kiran Gore"/>
    <d v="1993-11-14T00:00:00"/>
    <x v="21"/>
    <n v="171"/>
    <n v="1"/>
    <n v="171"/>
    <s v="Cash "/>
    <x v="6"/>
    <s v="Extra cheese"/>
  </r>
  <r>
    <s v="BC21501"/>
    <x v="197"/>
    <x v="11"/>
    <d v="1899-12-30T11:36:00"/>
    <s v="Burger Camp, Pune"/>
    <s v="Zaid More"/>
    <d v="1987-07-02T00:00:00"/>
    <x v="17"/>
    <n v="139"/>
    <n v="1"/>
    <n v="140"/>
    <s v="Cash"/>
    <x v="1"/>
    <s v="Extra cheese"/>
  </r>
  <r>
    <s v="BC21502"/>
    <x v="166"/>
    <x v="5"/>
    <d v="1899-12-30T13:17:41"/>
    <s v="Burger Camp, Pune"/>
    <s v="Anil Shaikh"/>
    <d v="1978-01-22T00:00:00"/>
    <x v="4"/>
    <n v="191"/>
    <n v="3"/>
    <n v="575"/>
    <s v="Cash"/>
    <x v="2"/>
    <s v="Servd late"/>
  </r>
  <r>
    <s v="BC21503"/>
    <x v="336"/>
    <x v="1"/>
    <d v="1899-12-30T18:20:00"/>
    <s v="Burger Camp, Pune"/>
    <s v="Farhan Khan"/>
    <d v="1994-05-17T00:00:00"/>
    <x v="12"/>
    <n v="242"/>
    <n v="1"/>
    <n v="243"/>
    <s v="Card"/>
    <x v="3"/>
    <s v="Custmer complaned"/>
  </r>
  <r>
    <s v="BC21504"/>
    <x v="75"/>
    <x v="0"/>
    <d v="1899-12-30T14:29:00"/>
    <s v="Burger Camp, Pune"/>
    <s v="Mubin Naik"/>
    <d v="1994-04-25T00:00:00"/>
    <x v="19"/>
    <n v="301"/>
    <n v="3"/>
    <n v="906"/>
    <s v="UPI"/>
    <x v="3"/>
    <s v="Custmer complaned"/>
  </r>
  <r>
    <s v="BC21505"/>
    <x v="39"/>
    <x v="3"/>
    <d v="1899-12-30T20:09:00"/>
    <s v="Burger Camp, Pune"/>
    <s v="Zara Gore"/>
    <d v="1994-04-25T00:00:00"/>
    <x v="12"/>
    <n v="301"/>
    <n v="2"/>
    <n v="603"/>
    <s v="Card"/>
    <x v="3"/>
    <s v="Custmer complaned"/>
  </r>
  <r>
    <s v="BC21506"/>
    <x v="43"/>
    <x v="3"/>
    <d v="1899-12-30T20:26:36"/>
    <s v="Burger Camp, Pune"/>
    <s v="Pooja Naik"/>
    <d v="2010-05-25T00:00:00"/>
    <x v="19"/>
    <n v="284"/>
    <n v="2"/>
    <n v="570"/>
    <s v="Cash "/>
    <x v="4"/>
    <s v="No onion"/>
  </r>
  <r>
    <s v="BC21507"/>
    <x v="41"/>
    <x v="0"/>
    <d v="1899-12-30T12:46:00"/>
    <s v="Burger Camp, Pune"/>
    <s v="Pooja Gore"/>
    <d v="1971-06-07T00:00:00"/>
    <x v="17"/>
    <n v="111"/>
    <n v="3"/>
    <n v="335"/>
    <s v="UPI"/>
    <x v="2"/>
    <s v="Servd late"/>
  </r>
  <r>
    <s v="BC21508"/>
    <x v="199"/>
    <x v="6"/>
    <d v="1899-12-30T20:10:00"/>
    <s v="Burger Camp, Pune"/>
    <s v="mubin joshi"/>
    <d v="1998-04-04T00:00:00"/>
    <x v="12"/>
    <n v="236"/>
    <n v="2"/>
    <n v="473"/>
    <s v="UPI"/>
    <x v="7"/>
    <s v="Servd late"/>
  </r>
  <r>
    <s v="BC21509"/>
    <x v="73"/>
    <x v="1"/>
    <d v="1899-12-30T11:49:00"/>
    <s v="Burger Camp, Pune"/>
    <s v="Aisha More"/>
    <d v="1976-05-20T00:00:00"/>
    <x v="11"/>
    <n v="170"/>
    <n v="2"/>
    <n v="371"/>
    <s v="UPI"/>
    <x v="4"/>
    <s v="Custmer complaned"/>
  </r>
  <r>
    <s v="BC21510"/>
    <x v="51"/>
    <x v="10"/>
    <d v="1899-12-30T20:26:00"/>
    <s v="Burger Camp, Pune"/>
    <s v="Kiran Deshmukh"/>
    <d v="1993-07-09T00:00:00"/>
    <x v="1"/>
    <n v="274"/>
    <n v="1"/>
    <n v="274"/>
    <s v="Card"/>
    <x v="6"/>
    <s v="Spicy"/>
  </r>
  <r>
    <s v="BC21511"/>
    <x v="131"/>
    <x v="0"/>
    <d v="1899-12-30T18:23:02"/>
    <s v="Burger Camp, Pune"/>
    <s v="Aisha Naik"/>
    <d v="1973-11-25T00:00:00"/>
    <x v="11"/>
    <n v="227"/>
    <n v="1"/>
    <n v="228"/>
    <s v="Card"/>
    <x v="4"/>
    <s v="Extra cheese"/>
  </r>
  <r>
    <s v="BC21512"/>
    <x v="197"/>
    <x v="11"/>
    <d v="1899-12-30T17:23:00"/>
    <s v="Burger Camp, Pune"/>
    <s v="Sneha Joshi"/>
    <d v="1972-06-14T00:00:00"/>
    <x v="4"/>
    <n v="233"/>
    <n v="1"/>
    <n v="234"/>
    <s v="Cash "/>
    <x v="0"/>
    <s v="Extra cheese"/>
  </r>
  <r>
    <s v="BC21513"/>
    <x v="148"/>
    <x v="5"/>
    <d v="1899-12-30T21:23:00"/>
    <s v="Burger Camp, Pune"/>
    <s v=" Riya Joshi "/>
    <d v="2009-12-05T00:00:00"/>
    <x v="13"/>
    <n v="112"/>
    <n v="2"/>
    <n v="226"/>
    <s v="Card"/>
    <x v="2"/>
    <s v="Extra cheese"/>
  </r>
  <r>
    <s v="BC21514"/>
    <x v="149"/>
    <x v="6"/>
    <d v="1899-12-30T20:25:00"/>
    <s v="Burger Camp, Pune"/>
    <s v="Zaid Gore"/>
    <d v="2009-12-05T00:00:00"/>
    <x v="6"/>
    <n v="91"/>
    <n v="1"/>
    <n v="92"/>
    <s v="Wallet"/>
    <x v="2"/>
    <s v="No onion"/>
  </r>
  <r>
    <s v="BC21515"/>
    <x v="254"/>
    <x v="0"/>
    <d v="1899-12-30T23:19:00"/>
    <s v="Burger Camp, Pune"/>
    <s v="Aarav Patil"/>
    <d v="1979-04-06T00:00:00"/>
    <x v="21"/>
    <n v="226"/>
    <n v="1"/>
    <m/>
    <s v="Wallet"/>
    <x v="3"/>
    <s v="Extra cheese"/>
  </r>
  <r>
    <s v="BC21516"/>
    <x v="254"/>
    <x v="0"/>
    <d v="1899-12-30T13:08:00"/>
    <s v="Burger Camp, Pune"/>
    <s v="Zara Patil"/>
    <d v="1986-11-08T00:00:00"/>
    <x v="16"/>
    <n v="162"/>
    <n v="3"/>
    <n v="487"/>
    <s v="Cash "/>
    <x v="0"/>
    <s v="Extra cheese"/>
  </r>
  <r>
    <s v="BC21517"/>
    <x v="99"/>
    <x v="9"/>
    <d v="1899-12-30T17:37:59"/>
    <s v="Burger Camp, Pune"/>
    <s v="riya deshmukh"/>
    <d v="2005-04-01T00:00:00"/>
    <x v="6"/>
    <n v="83"/>
    <n v="1"/>
    <n v="83"/>
    <s v="Wallet"/>
    <x v="0"/>
    <s v="Spicy"/>
  </r>
  <r>
    <s v="BC21518"/>
    <x v="98"/>
    <x v="6"/>
    <d v="1899-12-30T22:38:00"/>
    <s v="Burger Camp, Pune"/>
    <s v="Zara More"/>
    <d v="1982-09-24T00:00:00"/>
    <x v="13"/>
    <n v="111"/>
    <n v="1"/>
    <n v="112"/>
    <s v="Card"/>
    <x v="3"/>
    <s v="Spicy"/>
  </r>
  <r>
    <s v="BC21519"/>
    <x v="67"/>
    <x v="7"/>
    <d v="1899-12-30T16:09:00"/>
    <s v="Burger Camp, Pune"/>
    <s v="Aarav Gore"/>
    <d v="1972-12-22T00:00:00"/>
    <x v="20"/>
    <n v="298"/>
    <n v="3"/>
    <n v="896"/>
    <s v="Card"/>
    <x v="5"/>
    <s v="Custmer complaned"/>
  </r>
  <r>
    <s v="BC21520"/>
    <x v="25"/>
    <x v="9"/>
    <d v="1899-12-30T13:41:29"/>
    <s v="Burger Camp, Pune"/>
    <s v="Mubin Shinde"/>
    <d v="2005-12-28T00:00:00"/>
    <x v="23"/>
    <n v="298"/>
    <n v="2"/>
    <n v="896"/>
    <s v="Card"/>
    <x v="6"/>
    <s v="Servd late"/>
  </r>
  <r>
    <s v="BC21521"/>
    <x v="207"/>
    <x v="6"/>
    <d v="1899-12-30T15:51:58"/>
    <s v="Burger Camp, Pune"/>
    <s v="Sneha Joshi"/>
    <d v="1982-01-01T00:00:00"/>
    <x v="9"/>
    <n v="42"/>
    <n v="3"/>
    <n v="126"/>
    <s v="Card"/>
    <x v="0"/>
    <s v="Servd late"/>
  </r>
  <r>
    <s v="BC21522"/>
    <x v="148"/>
    <x v="5"/>
    <d v="1899-12-30T19:08:00"/>
    <s v="Burger Camp, Pune"/>
    <s v="Pooja Khan"/>
    <d v="1978-11-22T00:00:00"/>
    <x v="23"/>
    <n v="267"/>
    <n v="1"/>
    <n v="267"/>
    <s v="Card"/>
    <x v="0"/>
    <s v="Servd late"/>
  </r>
  <r>
    <s v="BC21523"/>
    <x v="93"/>
    <x v="5"/>
    <d v="1899-12-30T10:47:00"/>
    <s v="Burger Camp, Pune"/>
    <s v="Zaid Naik"/>
    <d v="1997-05-06T00:00:00"/>
    <x v="21"/>
    <n v="200"/>
    <n v="1"/>
    <n v="201"/>
    <s v="Wallet"/>
    <x v="6"/>
    <s v="No onion"/>
  </r>
  <r>
    <s v="BC21524"/>
    <x v="45"/>
    <x v="1"/>
    <d v="1899-12-30T13:50:00"/>
    <s v="Burger Camp, Pune"/>
    <s v="Zara Shaikh"/>
    <d v="1996-09-08T00:00:00"/>
    <x v="25"/>
    <n v="267"/>
    <n v="2"/>
    <n v="535"/>
    <s v="UPI"/>
    <x v="6"/>
    <s v="repeat customer"/>
  </r>
  <r>
    <s v="BC21525"/>
    <x v="147"/>
    <x v="10"/>
    <d v="1899-12-30T20:59:00"/>
    <s v="Burger Camp, Pune"/>
    <s v="Aarav More"/>
    <d v="1999-09-03T00:00:00"/>
    <x v="17"/>
    <n v="139"/>
    <n v="1"/>
    <n v="139"/>
    <s v="UPI"/>
    <x v="7"/>
    <s v="Extra cheese"/>
  </r>
  <r>
    <s v="BC21526"/>
    <x v="93"/>
    <x v="5"/>
    <d v="1899-12-30T23:03:00"/>
    <s v="Burger Camp, Pune"/>
    <s v="Aarav More"/>
    <d v="1974-12-27T00:00:00"/>
    <x v="21"/>
    <n v="226"/>
    <n v="2"/>
    <n v="452"/>
    <s v="Cash"/>
    <x v="2"/>
    <s v="Servd late"/>
  </r>
  <r>
    <s v="BC21527"/>
    <x v="127"/>
    <x v="11"/>
    <d v="1899-12-30T21:33:32"/>
    <s v="Burger Camp, Pune"/>
    <s v="rahul shinde"/>
    <d v="1997-08-26T00:00:00"/>
    <x v="19"/>
    <n v="277"/>
    <n v="1"/>
    <n v="277"/>
    <s v="UPI"/>
    <x v="1"/>
    <s v="Servd late"/>
  </r>
  <r>
    <s v="BC21528"/>
    <x v="198"/>
    <x v="7"/>
    <d v="1899-12-30T11:21:00"/>
    <s v="Burger Camp, Pune"/>
    <s v="Mubin Deshmukh"/>
    <d v="1976-05-07T00:00:00"/>
    <x v="22"/>
    <n v="44"/>
    <n v="1"/>
    <n v="44"/>
    <s v="UPI"/>
    <x v="4"/>
    <s v="Servd late"/>
  </r>
  <r>
    <s v="BC21529"/>
    <x v="92"/>
    <x v="5"/>
    <d v="1899-12-30T17:09:00"/>
    <s v="Burger Camp, Pune"/>
    <s v="Aarav Kulkarni"/>
    <d v="1981-05-01T00:00:00"/>
    <x v="3"/>
    <n v="115"/>
    <n v="3"/>
    <n v="347"/>
    <s v="Wallet"/>
    <x v="1"/>
    <s v="No onion"/>
  </r>
  <r>
    <s v="BC21530"/>
    <x v="225"/>
    <x v="11"/>
    <d v="1899-12-30T10:51:00"/>
    <s v="Burger Camp, Pune"/>
    <s v="Kiran Kulkarni"/>
    <d v="2009-08-23T00:00:00"/>
    <x v="18"/>
    <n v="112"/>
    <n v="2"/>
    <n v="225"/>
    <s v="Card"/>
    <x v="5"/>
    <s v="Spicy"/>
  </r>
  <r>
    <s v="BC21531"/>
    <x v="263"/>
    <x v="9"/>
    <d v="1899-12-30T17:15:00"/>
    <s v="Burger Camp, Pune"/>
    <s v="Zaid Gore"/>
    <d v="1987-09-03T00:00:00"/>
    <x v="15"/>
    <n v="136"/>
    <n v="2"/>
    <n v="272"/>
    <s v="Cash"/>
    <x v="6"/>
    <s v="Extra cheese"/>
  </r>
  <r>
    <s v="BC21532"/>
    <x v="12"/>
    <x v="2"/>
    <d v="1899-12-30T14:03:00"/>
    <s v="Burger Camp, Pune"/>
    <s v="Riya Shinde"/>
    <d v="1984-04-24T00:00:00"/>
    <x v="3"/>
    <n v="310"/>
    <n v="1"/>
    <n v="311"/>
    <s v="Card"/>
    <x v="3"/>
    <s v="repeat customer"/>
  </r>
  <r>
    <s v="BC21533"/>
    <x v="324"/>
    <x v="0"/>
    <d v="1899-12-30T10:56:00"/>
    <s v="Burger Camp, Pune"/>
    <s v="Zaid Gore"/>
    <d v="1975-01-18T00:00:00"/>
    <x v="3"/>
    <n v="197"/>
    <n v="1"/>
    <n v="198"/>
    <s v="Card"/>
    <x v="5"/>
    <s v="repeat customer"/>
  </r>
  <r>
    <s v="BC21534"/>
    <x v="294"/>
    <x v="9"/>
    <d v="1899-12-30T16:00:00"/>
    <s v="Burger Camp, Pune"/>
    <s v="farhan shinde"/>
    <d v="1972-06-27T00:00:00"/>
    <x v="22"/>
    <n v="119"/>
    <n v="1"/>
    <n v="119"/>
    <s v="Card"/>
    <x v="0"/>
    <s v="Custmer complaned"/>
  </r>
  <r>
    <s v="BC21535"/>
    <x v="182"/>
    <x v="10"/>
    <d v="1899-12-30T22:04:00"/>
    <s v="Burger Camp, Pune"/>
    <s v="Anil Joshi"/>
    <d v="1993-01-23T00:00:00"/>
    <x v="24"/>
    <n v="131"/>
    <n v="3"/>
    <n v="396"/>
    <s v="Cash "/>
    <x v="5"/>
    <s v="Less salt"/>
  </r>
  <r>
    <s v="BC21536"/>
    <x v="80"/>
    <x v="3"/>
    <d v="1899-12-30T17:28:00"/>
    <s v="Burger Camp, Pune"/>
    <s v="Aisha Shaikh"/>
    <d v="1997-08-11T00:00:00"/>
    <x v="2"/>
    <n v="301"/>
    <n v="1"/>
    <n v="302"/>
    <s v="Cash"/>
    <x v="4"/>
    <s v="Less salt"/>
  </r>
  <r>
    <s v="BC21537"/>
    <x v="86"/>
    <x v="9"/>
    <d v="1899-12-30T19:03:13"/>
    <s v="Burger Camp, Pune"/>
    <s v="Pooja Naik"/>
    <d v="1993-07-16T00:00:00"/>
    <x v="16"/>
    <n v="163"/>
    <n v="3"/>
    <n v="492"/>
    <s v="Cash"/>
    <x v="5"/>
    <s v="Less salt"/>
  </r>
  <r>
    <s v="BC21538"/>
    <x v="177"/>
    <x v="4"/>
    <d v="1899-12-30T11:00:00"/>
    <s v="Burger Camp, Pune"/>
    <s v="Sneha Khan"/>
    <d v="1993-07-16T00:00:00"/>
    <x v="3"/>
    <n v="109"/>
    <n v="2"/>
    <m/>
    <s v="UPI"/>
    <x v="7"/>
    <s v="Custmer complaned"/>
  </r>
  <r>
    <s v="BC21539"/>
    <x v="146"/>
    <x v="10"/>
    <d v="1899-12-30T14:14:00"/>
    <s v="Burger Camp, Pune"/>
    <s v="Anil Deshmukh"/>
    <d v="1979-03-23T00:00:00"/>
    <x v="12"/>
    <n v="218"/>
    <n v="1"/>
    <n v="218"/>
    <s v="UPI"/>
    <x v="2"/>
    <s v="Servd late"/>
  </r>
  <r>
    <s v="BC21540"/>
    <x v="305"/>
    <x v="6"/>
    <d v="1899-12-30T21:33:37"/>
    <s v="Burger Camp, Pune"/>
    <s v="Zaid Kulkarni"/>
    <d v="1986-10-19T00:00:00"/>
    <x v="4"/>
    <n v="169"/>
    <n v="1"/>
    <n v="169"/>
    <s v="Cash "/>
    <x v="4"/>
    <s v="Less salt"/>
  </r>
  <r>
    <s v="BC21541"/>
    <x v="6"/>
    <x v="0"/>
    <d v="1899-12-30T13:24:00"/>
    <s v="Burger Camp, Pune"/>
    <s v="Kiran Khan"/>
    <d v="2002-06-15T00:00:00"/>
    <x v="10"/>
    <n v="228"/>
    <n v="1"/>
    <n v="100"/>
    <s v="Cash "/>
    <x v="2"/>
    <s v="Spicy"/>
  </r>
  <r>
    <s v="BC21542"/>
    <x v="120"/>
    <x v="7"/>
    <d v="1899-12-30T15:04:00"/>
    <s v="Burger Camp, Pune"/>
    <s v="Mubin Deshmukh"/>
    <d v="2002-06-15T00:00:00"/>
    <x v="8"/>
    <n v="53"/>
    <n v="2"/>
    <n v="107"/>
    <s v="Wallet"/>
    <x v="2"/>
    <s v="Custmer complaned"/>
  </r>
  <r>
    <s v="BC21543"/>
    <x v="174"/>
    <x v="11"/>
    <d v="1899-12-30T20:42:00"/>
    <s v="Burger Camp, Pune"/>
    <s v="anil shinde"/>
    <d v="2006-09-13T00:00:00"/>
    <x v="9"/>
    <n v="82"/>
    <n v="2"/>
    <n v="164"/>
    <s v="UPI"/>
    <x v="4"/>
    <s v="No onion"/>
  </r>
  <r>
    <s v="BC21544"/>
    <x v="45"/>
    <x v="1"/>
    <d v="1899-12-30T10:30:01"/>
    <s v="Burger Camp, Pune"/>
    <s v="Zara Shaikh"/>
    <d v="2003-12-16T00:00:00"/>
    <x v="0"/>
    <n v="109"/>
    <n v="2"/>
    <n v="218"/>
    <s v="Wallet"/>
    <x v="4"/>
    <s v="No onion"/>
  </r>
  <r>
    <s v="BC21545"/>
    <x v="10"/>
    <x v="6"/>
    <d v="1899-12-30T20:31:00"/>
    <s v="Burger Camp, Pune"/>
    <s v=" Anil Patil "/>
    <d v="1989-04-17T00:00:00"/>
    <x v="22"/>
    <n v="221"/>
    <n v="1"/>
    <n v="100"/>
    <s v="Card"/>
    <x v="6"/>
    <s v="repeat customer"/>
  </r>
  <r>
    <s v="BC21546"/>
    <x v="89"/>
    <x v="11"/>
    <d v="1899-12-30T16:54:00"/>
    <s v="Burger Camp, Pune"/>
    <s v="riya deshmukh"/>
    <d v="1986-08-09T00:00:00"/>
    <x v="11"/>
    <n v="205"/>
    <n v="1"/>
    <n v="205"/>
    <s v="Wallet"/>
    <x v="0"/>
    <s v="Custmer complaned"/>
  </r>
  <r>
    <s v="BC21547"/>
    <x v="15"/>
    <x v="2"/>
    <d v="1899-12-30T18:10:44"/>
    <s v="Burger Camp, Pune"/>
    <s v="Kiran Shinde"/>
    <d v="1991-12-12T00:00:00"/>
    <x v="14"/>
    <n v="205"/>
    <n v="3"/>
    <n v="205"/>
    <s v="UPI"/>
    <x v="2"/>
    <s v="repeat customer"/>
  </r>
  <r>
    <s v="BC21548"/>
    <x v="151"/>
    <x v="11"/>
    <d v="1899-12-30T23:43:00"/>
    <s v="Burger Camp, Pune"/>
    <s v="Kiran Deshmukh"/>
    <d v="1985-11-26T00:00:00"/>
    <x v="11"/>
    <n v="172"/>
    <n v="1"/>
    <n v="172"/>
    <s v="UPI"/>
    <x v="0"/>
    <s v="Servd late"/>
  </r>
  <r>
    <s v="BC21549"/>
    <x v="142"/>
    <x v="0"/>
    <d v="1899-12-30T12:36:00"/>
    <s v="Burger Camp, Pune"/>
    <s v="Zaid More"/>
    <d v="1993-05-11T00:00:00"/>
    <x v="9"/>
    <n v="86"/>
    <n v="3"/>
    <n v="259"/>
    <s v="Cash "/>
    <x v="7"/>
    <s v="Servd late"/>
  </r>
  <r>
    <s v="BC21550"/>
    <x v="81"/>
    <x v="9"/>
    <d v="1899-12-30T19:42:00"/>
    <s v="Burger Camp, Pune"/>
    <s v="Aarav Shaikh"/>
    <d v="1999-07-25T00:00:00"/>
    <x v="18"/>
    <n v="106"/>
    <n v="3"/>
    <n v="320"/>
    <s v="Cash "/>
    <x v="4"/>
    <s v="Extra cheese"/>
  </r>
  <r>
    <s v="BC21551"/>
    <x v="288"/>
    <x v="3"/>
    <d v="1899-12-30T21:15:35"/>
    <s v="Burger Camp, Pune"/>
    <s v="Anil Naik"/>
    <d v="1987-01-05T00:00:00"/>
    <x v="17"/>
    <n v="149"/>
    <n v="3"/>
    <n v="491"/>
    <s v="Wallet"/>
    <x v="7"/>
    <s v="Spicy"/>
  </r>
  <r>
    <s v="BC21552"/>
    <x v="150"/>
    <x v="4"/>
    <d v="1899-12-30T22:29:00"/>
    <s v="Burger Camp, Pune"/>
    <s v="Farhan More"/>
    <d v="2004-02-11T00:00:00"/>
    <x v="2"/>
    <n v="250"/>
    <n v="1"/>
    <n v="250"/>
    <s v="Card"/>
    <x v="0"/>
    <s v="repeat customer"/>
  </r>
  <r>
    <s v="BC21553"/>
    <x v="25"/>
    <x v="9"/>
    <d v="1899-12-30T16:10:00"/>
    <s v="Burger Camp, Pune"/>
    <s v="Kiran Deshmukh"/>
    <d v="2006-11-24T00:00:00"/>
    <x v="18"/>
    <n v="257"/>
    <n v="3"/>
    <n v="772"/>
    <s v="Card"/>
    <x v="1"/>
    <s v="repeat customer"/>
  </r>
  <r>
    <s v="BC21554"/>
    <x v="7"/>
    <x v="4"/>
    <d v="1899-12-30T18:42:36"/>
    <s v="Burger Camp, Pune"/>
    <s v="Pooja Gore"/>
    <d v="1993-12-06T00:00:00"/>
    <x v="23"/>
    <n v="119"/>
    <n v="2"/>
    <n v="239"/>
    <s v="Card"/>
    <x v="1"/>
    <s v="Servd late"/>
  </r>
  <r>
    <s v="BC21555"/>
    <x v="219"/>
    <x v="1"/>
    <d v="1899-12-30T23:11:00"/>
    <s v="Burger Camp, Pune"/>
    <s v="Mubin Gore"/>
    <d v="2008-01-15T00:00:00"/>
    <x v="12"/>
    <n v="241"/>
    <n v="2"/>
    <n v="482"/>
    <s v="Cash"/>
    <x v="4"/>
    <s v="Servd late"/>
  </r>
  <r>
    <s v="BC21556"/>
    <x v="312"/>
    <x v="7"/>
    <d v="1899-12-30T23:46:00"/>
    <s v="Burger Camp, Pune"/>
    <s v="Mubin Patil"/>
    <d v="1995-08-11T00:00:00"/>
    <x v="7"/>
    <n v="119"/>
    <n v="1"/>
    <n v="100"/>
    <s v="UPI"/>
    <x v="2"/>
    <s v="Servd late"/>
  </r>
  <r>
    <s v="BC21557"/>
    <x v="66"/>
    <x v="7"/>
    <d v="1899-12-30T14:51:00"/>
    <s v="Burger Camp, Pune"/>
    <s v="Farhan Naik"/>
    <d v="1982-07-28T00:00:00"/>
    <x v="8"/>
    <n v="46"/>
    <n v="3"/>
    <n v="138"/>
    <s v="UPI"/>
    <x v="4"/>
    <s v="Spicy"/>
  </r>
  <r>
    <s v="BC21558"/>
    <x v="64"/>
    <x v="9"/>
    <d v="1899-12-30T19:08:00"/>
    <s v="Burger Camp, Pune"/>
    <s v="Zaid Khan"/>
    <d v="2007-05-05T00:00:00"/>
    <x v="13"/>
    <n v="112"/>
    <n v="3"/>
    <n v="337"/>
    <s v="Wallet"/>
    <x v="6"/>
    <s v="Spicy"/>
  </r>
  <r>
    <s v="BC21559"/>
    <x v="210"/>
    <x v="3"/>
    <d v="1899-12-30T13:32:00"/>
    <s v="Burger Camp, Pune"/>
    <s v="Zara Gore"/>
    <d v="2007-05-05T00:00:00"/>
    <x v="3"/>
    <n v="111"/>
    <n v="1"/>
    <n v="111"/>
    <s v="Cash"/>
    <x v="4"/>
    <s v="Extra cheese"/>
  </r>
  <r>
    <s v="BC21560"/>
    <x v="235"/>
    <x v="10"/>
    <d v="1899-12-30T10:55:00"/>
    <s v="Burger Camp, Pune"/>
    <s v="Aisha Naik"/>
    <d v="1975-12-25T00:00:00"/>
    <x v="8"/>
    <n v="36"/>
    <n v="2"/>
    <n v="72"/>
    <s v="UPI"/>
    <x v="1"/>
    <s v="Extra cheese"/>
  </r>
  <r>
    <s v="BC21561"/>
    <x v="149"/>
    <x v="6"/>
    <d v="1899-12-30T19:24:00"/>
    <s v="Burger Camp, Pune"/>
    <s v="Kiran Khan"/>
    <d v="1994-05-03T00:00:00"/>
    <x v="4"/>
    <n v="236"/>
    <n v="1"/>
    <n v="236"/>
    <s v="Card"/>
    <x v="1"/>
    <s v="Servd late"/>
  </r>
  <r>
    <s v="BC21562"/>
    <x v="100"/>
    <x v="0"/>
    <d v="1899-12-30T10:39:24"/>
    <s v="Burger Camp, Pune"/>
    <s v="Riya Gore"/>
    <d v="1994-05-03T00:00:00"/>
    <x v="7"/>
    <n v="210"/>
    <n v="1"/>
    <n v="211"/>
    <s v="UPI"/>
    <x v="3"/>
    <s v="Custmer complaned"/>
  </r>
  <r>
    <s v="BC21563"/>
    <x v="151"/>
    <x v="11"/>
    <d v="1899-12-30T23:51:00"/>
    <s v="Burger Camp, Pune"/>
    <s v="Pooja Khan"/>
    <d v="1991-06-12T00:00:00"/>
    <x v="15"/>
    <n v="155"/>
    <n v="1"/>
    <n v="156"/>
    <s v="Wallet"/>
    <x v="2"/>
    <s v="Less salt"/>
  </r>
  <r>
    <s v="BC21564"/>
    <x v="59"/>
    <x v="6"/>
    <d v="1899-12-30T13:32:00"/>
    <s v="Burger Camp, Pune"/>
    <s v="Mubin Deshmukh"/>
    <d v="1998-11-01T00:00:00"/>
    <x v="3"/>
    <n v="132"/>
    <n v="3"/>
    <n v="413"/>
    <s v="UPI"/>
    <x v="2"/>
    <s v="Less salt"/>
  </r>
  <r>
    <s v="BC21565"/>
    <x v="119"/>
    <x v="0"/>
    <d v="1899-12-30T19:45:00"/>
    <s v="Burger Camp, Pune"/>
    <s v="Aarav Joshi"/>
    <d v="2000-04-25T00:00:00"/>
    <x v="7"/>
    <n v="199"/>
    <n v="1"/>
    <m/>
    <s v="Card"/>
    <x v="1"/>
    <s v="Custmer complaned"/>
  </r>
  <r>
    <s v="BC21566"/>
    <x v="33"/>
    <x v="11"/>
    <d v="1899-12-30T18:06:00"/>
    <s v="Burger Camp, Pune"/>
    <s v="Aisha Deshmukh"/>
    <d v="1970-01-09T00:00:00"/>
    <x v="3"/>
    <n v="295"/>
    <n v="2"/>
    <n v="592"/>
    <s v="UPI"/>
    <x v="3"/>
    <s v="Servd late"/>
  </r>
  <r>
    <s v="BC21567"/>
    <x v="70"/>
    <x v="1"/>
    <d v="1899-12-30T14:06:00"/>
    <s v="Burger Camp, Pune"/>
    <s v="Kiran Gore"/>
    <d v="1973-10-07T00:00:00"/>
    <x v="23"/>
    <n v="219"/>
    <n v="3"/>
    <n v="659"/>
    <s v="UPI"/>
    <x v="0"/>
    <s v="No onion"/>
  </r>
  <r>
    <s v="BC21568"/>
    <x v="288"/>
    <x v="3"/>
    <d v="1899-12-30T21:36:00"/>
    <s v="Burger Camp, Pune"/>
    <s v="mubin khan"/>
    <d v="1973-10-07T00:00:00"/>
    <x v="8"/>
    <n v="45"/>
    <n v="1"/>
    <n v="45"/>
    <s v="Wallet"/>
    <x v="0"/>
    <s v="No onion"/>
  </r>
  <r>
    <s v="BC21569"/>
    <x v="60"/>
    <x v="10"/>
    <d v="1899-12-30T14:18:00"/>
    <s v="Burger Camp, Pune"/>
    <s v="sneha kulkarni"/>
    <d v="2008-11-02T00:00:00"/>
    <x v="16"/>
    <n v="202"/>
    <n v="1"/>
    <n v="202"/>
    <s v="UPI"/>
    <x v="2"/>
    <s v="No onion"/>
  </r>
  <r>
    <s v="BC21570"/>
    <x v="158"/>
    <x v="4"/>
    <d v="1899-12-30T21:32:00"/>
    <s v="Burger Camp, Pune"/>
    <s v="Pooja Naik"/>
    <d v="1973-06-19T00:00:00"/>
    <x v="4"/>
    <n v="181"/>
    <n v="2"/>
    <n v="364"/>
    <s v="UPI"/>
    <x v="1"/>
    <s v="No onion"/>
  </r>
  <r>
    <s v="BC21571"/>
    <x v="222"/>
    <x v="7"/>
    <d v="1899-12-30T12:16:00"/>
    <s v="Burger Camp, Pune"/>
    <s v="Pooja Patil"/>
    <d v="1980-01-05T00:00:00"/>
    <x v="10"/>
    <n v="257"/>
    <n v="1"/>
    <n v="258"/>
    <s v="Cash "/>
    <x v="2"/>
    <s v="repeat customer"/>
  </r>
  <r>
    <s v="BC21572"/>
    <x v="3"/>
    <x v="3"/>
    <d v="1899-12-30T10:13:00"/>
    <s v="Burger Camp, Pune"/>
    <s v=" Anil Shaikh "/>
    <d v="1977-04-03T00:00:00"/>
    <x v="24"/>
    <n v="257"/>
    <n v="3"/>
    <n v="258"/>
    <s v="UPI"/>
    <x v="3"/>
    <s v="repeat customer"/>
  </r>
  <r>
    <s v="BC21573"/>
    <x v="3"/>
    <x v="3"/>
    <d v="1899-12-30T20:08:00"/>
    <s v="Burger Camp, Pune"/>
    <s v="Aisha Naik"/>
    <d v="2000-10-19T00:00:00"/>
    <x v="3"/>
    <n v="134"/>
    <n v="2"/>
    <n v="268"/>
    <s v="UPI"/>
    <x v="6"/>
    <s v="repeat customer"/>
  </r>
  <r>
    <s v="BC21574"/>
    <x v="19"/>
    <x v="8"/>
    <d v="1899-12-30T18:01:02"/>
    <s v="Burger Camp, Pune"/>
    <s v="Mubin Shaikh"/>
    <d v="1990-01-22T00:00:00"/>
    <x v="11"/>
    <n v="228"/>
    <n v="2"/>
    <n v="456"/>
    <s v="Wallet"/>
    <x v="3"/>
    <s v="Less salt"/>
  </r>
  <r>
    <s v="BC21575"/>
    <x v="273"/>
    <x v="2"/>
    <d v="1899-12-30T13:13:07"/>
    <s v="Burger Camp, Pune"/>
    <s v="Mubin Deshmukh"/>
    <d v="2009-11-16T00:00:00"/>
    <x v="14"/>
    <n v="200"/>
    <n v="2"/>
    <n v="402"/>
    <s v="Wallet"/>
    <x v="5"/>
    <s v="Less salt"/>
  </r>
  <r>
    <s v="BC21576"/>
    <x v="244"/>
    <x v="2"/>
    <d v="1899-12-30T18:25:00"/>
    <s v="Burger Camp, Pune"/>
    <s v="Zaid Naik"/>
    <d v="1981-12-27T00:00:00"/>
    <x v="25"/>
    <n v="159"/>
    <n v="1"/>
    <n v="159"/>
    <s v="Card"/>
    <x v="1"/>
    <s v="Less salt"/>
  </r>
  <r>
    <s v="BC21577"/>
    <x v="194"/>
    <x v="2"/>
    <d v="1899-12-30T14:03:00"/>
    <s v="Burger Camp, Pune"/>
    <s v="Aisha More"/>
    <d v="2008-05-06T00:00:00"/>
    <x v="6"/>
    <n v="100"/>
    <n v="3"/>
    <n v="301"/>
    <s v="UPI"/>
    <x v="6"/>
    <s v="Less salt"/>
  </r>
  <r>
    <s v="BC21578"/>
    <x v="142"/>
    <x v="0"/>
    <d v="1899-12-30T17:18:37"/>
    <s v="Burger Camp, Pune"/>
    <s v="Pooja Kulkarni"/>
    <d v="1978-08-08T00:00:00"/>
    <x v="16"/>
    <n v="177"/>
    <n v="2"/>
    <n v="354"/>
    <s v="UPI"/>
    <x v="5"/>
    <s v="Less salt"/>
  </r>
  <r>
    <s v="BC21579"/>
    <x v="359"/>
    <x v="6"/>
    <d v="1899-12-30T17:57:00"/>
    <s v="Burger Camp, Pune"/>
    <s v="Aarav Naik"/>
    <d v="1983-01-01T00:00:00"/>
    <x v="14"/>
    <n v="359"/>
    <n v="1"/>
    <n v="359"/>
    <s v="Card"/>
    <x v="3"/>
    <s v="Servd late"/>
  </r>
  <r>
    <s v="BC21580"/>
    <x v="105"/>
    <x v="3"/>
    <d v="1899-12-30T20:34:22"/>
    <s v="Burger Camp, Pune"/>
    <s v="Farhan Patil"/>
    <d v="1979-12-09T00:00:00"/>
    <x v="21"/>
    <n v="178"/>
    <n v="2"/>
    <n v="357"/>
    <s v="Card"/>
    <x v="7"/>
    <s v="Servd late"/>
  </r>
  <r>
    <s v="BC21581"/>
    <x v="286"/>
    <x v="4"/>
    <d v="1899-12-30T17:14:00"/>
    <s v="Burger Camp, Pune"/>
    <s v="farhan khan"/>
    <d v="1980-02-24T00:00:00"/>
    <x v="1"/>
    <n v="228"/>
    <n v="3"/>
    <n v="685"/>
    <s v="Card"/>
    <x v="7"/>
    <s v="Custmer complaned"/>
  </r>
  <r>
    <s v="BC21582"/>
    <x v="6"/>
    <x v="0"/>
    <d v="1899-12-30T16:16:37"/>
    <s v="Burger Camp, Pune"/>
    <s v=" Mubin Shaikh "/>
    <d v="1972-11-06T00:00:00"/>
    <x v="1"/>
    <n v="288"/>
    <n v="2"/>
    <n v="577"/>
    <s v="Card"/>
    <x v="3"/>
    <s v="repeat customer"/>
  </r>
  <r>
    <s v="BC21583"/>
    <x v="302"/>
    <x v="5"/>
    <d v="1899-12-30T15:14:05"/>
    <s v="Burger Camp, Pune"/>
    <s v="Kiran Joshi"/>
    <d v="1972-08-27T00:00:00"/>
    <x v="24"/>
    <n v="118"/>
    <n v="3"/>
    <n v="354"/>
    <s v="Cash "/>
    <x v="3"/>
    <s v="repeat customer"/>
  </r>
  <r>
    <s v="BC21584"/>
    <x v="81"/>
    <x v="9"/>
    <d v="1899-12-30T22:25:00"/>
    <s v="Burger Camp, Pune"/>
    <s v="Kiran More"/>
    <d v="1983-09-25T00:00:00"/>
    <x v="22"/>
    <n v="246"/>
    <n v="1"/>
    <n v="247"/>
    <s v="Cash "/>
    <x v="7"/>
    <s v="repeat customer"/>
  </r>
  <r>
    <s v="BC21585"/>
    <x v="241"/>
    <x v="5"/>
    <d v="1899-12-30T20:11:16"/>
    <s v="Burger Camp, Pune"/>
    <s v="Rahul Gore"/>
    <d v="1972-05-28T00:00:00"/>
    <x v="16"/>
    <n v="194"/>
    <n v="2"/>
    <n v="389"/>
    <s v="UPI"/>
    <x v="5"/>
    <s v="Custmer complaned"/>
  </r>
  <r>
    <s v="BC21586"/>
    <x v="191"/>
    <x v="4"/>
    <d v="1899-12-30T10:09:39"/>
    <s v="Burger Camp, Pune"/>
    <s v="Kiran Shinde"/>
    <d v="1972-05-07T00:00:00"/>
    <x v="1"/>
    <n v="223"/>
    <n v="2"/>
    <n v="447"/>
    <s v="Card"/>
    <x v="0"/>
    <s v="Extra cheese"/>
  </r>
  <r>
    <s v="BC21587"/>
    <x v="185"/>
    <x v="10"/>
    <d v="1899-12-30T23:05:00"/>
    <s v="Burger Camp, Pune"/>
    <s v="Zara Khan"/>
    <d v="1995-12-08T00:00:00"/>
    <x v="19"/>
    <n v="339"/>
    <n v="3"/>
    <n v="1020"/>
    <s v="UPI"/>
    <x v="3"/>
    <s v="Spicy"/>
  </r>
  <r>
    <s v="BC21588"/>
    <x v="29"/>
    <x v="6"/>
    <d v="1899-12-30T13:34:00"/>
    <s v="Burger Camp, Pune"/>
    <s v="Rahul More"/>
    <d v="1994-02-16T00:00:00"/>
    <x v="18"/>
    <n v="157"/>
    <n v="2"/>
    <n v="289"/>
    <s v="Wallet"/>
    <x v="6"/>
    <s v="Spicy"/>
  </r>
  <r>
    <s v="BC21589"/>
    <x v="67"/>
    <x v="7"/>
    <d v="1899-12-30T15:53:00"/>
    <s v="Burger Camp, Pune"/>
    <s v="Sneha Deshmukh"/>
    <d v="2003-01-18T00:00:00"/>
    <x v="21"/>
    <n v="166"/>
    <n v="1"/>
    <n v="166"/>
    <s v="UPI"/>
    <x v="5"/>
    <s v="Less salt"/>
  </r>
  <r>
    <s v="BC21590"/>
    <x v="101"/>
    <x v="7"/>
    <d v="1899-12-30T14:09:00"/>
    <s v="Burger Camp, Pune"/>
    <s v="Riya More"/>
    <d v="2001-10-08T00:00:00"/>
    <x v="7"/>
    <n v="257"/>
    <n v="2"/>
    <n v="515"/>
    <s v="Wallet"/>
    <x v="3"/>
    <s v="Custmer complaned"/>
  </r>
  <r>
    <s v="BC21591"/>
    <x v="241"/>
    <x v="5"/>
    <d v="1899-12-30T22:58:00"/>
    <s v="Burger Camp, Pune"/>
    <s v="Zara Shinde"/>
    <d v="1996-02-22T00:00:00"/>
    <x v="13"/>
    <n v="90"/>
    <n v="1"/>
    <n v="91"/>
    <s v="Cash "/>
    <x v="3"/>
    <s v="repeat customer"/>
  </r>
  <r>
    <s v="BC21592"/>
    <x v="167"/>
    <x v="4"/>
    <d v="1899-12-30T21:45:00"/>
    <s v="Burger Camp, Pune"/>
    <s v="Pooja Patil"/>
    <d v="1990-06-08T00:00:00"/>
    <x v="10"/>
    <n v="39"/>
    <n v="1"/>
    <n v="40"/>
    <s v="UPI"/>
    <x v="7"/>
    <s v="Servd late"/>
  </r>
  <r>
    <s v="BC21593"/>
    <x v="4"/>
    <x v="3"/>
    <d v="1899-12-30T16:52:00"/>
    <s v="Burger Camp, Pune"/>
    <s v="Aisha Shinde"/>
    <d v="1979-11-19T00:00:00"/>
    <x v="18"/>
    <n v="211"/>
    <n v="1"/>
    <n v="211"/>
    <s v="Card"/>
    <x v="2"/>
    <s v="Extra cheese"/>
  </r>
  <r>
    <s v="BC21594"/>
    <x v="318"/>
    <x v="9"/>
    <d v="1899-12-30T19:44:00"/>
    <s v="Burger Camp, Pune"/>
    <s v="Farhan Shaikh"/>
    <d v="1996-11-28T00:00:00"/>
    <x v="8"/>
    <n v="47"/>
    <n v="3"/>
    <n v="143"/>
    <s v="Card"/>
    <x v="7"/>
    <s v="Less salt"/>
  </r>
  <r>
    <s v="BC21595"/>
    <x v="113"/>
    <x v="4"/>
    <d v="1899-12-30T13:56:43"/>
    <s v="Burger Camp, Pune"/>
    <s v="Sneha Naik"/>
    <d v="1979-07-07T00:00:00"/>
    <x v="11"/>
    <n v="168"/>
    <n v="3"/>
    <n v="505"/>
    <s v="Card"/>
    <x v="5"/>
    <s v="Less salt"/>
  </r>
  <r>
    <s v="BC21596"/>
    <x v="91"/>
    <x v="10"/>
    <d v="1899-12-30T17:20:00"/>
    <s v="Burger Camp, Pune"/>
    <s v="Kiran Patil"/>
    <d v="1985-12-18T00:00:00"/>
    <x v="21"/>
    <n v="188"/>
    <n v="2"/>
    <n v="378"/>
    <s v="Card"/>
    <x v="1"/>
    <s v="No onion"/>
  </r>
  <r>
    <s v="BC21597"/>
    <x v="184"/>
    <x v="9"/>
    <d v="1899-12-30T22:22:16"/>
    <s v="Burger Camp, Pune"/>
    <s v="Kiran Shaikh"/>
    <d v="1983-04-21T00:00:00"/>
    <x v="23"/>
    <n v="269"/>
    <n v="3"/>
    <n v="809"/>
    <s v="Cash"/>
    <x v="3"/>
    <s v="No onion"/>
  </r>
  <r>
    <s v="BC21598"/>
    <x v="232"/>
    <x v="10"/>
    <d v="1899-12-30T20:35:00"/>
    <s v="Burger Camp, Pune"/>
    <s v="Kiran Shaikh"/>
    <d v="2002-02-14T00:00:00"/>
    <x v="17"/>
    <n v="127"/>
    <n v="1"/>
    <n v="127"/>
    <s v="UPI"/>
    <x v="1"/>
    <s v="repeat customer"/>
  </r>
  <r>
    <s v="BC21599"/>
    <x v="264"/>
    <x v="3"/>
    <d v="1899-12-30T15:17:00"/>
    <s v="Burger Camp, Pune"/>
    <s v="Pooja Khan"/>
    <d v="2002-02-14T00:00:00"/>
    <x v="9"/>
    <n v="122"/>
    <n v="3"/>
    <m/>
    <s v="UPI"/>
    <x v="6"/>
    <s v="Spicy"/>
  </r>
  <r>
    <s v="BC21600"/>
    <x v="149"/>
    <x v="6"/>
    <d v="1899-12-30T23:03:00"/>
    <s v="Burger Camp, Pune"/>
    <s v="Rahul Deshmukh"/>
    <d v="2009-02-21T00:00:00"/>
    <x v="25"/>
    <n v="232"/>
    <n v="1"/>
    <n v="233"/>
    <s v="Card"/>
    <x v="6"/>
    <s v="Servd late"/>
  </r>
  <r>
    <s v="BC21601"/>
    <x v="53"/>
    <x v="1"/>
    <d v="1899-12-30T16:53:06"/>
    <s v="Burger Camp, Pune"/>
    <s v="Mubin Naik"/>
    <d v="1987-01-08T00:00:00"/>
    <x v="4"/>
    <n v="190"/>
    <n v="1"/>
    <n v="190"/>
    <s v="UPI"/>
    <x v="5"/>
    <s v="Less salt"/>
  </r>
  <r>
    <s v="BC21602"/>
    <x v="118"/>
    <x v="2"/>
    <d v="1899-12-30T12:32:00"/>
    <s v="Burger Camp, Pune"/>
    <s v="Sneha Joshi"/>
    <d v="2009-10-14T00:00:00"/>
    <x v="5"/>
    <n v="211"/>
    <n v="3"/>
    <n v="633"/>
    <s v="UPI"/>
    <x v="3"/>
    <s v="Servd late"/>
  </r>
  <r>
    <s v="BC21603"/>
    <x v="247"/>
    <x v="11"/>
    <d v="1899-12-30T13:31:44"/>
    <s v="Burger Camp, Pune"/>
    <s v="Riya Deshmukh"/>
    <d v="1976-02-15T00:00:00"/>
    <x v="9"/>
    <n v="95"/>
    <n v="3"/>
    <n v="288"/>
    <s v="UPI"/>
    <x v="7"/>
    <s v="Servd late"/>
  </r>
  <r>
    <s v="BC21604"/>
    <x v="64"/>
    <x v="9"/>
    <d v="1899-12-30T19:36:46"/>
    <s v="Burger Camp, Pune"/>
    <s v="Aisha Patil"/>
    <d v="2010-05-04T00:00:00"/>
    <x v="19"/>
    <n v="274"/>
    <n v="1"/>
    <n v="275"/>
    <s v="UPI"/>
    <x v="3"/>
    <s v="Custmer complaned"/>
  </r>
  <r>
    <s v="BC21605"/>
    <x v="96"/>
    <x v="8"/>
    <d v="1899-12-30T17:16:02"/>
    <s v="Burger Camp, Pune"/>
    <s v="Aarav Shinde"/>
    <d v="1991-12-12T00:00:00"/>
    <x v="4"/>
    <n v="174"/>
    <n v="2"/>
    <n v="349"/>
    <s v="Card"/>
    <x v="1"/>
    <s v="Extra cheese"/>
  </r>
  <r>
    <s v="BC21606"/>
    <x v="96"/>
    <x v="8"/>
    <d v="1899-12-30T21:41:00"/>
    <s v="Burger Camp, Pune"/>
    <s v="zara naik"/>
    <d v="1984-05-26T00:00:00"/>
    <x v="14"/>
    <n v="208"/>
    <n v="3"/>
    <n v="597"/>
    <s v="Card"/>
    <x v="5"/>
    <s v="No onion"/>
  </r>
  <r>
    <s v="BC21607"/>
    <x v="261"/>
    <x v="3"/>
    <d v="1899-12-30T20:53:54"/>
    <s v="Burger Camp, Pune"/>
    <s v="Sneha Gore"/>
    <d v="1984-05-26T00:00:00"/>
    <x v="9"/>
    <n v="137"/>
    <n v="2"/>
    <n v="275"/>
    <s v="Wallet"/>
    <x v="7"/>
    <s v="repeat customer"/>
  </r>
  <r>
    <s v="BC21608"/>
    <x v="260"/>
    <x v="1"/>
    <d v="1899-12-30T13:45:00"/>
    <s v="Burger Camp, Pune"/>
    <s v="Riya Khan"/>
    <d v="1983-01-04T00:00:00"/>
    <x v="23"/>
    <n v="110"/>
    <n v="2"/>
    <n v="221"/>
    <s v="Wallet"/>
    <x v="4"/>
    <s v="Custmer complaned"/>
  </r>
  <r>
    <s v="BC21609"/>
    <x v="258"/>
    <x v="11"/>
    <d v="1899-12-30T22:45:53"/>
    <s v="Burger Camp, Pune"/>
    <s v="Mubin Kulkarni"/>
    <d v="1983-01-04T00:00:00"/>
    <x v="8"/>
    <n v="49"/>
    <n v="3"/>
    <n v="148"/>
    <s v="Cash"/>
    <x v="5"/>
    <s v="Spicy"/>
  </r>
  <r>
    <s v="BC21610"/>
    <x v="14"/>
    <x v="7"/>
    <d v="1899-12-30T16:36:43"/>
    <s v="Burger Camp, Pune"/>
    <s v="Aarav Patil"/>
    <d v="1992-08-20T00:00:00"/>
    <x v="19"/>
    <n v="312"/>
    <n v="3"/>
    <n v="938"/>
    <s v="UPI"/>
    <x v="7"/>
    <s v="Extra cheese"/>
  </r>
  <r>
    <s v="BC21611"/>
    <x v="171"/>
    <x v="0"/>
    <d v="1899-12-30T19:09:00"/>
    <s v="Burger Camp, Pune"/>
    <s v="Mubin More"/>
    <d v="1991-12-12T00:00:00"/>
    <x v="2"/>
    <n v="278"/>
    <n v="3"/>
    <n v="836"/>
    <s v="Card"/>
    <x v="5"/>
    <s v="repeat customer"/>
  </r>
  <r>
    <s v="BC21612"/>
    <x v="125"/>
    <x v="4"/>
    <d v="1899-12-30T18:11:28"/>
    <s v="Burger Camp, Pune"/>
    <s v="Farhan Joshi"/>
    <d v="1973-03-23T00:00:00"/>
    <x v="0"/>
    <n v="110"/>
    <n v="1"/>
    <n v="111"/>
    <s v="Card"/>
    <x v="7"/>
    <s v="Custmer complaned"/>
  </r>
  <r>
    <s v="BC21613"/>
    <x v="60"/>
    <x v="10"/>
    <d v="1899-12-30T17:38:00"/>
    <s v="Burger Camp, Pune"/>
    <s v="pooja naik"/>
    <d v="2005-08-01T00:00:00"/>
    <x v="24"/>
    <n v="127"/>
    <n v="3"/>
    <n v="383"/>
    <s v="Wallet"/>
    <x v="3"/>
    <s v="Extra cheese"/>
  </r>
  <r>
    <s v="BC21614"/>
    <x v="106"/>
    <x v="11"/>
    <d v="1899-12-30T13:40:00"/>
    <s v="Burger Camp, Pune"/>
    <s v="rahul shaikh"/>
    <d v="2008-08-06T00:00:00"/>
    <x v="11"/>
    <n v="189"/>
    <n v="1"/>
    <m/>
    <s v="UPI"/>
    <x v="3"/>
    <s v="Servd late"/>
  </r>
  <r>
    <s v="BC21615"/>
    <x v="39"/>
    <x v="3"/>
    <d v="1899-12-30T16:53:00"/>
    <s v="Burger Camp, Pune"/>
    <s v="Zara Patil"/>
    <d v="1988-07-06T00:00:00"/>
    <x v="5"/>
    <n v="317"/>
    <n v="3"/>
    <n v="951"/>
    <s v="Cash"/>
    <x v="7"/>
    <s v="Custmer complaned"/>
  </r>
  <r>
    <s v="BC21616"/>
    <x v="92"/>
    <x v="5"/>
    <d v="1899-12-30T15:58:13"/>
    <s v="Burger Camp, Pune"/>
    <s v="Zaid Joshi"/>
    <d v="1981-06-14T00:00:00"/>
    <x v="14"/>
    <n v="255"/>
    <n v="1"/>
    <n v="100"/>
    <s v="Card"/>
    <x v="5"/>
    <s v="repeat customer"/>
  </r>
  <r>
    <s v="BC21617"/>
    <x v="229"/>
    <x v="4"/>
    <d v="1899-12-30T14:55:00"/>
    <s v="Burger Camp, Pune"/>
    <s v=" Mubin Shinde "/>
    <d v="1981-06-14T00:00:00"/>
    <x v="20"/>
    <n v="278"/>
    <n v="2"/>
    <n v="556"/>
    <s v="Cash"/>
    <x v="0"/>
    <s v="Less salt"/>
  </r>
  <r>
    <s v="BC21618"/>
    <x v="138"/>
    <x v="2"/>
    <d v="1899-12-30T18:23:00"/>
    <s v="Burger Camp, Pune"/>
    <s v="Anil Shaikh"/>
    <d v="1991-12-12T00:00:00"/>
    <x v="9"/>
    <n v="257"/>
    <n v="1"/>
    <n v="100"/>
    <s v="Cash "/>
    <x v="7"/>
    <s v="repeat customer"/>
  </r>
  <r>
    <s v="BC21619"/>
    <x v="80"/>
    <x v="3"/>
    <d v="1899-12-30T13:20:00"/>
    <s v="Burger Camp, Pune"/>
    <s v="Anil Kulkarni"/>
    <d v="2000-11-03T00:00:00"/>
    <x v="4"/>
    <n v="217"/>
    <n v="1"/>
    <n v="217"/>
    <s v="Cash "/>
    <x v="1"/>
    <s v="repeat customer"/>
  </r>
  <r>
    <s v="BC21620"/>
    <x v="217"/>
    <x v="6"/>
    <d v="1899-12-30T22:41:00"/>
    <s v="Burger Camp, Pune"/>
    <s v="Aisha Shinde"/>
    <d v="1991-12-12T00:00:00"/>
    <x v="15"/>
    <n v="167"/>
    <n v="2"/>
    <n v="336"/>
    <s v="Wallet"/>
    <x v="0"/>
    <s v="Extra cheese"/>
  </r>
  <r>
    <s v="BC21621"/>
    <x v="199"/>
    <x v="6"/>
    <d v="1899-12-30T23:03:00"/>
    <s v="Burger Camp, Pune"/>
    <s v="Aarav Naik"/>
    <d v="2008-07-21T00:00:00"/>
    <x v="1"/>
    <n v="191"/>
    <n v="2"/>
    <n v="384"/>
    <s v="UPI"/>
    <x v="1"/>
    <s v="Extra cheese"/>
  </r>
  <r>
    <s v="BC21622"/>
    <x v="72"/>
    <x v="10"/>
    <d v="1899-12-30T23:05:00"/>
    <s v="Burger Camp, Pune"/>
    <s v="Sneha Kulkarni"/>
    <d v="1990-05-19T00:00:00"/>
    <x v="15"/>
    <n v="263"/>
    <n v="2"/>
    <n v="528"/>
    <s v="UPI"/>
    <x v="0"/>
    <s v="Extra cheese"/>
  </r>
  <r>
    <s v="BC21623"/>
    <x v="208"/>
    <x v="11"/>
    <d v="1899-12-30T19:17:00"/>
    <s v="Burger Camp, Pune"/>
    <s v="Farhan Shaikh"/>
    <d v="2005-04-13T00:00:00"/>
    <x v="5"/>
    <n v="296"/>
    <n v="1"/>
    <n v="297"/>
    <s v="Cash "/>
    <x v="5"/>
    <s v="repeat customer"/>
  </r>
  <r>
    <s v="BC21624"/>
    <x v="122"/>
    <x v="5"/>
    <d v="1899-12-30T17:27:00"/>
    <s v="Burger Camp, Pune"/>
    <s v="Aarav Patil"/>
    <d v="2005-04-13T00:00:00"/>
    <x v="9"/>
    <n v="120"/>
    <n v="1"/>
    <n v="120"/>
    <s v="Wallet"/>
    <x v="2"/>
    <s v="repeat customer"/>
  </r>
  <r>
    <s v="BC21625"/>
    <x v="42"/>
    <x v="7"/>
    <d v="1899-12-30T19:55:00"/>
    <s v="Burger Camp, Pune"/>
    <s v="Aisha Naik"/>
    <d v="2004-12-16T00:00:00"/>
    <x v="22"/>
    <n v="110"/>
    <n v="1"/>
    <n v="111"/>
    <s v="Wallet"/>
    <x v="3"/>
    <s v="Custmer complaned"/>
  </r>
  <r>
    <s v="BC21626"/>
    <x v="172"/>
    <x v="3"/>
    <d v="1899-12-30T10:42:00"/>
    <s v="Burger Camp, Pune"/>
    <s v="Sneha More"/>
    <d v="1996-04-08T00:00:00"/>
    <x v="2"/>
    <n v="284"/>
    <n v="2"/>
    <n v="569"/>
    <s v="Wallet"/>
    <x v="2"/>
    <s v="No onion"/>
  </r>
  <r>
    <s v="BC21627"/>
    <x v="48"/>
    <x v="6"/>
    <d v="1899-12-30T16:56:00"/>
    <s v="Burger Camp, Pune"/>
    <s v="Farhan More"/>
    <d v="1996-04-08T00:00:00"/>
    <x v="23"/>
    <n v="48"/>
    <n v="1"/>
    <n v="49"/>
    <s v="Wallet"/>
    <x v="6"/>
    <s v="No onion"/>
  </r>
  <r>
    <s v="BC21628"/>
    <x v="151"/>
    <x v="11"/>
    <d v="1899-12-30T10:14:00"/>
    <s v="Burger Camp, Pune"/>
    <s v="Farhan More"/>
    <d v="2010-02-16T00:00:00"/>
    <x v="18"/>
    <n v="332"/>
    <n v="1"/>
    <n v="333"/>
    <s v="Wallet"/>
    <x v="0"/>
    <s v="No onion"/>
  </r>
  <r>
    <s v="BC21629"/>
    <x v="83"/>
    <x v="1"/>
    <d v="1899-12-30T12:05:05"/>
    <s v="Burger Camp, Pune"/>
    <s v="Pooja Khan"/>
    <d v="1972-09-05T00:00:00"/>
    <x v="8"/>
    <n v="41"/>
    <n v="1"/>
    <n v="42"/>
    <s v="Card"/>
    <x v="1"/>
    <s v="Less salt"/>
  </r>
  <r>
    <s v="BC21630"/>
    <x v="57"/>
    <x v="10"/>
    <d v="1899-12-30T18:58:00"/>
    <s v="Burger Camp, Pune"/>
    <s v="Farhan Khan"/>
    <d v="1975-09-10T00:00:00"/>
    <x v="25"/>
    <n v="134"/>
    <n v="2"/>
    <n v="269"/>
    <s v="Card"/>
    <x v="2"/>
    <s v="repeat customer"/>
  </r>
  <r>
    <s v="BC21631"/>
    <x v="22"/>
    <x v="7"/>
    <d v="1899-12-30T14:52:24"/>
    <s v="Burger Camp, Pune"/>
    <s v="Mubin Naik"/>
    <d v="1993-08-10T00:00:00"/>
    <x v="15"/>
    <n v="138"/>
    <n v="3"/>
    <m/>
    <s v="Wallet"/>
    <x v="1"/>
    <s v="repeat customer"/>
  </r>
  <r>
    <s v="BC21632"/>
    <x v="242"/>
    <x v="6"/>
    <d v="1899-12-30T13:38:00"/>
    <s v="Burger Camp, Pune"/>
    <s v="Zaid Gore"/>
    <d v="1986-09-08T00:00:00"/>
    <x v="25"/>
    <n v="293"/>
    <n v="1"/>
    <n v="294"/>
    <s v="Wallet"/>
    <x v="7"/>
    <s v="No onion"/>
  </r>
  <r>
    <s v="BC21633"/>
    <x v="74"/>
    <x v="8"/>
    <d v="1899-12-30T12:14:55"/>
    <s v="Burger Camp, Pune"/>
    <s v="Sneha Khan"/>
    <d v="2008-08-12T00:00:00"/>
    <x v="0"/>
    <n v="78"/>
    <n v="1"/>
    <n v="78"/>
    <s v="Card"/>
    <x v="5"/>
    <s v="No onion"/>
  </r>
  <r>
    <s v="BC21634"/>
    <x v="246"/>
    <x v="1"/>
    <d v="1899-12-30T20:29:23"/>
    <s v="Burger Camp, Pune"/>
    <s v="Kiran Kulkarni"/>
    <d v="1996-04-06T00:00:00"/>
    <x v="12"/>
    <n v="303"/>
    <n v="1"/>
    <n v="303"/>
    <s v="Cash "/>
    <x v="3"/>
    <s v="No onion"/>
  </r>
  <r>
    <s v="BC21635"/>
    <x v="360"/>
    <x v="3"/>
    <d v="1899-12-30T14:08:00"/>
    <s v="Burger Camp, Pune"/>
    <s v="Aarav Deshmukh"/>
    <d v="2007-12-21T00:00:00"/>
    <x v="17"/>
    <n v="141"/>
    <n v="1"/>
    <n v="22"/>
    <s v="Wallet"/>
    <x v="3"/>
    <s v="Custmer complaned"/>
  </r>
  <r>
    <s v="BC21636"/>
    <x v="157"/>
    <x v="8"/>
    <d v="1899-12-30T23:40:00"/>
    <s v="Burger Camp, Pune"/>
    <s v="Aarav Gore"/>
    <d v="1999-04-04T00:00:00"/>
    <x v="10"/>
    <n v="273"/>
    <n v="1"/>
    <n v="274"/>
    <s v="Wallet"/>
    <x v="0"/>
    <s v="No onion"/>
  </r>
  <r>
    <s v="BC21637"/>
    <x v="355"/>
    <x v="5"/>
    <d v="1899-12-30T19:32:00"/>
    <s v="Burger Camp, Pune"/>
    <s v="Sneha More"/>
    <d v="1988-11-20T00:00:00"/>
    <x v="4"/>
    <n v="165"/>
    <n v="2"/>
    <n v="330"/>
    <s v="Cash"/>
    <x v="1"/>
    <s v="No onion"/>
  </r>
  <r>
    <s v="BC21638"/>
    <x v="159"/>
    <x v="5"/>
    <d v="1899-12-30T14:01:00"/>
    <s v="Burger Camp, Pune"/>
    <s v="Pooja More"/>
    <d v="1978-04-04T00:00:00"/>
    <x v="21"/>
    <n v="181"/>
    <n v="2"/>
    <n v="363"/>
    <s v="Cash "/>
    <x v="6"/>
    <s v="No onion"/>
  </r>
  <r>
    <s v="BC21639"/>
    <x v="289"/>
    <x v="11"/>
    <d v="1899-12-30T18:04:55"/>
    <s v="Burger Camp, Pune"/>
    <s v="Riya Khan"/>
    <d v="2007-02-18T00:00:00"/>
    <x v="16"/>
    <n v="210"/>
    <n v="1"/>
    <n v="208"/>
    <s v="Cash "/>
    <x v="5"/>
    <s v="Servd late"/>
  </r>
  <r>
    <s v="BC21640"/>
    <x v="166"/>
    <x v="5"/>
    <d v="1899-12-30T20:18:00"/>
    <s v="Burger Camp, Pune"/>
    <s v="Sneha Shinde"/>
    <d v="2006-03-11T00:00:00"/>
    <x v="14"/>
    <n v="232"/>
    <n v="1"/>
    <n v="233"/>
    <s v="Cash "/>
    <x v="3"/>
    <s v="Less salt"/>
  </r>
  <r>
    <s v="BC21641"/>
    <x v="190"/>
    <x v="4"/>
    <d v="1899-12-30T16:27:28"/>
    <s v="Burger Camp, Pune"/>
    <s v="Aisha Patil"/>
    <d v="2000-07-03T00:00:00"/>
    <x v="10"/>
    <n v="342"/>
    <n v="2"/>
    <n v="685"/>
    <s v="Cash "/>
    <x v="6"/>
    <s v="Less salt"/>
  </r>
  <r>
    <s v="BC21642"/>
    <x v="37"/>
    <x v="5"/>
    <d v="1899-12-30T17:05:00"/>
    <s v="Burger Camp, Pune"/>
    <s v="Zaid Khan"/>
    <d v="2002-10-16T00:00:00"/>
    <x v="6"/>
    <n v="119"/>
    <n v="2"/>
    <n v="238"/>
    <s v="Cash"/>
    <x v="1"/>
    <s v="Servd late"/>
  </r>
  <r>
    <s v="BC21643"/>
    <x v="130"/>
    <x v="5"/>
    <d v="1899-12-30T13:53:40"/>
    <s v="Burger Camp, Pune"/>
    <s v="Zara Khan"/>
    <d v="2005-01-17T00:00:00"/>
    <x v="18"/>
    <n v="219"/>
    <n v="3"/>
    <n v="659"/>
    <s v="Cash"/>
    <x v="7"/>
    <s v="Spicy"/>
  </r>
  <r>
    <s v="BC21644"/>
    <x v="205"/>
    <x v="1"/>
    <d v="1899-12-30T20:37:00"/>
    <s v="Burger Camp, Pune"/>
    <s v="Aisha Naik"/>
    <d v="2000-06-13T00:00:00"/>
    <x v="1"/>
    <n v="273"/>
    <n v="1"/>
    <n v="274"/>
    <s v="Card"/>
    <x v="2"/>
    <s v="Spicy"/>
  </r>
  <r>
    <s v="BC21645"/>
    <x v="197"/>
    <x v="11"/>
    <d v="1899-12-30T17:33:00"/>
    <s v="Burger Camp, Pune"/>
    <s v="Anil Shinde"/>
    <d v="2008-04-22T00:00:00"/>
    <x v="24"/>
    <n v="273"/>
    <n v="1"/>
    <n v="274"/>
    <s v="UPI"/>
    <x v="2"/>
    <s v="repeat customer"/>
  </r>
  <r>
    <s v="BC21646"/>
    <x v="19"/>
    <x v="8"/>
    <d v="1899-12-30T15:28:03"/>
    <s v="Burger Camp, Pune"/>
    <s v="riya patil"/>
    <d v="2008-04-22T00:00:00"/>
    <x v="17"/>
    <n v="126"/>
    <n v="2"/>
    <n v="253"/>
    <s v="UPI"/>
    <x v="6"/>
    <s v="Servd late"/>
  </r>
  <r>
    <s v="BC21647"/>
    <x v="323"/>
    <x v="2"/>
    <d v="1899-12-30T19:49:00"/>
    <s v="Burger Camp, Pune"/>
    <s v="Sneha Kulkarni"/>
    <d v="1974-02-15T00:00:00"/>
    <x v="21"/>
    <n v="217"/>
    <n v="1"/>
    <n v="218"/>
    <s v="Card"/>
    <x v="0"/>
    <s v="Spicy"/>
  </r>
  <r>
    <s v="BC21648"/>
    <x v="110"/>
    <x v="4"/>
    <d v="1899-12-30T17:19:00"/>
    <s v="Burger Camp, Pune"/>
    <s v="mubin khan"/>
    <d v="1991-12-12T00:00:00"/>
    <x v="15"/>
    <n v="74"/>
    <n v="1"/>
    <n v="74"/>
    <s v="Cash"/>
    <x v="2"/>
    <s v="Less salt"/>
  </r>
  <r>
    <s v="BC21649"/>
    <x v="265"/>
    <x v="4"/>
    <d v="1899-12-30T10:53:00"/>
    <s v="Burger Camp, Pune"/>
    <s v="Aarav Patil"/>
    <d v="1977-03-23T00:00:00"/>
    <x v="16"/>
    <n v="151"/>
    <n v="1"/>
    <n v="152"/>
    <s v="Cash "/>
    <x v="1"/>
    <s v="Extra cheese"/>
  </r>
  <r>
    <s v="BC21650"/>
    <x v="112"/>
    <x v="9"/>
    <d v="1899-12-30T19:33:57"/>
    <s v="Burger Camp, Pune"/>
    <s v="Mubin Khan"/>
    <d v="2009-05-03T00:00:00"/>
    <x v="5"/>
    <n v="330"/>
    <n v="2"/>
    <n v="661"/>
    <s v="UPI"/>
    <x v="6"/>
    <s v="Spicy"/>
  </r>
  <r>
    <s v="BC21651"/>
    <x v="17"/>
    <x v="3"/>
    <d v="1899-12-30T10:55:00"/>
    <s v="Burger Camp, Pune"/>
    <s v="Farhan Naik"/>
    <d v="2008-07-11T00:00:00"/>
    <x v="15"/>
    <n v="277"/>
    <n v="2"/>
    <n v="555"/>
    <s v="Card"/>
    <x v="5"/>
    <s v="Spicy"/>
  </r>
  <r>
    <s v="BC21652"/>
    <x v="185"/>
    <x v="10"/>
    <d v="1899-12-30T20:49:08"/>
    <s v="Burger Camp, Pune"/>
    <s v="Riya Joshi"/>
    <d v="1977-11-15T00:00:00"/>
    <x v="11"/>
    <n v="153"/>
    <n v="1"/>
    <n v="116"/>
    <s v="UPI"/>
    <x v="6"/>
    <s v="repeat customer"/>
  </r>
  <r>
    <s v="BC21653"/>
    <x v="286"/>
    <x v="4"/>
    <d v="1899-12-30T12:32:47"/>
    <s v="Burger Camp, Pune"/>
    <s v="Rahul Khan"/>
    <d v="1973-01-27T00:00:00"/>
    <x v="8"/>
    <n v="43"/>
    <n v="3"/>
    <n v="131"/>
    <s v="Cash "/>
    <x v="1"/>
    <s v="Extra cheese"/>
  </r>
  <r>
    <s v="BC21654"/>
    <x v="91"/>
    <x v="10"/>
    <d v="1899-12-30T11:26:00"/>
    <s v="Burger Camp, Pune"/>
    <s v="Farhan Naik"/>
    <d v="2010-09-28T00:00:00"/>
    <x v="0"/>
    <n v="99"/>
    <n v="1"/>
    <n v="100"/>
    <s v="Cash "/>
    <x v="4"/>
    <s v="Spicy"/>
  </r>
  <r>
    <s v="BC21655"/>
    <x v="280"/>
    <x v="8"/>
    <d v="1899-12-30T16:20:00"/>
    <s v="Burger Camp, Pune"/>
    <s v="Rahul Naik"/>
    <d v="2008-05-14T00:00:00"/>
    <x v="25"/>
    <n v="175"/>
    <n v="2"/>
    <n v="352"/>
    <s v="UPI"/>
    <x v="4"/>
    <s v="Spicy"/>
  </r>
  <r>
    <s v="BC21656"/>
    <x v="173"/>
    <x v="7"/>
    <d v="1899-12-30T21:15:13"/>
    <s v="Burger Camp, Pune"/>
    <s v="Zaid Deshmukh"/>
    <d v="1978-09-20T00:00:00"/>
    <x v="17"/>
    <n v="144"/>
    <n v="1"/>
    <n v="144"/>
    <s v="UPI"/>
    <x v="0"/>
    <s v="No onion"/>
  </r>
  <r>
    <s v="BC21657"/>
    <x v="300"/>
    <x v="6"/>
    <d v="1899-12-30T20:29:00"/>
    <s v="Burger Camp, Pune"/>
    <s v="Mubin Naik"/>
    <d v="1975-06-24T00:00:00"/>
    <x v="4"/>
    <n v="173"/>
    <n v="2"/>
    <n v="396"/>
    <s v="Wallet"/>
    <x v="6"/>
    <s v="Servd late"/>
  </r>
  <r>
    <s v="BC21658"/>
    <x v="130"/>
    <x v="5"/>
    <d v="1899-12-30T23:47:00"/>
    <s v="Burger Camp, Pune"/>
    <s v="mubin shinde"/>
    <d v="2008-09-27T00:00:00"/>
    <x v="21"/>
    <n v="165"/>
    <n v="1"/>
    <n v="165"/>
    <s v="Wallet"/>
    <x v="5"/>
    <s v="Servd late"/>
  </r>
  <r>
    <s v="BC21659"/>
    <x v="280"/>
    <x v="8"/>
    <d v="1899-12-30T12:55:25"/>
    <s v="Burger Camp, Pune"/>
    <s v="Zaid Joshi"/>
    <d v="1989-04-03T00:00:00"/>
    <x v="19"/>
    <n v="269"/>
    <n v="1"/>
    <n v="270"/>
    <s v="Cash "/>
    <x v="0"/>
    <s v="No onion"/>
  </r>
  <r>
    <s v="BC21660"/>
    <x v="310"/>
    <x v="10"/>
    <d v="1899-12-30T23:57:00"/>
    <s v="Burger Camp, Pune"/>
    <s v="Aisha Shaikh"/>
    <d v="1978-12-18T00:00:00"/>
    <x v="5"/>
    <n v="208"/>
    <n v="3"/>
    <n v="626"/>
    <s v="Cash "/>
    <x v="2"/>
    <s v="No onion"/>
  </r>
  <r>
    <s v="BC21661"/>
    <x v="284"/>
    <x v="6"/>
    <d v="1899-12-30T12:59:51"/>
    <s v="Burger Camp, Pune"/>
    <s v=" Farhan Shinde "/>
    <d v="1978-12-18T00:00:00"/>
    <x v="12"/>
    <n v="252"/>
    <n v="2"/>
    <n v="504"/>
    <s v="Cash"/>
    <x v="2"/>
    <s v="No onion"/>
  </r>
  <r>
    <s v="BC21662"/>
    <x v="175"/>
    <x v="11"/>
    <d v="1899-12-30T16:59:00"/>
    <s v="Burger Camp, Pune"/>
    <s v="Zaid Gore"/>
    <d v="1978-12-18T00:00:00"/>
    <x v="25"/>
    <n v="194"/>
    <n v="2"/>
    <n v="389"/>
    <s v="Cash"/>
    <x v="4"/>
    <s v="No onion"/>
  </r>
  <r>
    <s v="BC21663"/>
    <x v="236"/>
    <x v="8"/>
    <d v="1899-12-30T14:23:00"/>
    <s v="Burger Camp, Pune"/>
    <s v="Pooja Khan"/>
    <d v="1977-02-15T00:00:00"/>
    <x v="8"/>
    <n v="38"/>
    <n v="2"/>
    <n v="78"/>
    <s v="Cash"/>
    <x v="1"/>
    <s v="No onion"/>
  </r>
  <r>
    <s v="BC21664"/>
    <x v="11"/>
    <x v="5"/>
    <d v="1899-12-30T15:57:00"/>
    <s v="Burger Camp, Pune"/>
    <s v="Rahul Gore"/>
    <d v="1992-05-18T00:00:00"/>
    <x v="2"/>
    <n v="277"/>
    <n v="1"/>
    <n v="277"/>
    <s v="UPI"/>
    <x v="6"/>
    <s v="No onion"/>
  </r>
  <r>
    <s v="BC21665"/>
    <x v="185"/>
    <x v="10"/>
    <d v="1899-12-30T17:21:06"/>
    <s v="Burger Camp, Pune"/>
    <s v="Riya Deshmukh"/>
    <d v="1973-12-19T00:00:00"/>
    <x v="6"/>
    <n v="108"/>
    <n v="2"/>
    <n v="217"/>
    <s v="Cash "/>
    <x v="7"/>
    <s v="No onion"/>
  </r>
  <r>
    <s v="BC21666"/>
    <x v="290"/>
    <x v="9"/>
    <d v="1899-12-30T13:06:00"/>
    <s v="Burger Camp, Pune"/>
    <s v="Mubin Shinde"/>
    <d v="2004-06-10T00:00:00"/>
    <x v="6"/>
    <n v="113"/>
    <n v="1"/>
    <n v="113"/>
    <s v="Card"/>
    <x v="2"/>
    <s v="Spicy"/>
  </r>
  <r>
    <s v="BC21667"/>
    <x v="145"/>
    <x v="8"/>
    <d v="1899-12-30T16:52:22"/>
    <s v="Burger Camp, Pune"/>
    <s v="Mubin Joshi"/>
    <d v="1998-12-26T00:00:00"/>
    <x v="18"/>
    <n v="210"/>
    <n v="2"/>
    <n v="422"/>
    <s v="Card"/>
    <x v="6"/>
    <s v="Spicy"/>
  </r>
  <r>
    <s v="BC21668"/>
    <x v="147"/>
    <x v="10"/>
    <d v="1899-12-30T16:52:00"/>
    <s v="Burger Camp, Pune"/>
    <s v="Farhan Shaikh"/>
    <d v="1985-04-25T00:00:00"/>
    <x v="15"/>
    <n v="229"/>
    <n v="2"/>
    <n v="459"/>
    <s v="Card"/>
    <x v="5"/>
    <s v="Spicy"/>
  </r>
  <r>
    <s v="BC21669"/>
    <x v="112"/>
    <x v="9"/>
    <d v="1899-12-30T16:36:00"/>
    <s v="Burger Camp, Pune"/>
    <s v="Farhan Khan"/>
    <d v="1979-07-03T00:00:00"/>
    <x v="11"/>
    <n v="185"/>
    <n v="2"/>
    <n v="418"/>
    <s v="Wallet"/>
    <x v="0"/>
    <s v="Spicy"/>
  </r>
  <r>
    <s v="BC21670"/>
    <x v="78"/>
    <x v="10"/>
    <d v="1899-12-30T15:37:50"/>
    <s v="Burger Camp, Pune"/>
    <s v="aarav khan"/>
    <d v="1979-01-17T00:00:00"/>
    <x v="7"/>
    <n v="301"/>
    <n v="1"/>
    <n v="301"/>
    <s v="Wallet"/>
    <x v="3"/>
    <s v="No onion"/>
  </r>
  <r>
    <s v="BC21671"/>
    <x v="64"/>
    <x v="9"/>
    <d v="1899-12-30T23:33:04"/>
    <s v="Burger Camp, Pune"/>
    <s v="Aisha Shinde"/>
    <d v="1976-09-02T00:00:00"/>
    <x v="11"/>
    <n v="187"/>
    <n v="1"/>
    <n v="188"/>
    <s v="UPI"/>
    <x v="0"/>
    <s v="Servd late"/>
  </r>
  <r>
    <s v="BC21672"/>
    <x v="172"/>
    <x v="3"/>
    <d v="1899-12-30T13:04:00"/>
    <s v="Burger Camp, Pune"/>
    <s v="Zara More"/>
    <d v="1977-04-11T00:00:00"/>
    <x v="23"/>
    <n v="335"/>
    <n v="3"/>
    <n v="1008"/>
    <s v="UPI"/>
    <x v="2"/>
    <s v="No onion"/>
  </r>
  <r>
    <s v="BC21673"/>
    <x v="108"/>
    <x v="9"/>
    <d v="1899-12-30T17:10:00"/>
    <s v="Burger Camp, Pune"/>
    <s v="Farhan Naik"/>
    <d v="1981-09-03T00:00:00"/>
    <x v="21"/>
    <n v="178"/>
    <n v="2"/>
    <n v="358"/>
    <s v="UPI"/>
    <x v="2"/>
    <s v="No onion"/>
  </r>
  <r>
    <s v="BC21674"/>
    <x v="63"/>
    <x v="10"/>
    <d v="1899-12-30T16:44:20"/>
    <s v="Burger Camp, Pune"/>
    <s v="Aisha Naik"/>
    <d v="2001-04-20T00:00:00"/>
    <x v="16"/>
    <n v="184"/>
    <n v="1"/>
    <n v="185"/>
    <s v="UPI"/>
    <x v="2"/>
    <s v="Extra cheese"/>
  </r>
  <r>
    <s v="BC21675"/>
    <x v="15"/>
    <x v="2"/>
    <d v="1899-12-30T15:44:00"/>
    <s v="Burger Camp, Pune"/>
    <s v="Zara Deshmukh"/>
    <d v="2001-05-10T00:00:00"/>
    <x v="25"/>
    <n v="292"/>
    <n v="1"/>
    <n v="293"/>
    <s v="UPI"/>
    <x v="6"/>
    <s v="repeat customer"/>
  </r>
  <r>
    <s v="BC21676"/>
    <x v="112"/>
    <x v="9"/>
    <d v="1899-12-30T21:49:02"/>
    <s v="Burger Camp, Pune"/>
    <s v="Pooja Khan"/>
    <d v="1984-04-13T00:00:00"/>
    <x v="1"/>
    <n v="279"/>
    <n v="1"/>
    <n v="280"/>
    <s v="Cash"/>
    <x v="5"/>
    <s v="Less salt"/>
  </r>
  <r>
    <s v="BC21677"/>
    <x v="254"/>
    <x v="0"/>
    <d v="1899-12-30T10:39:00"/>
    <s v="Burger Camp, Pune"/>
    <s v="Farhan Kulkarni"/>
    <d v="1977-08-07T00:00:00"/>
    <x v="19"/>
    <n v="320"/>
    <n v="2"/>
    <n v="641"/>
    <s v="Cash"/>
    <x v="6"/>
    <s v="Less salt"/>
  </r>
  <r>
    <s v="BC21678"/>
    <x v="5"/>
    <x v="2"/>
    <d v="1899-12-30T15:54:00"/>
    <s v="Burger Camp, Pune"/>
    <s v="Aisha More"/>
    <d v="1999-12-19T00:00:00"/>
    <x v="8"/>
    <n v="37"/>
    <n v="3"/>
    <n v="112"/>
    <s v="Wallet"/>
    <x v="3"/>
    <s v="Less salt"/>
  </r>
  <r>
    <s v="BC21679"/>
    <x v="254"/>
    <x v="0"/>
    <d v="1899-12-30T16:33:54"/>
    <s v="Burger Camp, Pune"/>
    <s v="Rahul Gore"/>
    <d v="1971-01-08T00:00:00"/>
    <x v="1"/>
    <n v="281"/>
    <n v="2"/>
    <n v="562"/>
    <s v="Wallet"/>
    <x v="4"/>
    <s v="Servd late"/>
  </r>
  <r>
    <s v="BC21680"/>
    <x v="348"/>
    <x v="8"/>
    <d v="1899-12-30T19:23:30"/>
    <s v="Burger Camp, Pune"/>
    <s v="Aarav Joshi"/>
    <d v="2006-07-28T00:00:00"/>
    <x v="10"/>
    <n v="203"/>
    <n v="1"/>
    <n v="203"/>
    <s v="UPI"/>
    <x v="6"/>
    <s v="repeat customer"/>
  </r>
  <r>
    <s v="BC21681"/>
    <x v="21"/>
    <x v="8"/>
    <d v="1899-12-30T15:19:40"/>
    <s v="Burger Camp, Pune"/>
    <s v="Zaid Shaikh"/>
    <d v="1977-06-24T00:00:00"/>
    <x v="5"/>
    <n v="52"/>
    <n v="1"/>
    <n v="101"/>
    <s v="Cash"/>
    <x v="7"/>
    <s v="Extra cheese"/>
  </r>
  <r>
    <s v="BC21682"/>
    <x v="241"/>
    <x v="5"/>
    <d v="1899-12-30T11:43:00"/>
    <s v="Burger Camp, Pune"/>
    <s v="Riya Deshmukh"/>
    <d v="1985-08-24T00:00:00"/>
    <x v="19"/>
    <n v="272"/>
    <n v="1"/>
    <n v="272"/>
    <s v="Cash"/>
    <x v="7"/>
    <s v="Spicy"/>
  </r>
  <r>
    <s v="BC21683"/>
    <x v="181"/>
    <x v="0"/>
    <d v="1899-12-30T10:52:06"/>
    <s v="Burger Camp, Pune"/>
    <s v="Sneha More"/>
    <d v="1978-02-23T00:00:00"/>
    <x v="25"/>
    <n v="137"/>
    <n v="2"/>
    <n v="275"/>
    <s v="UPI"/>
    <x v="2"/>
    <s v="No onion"/>
  </r>
  <r>
    <s v="BC21684"/>
    <x v="230"/>
    <x v="6"/>
    <d v="1899-12-30T17:05:17"/>
    <s v="Burger Camp, Pune"/>
    <s v="Pooja Khan"/>
    <d v="2004-12-14T00:00:00"/>
    <x v="24"/>
    <n v="138"/>
    <n v="3"/>
    <n v="416"/>
    <s v="Card"/>
    <x v="6"/>
    <s v="repeat customer"/>
  </r>
  <r>
    <s v="BC21685"/>
    <x v="230"/>
    <x v="6"/>
    <d v="1899-12-30T23:48:00"/>
    <s v="Burger Camp, Pune"/>
    <s v="Aarav Khan"/>
    <d v="2006-07-25T00:00:00"/>
    <x v="2"/>
    <n v="207"/>
    <n v="2"/>
    <n v="414"/>
    <s v="Cash "/>
    <x v="1"/>
    <s v="repeat customer"/>
  </r>
  <r>
    <s v="BC21686"/>
    <x v="25"/>
    <x v="9"/>
    <d v="1899-12-30T19:41:32"/>
    <s v="Burger Camp, Pune"/>
    <s v="Aisha Naik"/>
    <d v="1981-01-07T00:00:00"/>
    <x v="18"/>
    <n v="73"/>
    <n v="2"/>
    <n v="146"/>
    <s v="UPI"/>
    <x v="2"/>
    <s v="Less salt"/>
  </r>
  <r>
    <s v="BC21687"/>
    <x v="197"/>
    <x v="11"/>
    <d v="1899-12-30T21:26:00"/>
    <s v="Burger Camp, Pune"/>
    <s v="Aarav Kulkarni"/>
    <d v="1981-06-15T00:00:00"/>
    <x v="10"/>
    <n v="299"/>
    <n v="2"/>
    <n v="598"/>
    <s v="UPI"/>
    <x v="0"/>
    <s v="repeat customer"/>
  </r>
  <r>
    <s v="BC21688"/>
    <x v="18"/>
    <x v="8"/>
    <d v="1899-12-30T17:28:00"/>
    <s v="Burger Camp, Pune"/>
    <s v="Riya Kulkarni"/>
    <d v="2002-01-16T00:00:00"/>
    <x v="13"/>
    <n v="95"/>
    <n v="1"/>
    <n v="96"/>
    <s v="Wallet"/>
    <x v="4"/>
    <s v="repeat customer"/>
  </r>
  <r>
    <s v="BC21689"/>
    <x v="66"/>
    <x v="7"/>
    <d v="1899-12-30T23:27:00"/>
    <s v="Burger Camp, Pune"/>
    <s v="Riya Kulkarni"/>
    <d v="2007-09-05T00:00:00"/>
    <x v="5"/>
    <n v="284"/>
    <n v="3"/>
    <n v="854"/>
    <s v="Wallet"/>
    <x v="6"/>
    <s v="repeat customer"/>
  </r>
  <r>
    <s v="BC21690"/>
    <x v="158"/>
    <x v="4"/>
    <d v="1899-12-30T12:07:00"/>
    <s v="Burger Camp, Pune"/>
    <s v="Rahul Khan"/>
    <d v="2008-07-01T00:00:00"/>
    <x v="1"/>
    <n v="245"/>
    <n v="1"/>
    <n v="246"/>
    <s v="Wallet"/>
    <x v="0"/>
    <s v="repeat customer"/>
  </r>
  <r>
    <s v="BC21691"/>
    <x v="254"/>
    <x v="0"/>
    <d v="1899-12-30T11:34:00"/>
    <s v="Burger Camp, Pune"/>
    <s v="Aarav Shinde"/>
    <d v="1997-09-26T00:00:00"/>
    <x v="13"/>
    <n v="92"/>
    <n v="2"/>
    <n v="184"/>
    <s v="Wallet"/>
    <x v="4"/>
    <s v="repeat customer"/>
  </r>
  <r>
    <s v="BC21692"/>
    <x v="299"/>
    <x v="1"/>
    <d v="1899-12-30T22:38:00"/>
    <s v="Burger Camp, Pune"/>
    <s v="Rahul Deshmukh"/>
    <d v="1997-09-26T00:00:00"/>
    <x v="0"/>
    <n v="109"/>
    <n v="1"/>
    <n v="110"/>
    <s v="Card"/>
    <x v="5"/>
    <s v="Extra cheese"/>
  </r>
  <r>
    <s v="BC21693"/>
    <x v="28"/>
    <x v="4"/>
    <d v="1899-12-30T23:14:00"/>
    <s v="Burger Camp, Pune"/>
    <s v="Aisha Shinde"/>
    <d v="1970-01-19T00:00:00"/>
    <x v="23"/>
    <n v="235"/>
    <n v="3"/>
    <n v="722"/>
    <s v="Wallet"/>
    <x v="2"/>
    <s v="Extra cheese"/>
  </r>
  <r>
    <s v="BC21694"/>
    <x v="97"/>
    <x v="1"/>
    <d v="1899-12-30T22:20:15"/>
    <s v="Burger Camp, Pune"/>
    <s v="Anil Gore"/>
    <d v="1973-08-16T00:00:00"/>
    <x v="20"/>
    <n v="242"/>
    <n v="1"/>
    <n v="243"/>
    <s v="UPI"/>
    <x v="6"/>
    <s v="Extra cheese"/>
  </r>
  <r>
    <s v="BC21695"/>
    <x v="250"/>
    <x v="3"/>
    <d v="1899-12-30T21:03:54"/>
    <s v="Burger Camp, Pune"/>
    <s v="Zaid Gore"/>
    <d v="1997-12-19T00:00:00"/>
    <x v="4"/>
    <n v="173"/>
    <n v="1"/>
    <n v="173"/>
    <s v="Cash"/>
    <x v="6"/>
    <s v="Servd late"/>
  </r>
  <r>
    <s v="BC21696"/>
    <x v="214"/>
    <x v="11"/>
    <d v="1899-12-30T19:54:00"/>
    <s v="Burger Camp, Pune"/>
    <s v="Kiran Shaikh"/>
    <d v="1992-10-08T00:00:00"/>
    <x v="13"/>
    <n v="105"/>
    <n v="3"/>
    <n v="318"/>
    <s v="Wallet"/>
    <x v="2"/>
    <s v="No onion"/>
  </r>
  <r>
    <s v="BC21697"/>
    <x v="47"/>
    <x v="4"/>
    <d v="1899-12-30T13:03:00"/>
    <s v="Burger Camp, Pune"/>
    <s v="Mubin Shinde"/>
    <d v="1972-08-01T00:00:00"/>
    <x v="21"/>
    <n v="237"/>
    <n v="2"/>
    <n v="475"/>
    <s v="Card"/>
    <x v="1"/>
    <s v="No onion"/>
  </r>
  <r>
    <s v="BC21698"/>
    <x v="19"/>
    <x v="8"/>
    <d v="1899-12-30T19:50:00"/>
    <s v="Burger Camp, Pune"/>
    <s v="rahul patil"/>
    <d v="2004-08-26T00:00:00"/>
    <x v="18"/>
    <n v="165"/>
    <n v="2"/>
    <n v="330"/>
    <s v="Wallet"/>
    <x v="1"/>
    <s v="No onion"/>
  </r>
  <r>
    <s v="BC21699"/>
    <x v="338"/>
    <x v="8"/>
    <d v="1899-12-30T14:44:00"/>
    <s v="Burger Camp, Pune"/>
    <s v="Farhan Kulkarni"/>
    <d v="2009-09-03T00:00:00"/>
    <x v="5"/>
    <n v="44"/>
    <n v="1"/>
    <n v="45"/>
    <s v="Wallet"/>
    <x v="7"/>
    <s v="No onion"/>
  </r>
  <r>
    <s v="BC21700"/>
    <x v="186"/>
    <x v="4"/>
    <d v="1899-12-30T16:09:00"/>
    <s v="Burger Camp, Pune"/>
    <s v="Aisha Khan"/>
    <d v="1970-10-21T00:00:00"/>
    <x v="12"/>
    <n v="232"/>
    <n v="2"/>
    <n v="465"/>
    <s v="Cash"/>
    <x v="2"/>
    <s v="Extra cheese"/>
  </r>
  <r>
    <s v="BC21701"/>
    <x v="205"/>
    <x v="1"/>
    <d v="1899-12-30T20:23:44"/>
    <s v="Burger Camp, Pune"/>
    <s v="Zaid Shinde"/>
    <d v="1983-08-19T00:00:00"/>
    <x v="13"/>
    <n v="101"/>
    <n v="3"/>
    <n v="304"/>
    <s v="Cash"/>
    <x v="1"/>
    <s v="Extra cheese"/>
  </r>
  <r>
    <s v="BC21702"/>
    <x v="3"/>
    <x v="3"/>
    <d v="1899-12-30T17:04:58"/>
    <s v="Burger Camp, Pune"/>
    <s v="Sneha Naik"/>
    <d v="1975-02-03T00:00:00"/>
    <x v="0"/>
    <n v="91"/>
    <n v="1"/>
    <n v="91"/>
    <s v="Wallet"/>
    <x v="1"/>
    <s v="Custmer complaned"/>
  </r>
  <r>
    <s v="BC21703"/>
    <x v="307"/>
    <x v="1"/>
    <d v="1899-12-30T17:34:00"/>
    <s v="Burger Camp, Pune"/>
    <s v="Riya Naik"/>
    <d v="1981-09-15T00:00:00"/>
    <x v="8"/>
    <n v="51"/>
    <n v="3"/>
    <n v="110"/>
    <s v="Card"/>
    <x v="4"/>
    <s v="Custmer complaned"/>
  </r>
  <r>
    <s v="BC21704"/>
    <x v="31"/>
    <x v="3"/>
    <d v="1899-12-30T23:57:00"/>
    <s v="Burger Camp, Pune"/>
    <s v="Farhan Naik"/>
    <d v="1991-08-18T00:00:00"/>
    <x v="9"/>
    <n v="151"/>
    <n v="1"/>
    <n v="151"/>
    <s v="UPI"/>
    <x v="1"/>
    <s v="Servd late"/>
  </r>
  <r>
    <s v="BC21705"/>
    <x v="16"/>
    <x v="7"/>
    <d v="1899-12-30T10:00:55"/>
    <s v="Burger Camp, Pune"/>
    <s v="Farhan Deshmukh"/>
    <d v="1995-07-18T00:00:00"/>
    <x v="10"/>
    <n v="48"/>
    <n v="2"/>
    <n v="97"/>
    <s v="Wallet"/>
    <x v="7"/>
    <s v="Custmer complaned"/>
  </r>
  <r>
    <s v="BC21706"/>
    <x v="288"/>
    <x v="3"/>
    <d v="1899-12-30T23:27:00"/>
    <s v="Burger Camp, Pune"/>
    <s v="Zaid Deshmukh"/>
    <d v="1989-10-21T00:00:00"/>
    <x v="5"/>
    <n v="101"/>
    <n v="2"/>
    <n v="203"/>
    <s v="Wallet"/>
    <x v="2"/>
    <s v="repeat customer"/>
  </r>
  <r>
    <s v="BC21707"/>
    <x v="30"/>
    <x v="3"/>
    <d v="1899-12-30T10:10:00"/>
    <s v="Burger Camp, Pune"/>
    <s v="Anil More"/>
    <d v="2006-04-15T00:00:00"/>
    <x v="14"/>
    <n v="98"/>
    <n v="2"/>
    <n v="196"/>
    <s v="Cash "/>
    <x v="4"/>
    <s v="No onion"/>
  </r>
  <r>
    <s v="BC21708"/>
    <x v="223"/>
    <x v="7"/>
    <d v="1899-12-30T21:43:43"/>
    <s v="Burger Camp, Pune"/>
    <s v="Anil Khan"/>
    <d v="1987-01-28T00:00:00"/>
    <x v="25"/>
    <n v="85"/>
    <n v="1"/>
    <n v="86"/>
    <s v="Card"/>
    <x v="1"/>
    <s v="No onion"/>
  </r>
  <r>
    <s v="BC21709"/>
    <x v="138"/>
    <x v="2"/>
    <d v="1899-12-30T14:21:00"/>
    <s v="Burger Camp, Pune"/>
    <s v="Zara Patil"/>
    <d v="1991-12-12T00:00:00"/>
    <x v="8"/>
    <n v="52"/>
    <n v="1"/>
    <n v="53"/>
    <s v="Wallet"/>
    <x v="6"/>
    <s v="Servd late"/>
  </r>
  <r>
    <s v="BC21710"/>
    <x v="138"/>
    <x v="2"/>
    <d v="1899-12-30T23:23:00"/>
    <s v="Burger Camp, Pune"/>
    <s v="Mubin Naik"/>
    <d v="1994-11-10T00:00:00"/>
    <x v="18"/>
    <n v="153"/>
    <n v="2"/>
    <n v="307"/>
    <s v="Card"/>
    <x v="7"/>
    <s v="Servd late"/>
  </r>
  <r>
    <s v="BC21711"/>
    <x v="39"/>
    <x v="3"/>
    <d v="1899-12-30T11:17:00"/>
    <s v="Burger Camp, Pune"/>
    <s v="Kiran Shinde"/>
    <d v="2004-08-28T00:00:00"/>
    <x v="8"/>
    <n v="50"/>
    <n v="2"/>
    <n v="101"/>
    <s v="UPI"/>
    <x v="6"/>
    <s v="Spicy"/>
  </r>
  <r>
    <s v="BC21712"/>
    <x v="66"/>
    <x v="7"/>
    <d v="1899-12-30T23:38:00"/>
    <s v="Burger Camp, Pune"/>
    <s v="Pooja Khan"/>
    <d v="1994-05-09T00:00:00"/>
    <x v="13"/>
    <n v="107"/>
    <n v="1"/>
    <n v="80"/>
    <s v="UPI"/>
    <x v="4"/>
    <s v="Spicy"/>
  </r>
  <r>
    <s v="BC21713"/>
    <x v="293"/>
    <x v="4"/>
    <d v="1899-12-30T22:31:14"/>
    <s v="Burger Camp, Pune"/>
    <s v="zara shinde"/>
    <d v="1979-11-13T00:00:00"/>
    <x v="2"/>
    <n v="244"/>
    <n v="2"/>
    <n v="489"/>
    <s v="UPI"/>
    <x v="4"/>
    <s v="Custmer complaned"/>
  </r>
  <r>
    <s v="BC21714"/>
    <x v="307"/>
    <x v="1"/>
    <d v="1899-12-30T22:39:37"/>
    <s v="Burger Camp, Pune"/>
    <s v="Anil Patil"/>
    <d v="1973-12-01T00:00:00"/>
    <x v="15"/>
    <n v="236"/>
    <n v="3"/>
    <n v="709"/>
    <s v="UPI"/>
    <x v="2"/>
    <s v="repeat customer"/>
  </r>
  <r>
    <s v="BC21715"/>
    <x v="235"/>
    <x v="10"/>
    <d v="1899-12-30T21:23:59"/>
    <s v="Burger Camp, Pune"/>
    <s v="sneha deshmukh"/>
    <d v="2004-11-19T00:00:00"/>
    <x v="9"/>
    <n v="144"/>
    <n v="1"/>
    <n v="145"/>
    <s v="UPI"/>
    <x v="7"/>
    <s v="repeat customer"/>
  </r>
  <r>
    <s v="BC21716"/>
    <x v="34"/>
    <x v="1"/>
    <d v="1899-12-30T19:28:29"/>
    <s v="Burger Camp, Pune"/>
    <s v="Zaid Shinde"/>
    <d v="2002-11-20T00:00:00"/>
    <x v="8"/>
    <n v="44"/>
    <n v="1"/>
    <n v="44"/>
    <s v="UPI"/>
    <x v="2"/>
    <s v="Less salt"/>
  </r>
  <r>
    <s v="BC21717"/>
    <x v="181"/>
    <x v="0"/>
    <d v="1899-12-30T12:04:19"/>
    <s v="Burger Camp, Pune"/>
    <s v="Aisha Kulkarni"/>
    <d v="1988-11-25T00:00:00"/>
    <x v="9"/>
    <n v="308"/>
    <n v="3"/>
    <n v="927"/>
    <s v="Wallet"/>
    <x v="2"/>
    <s v="Spicy"/>
  </r>
  <r>
    <s v="BC21718"/>
    <x v="341"/>
    <x v="5"/>
    <d v="1899-12-30T13:43:18"/>
    <s v="Burger Camp, Pune"/>
    <s v="Zaid Khan"/>
    <d v="2004-12-19T00:00:00"/>
    <x v="14"/>
    <n v="290"/>
    <n v="1"/>
    <n v="290"/>
    <s v="UPI"/>
    <x v="3"/>
    <s v="No onion"/>
  </r>
  <r>
    <s v="BC21719"/>
    <x v="71"/>
    <x v="3"/>
    <d v="1899-12-30T15:06:00"/>
    <s v="Burger Camp, Pune"/>
    <s v="Zaid Gore"/>
    <d v="1979-09-12T00:00:00"/>
    <x v="0"/>
    <n v="97"/>
    <n v="1"/>
    <n v="97"/>
    <s v="Card"/>
    <x v="1"/>
    <s v="repeat customer"/>
  </r>
  <r>
    <s v="BC21720"/>
    <x v="167"/>
    <x v="4"/>
    <d v="1899-12-30T17:35:00"/>
    <s v="Burger Camp, Pune"/>
    <s v="Mubin Shaikh"/>
    <d v="1976-04-06T00:00:00"/>
    <x v="2"/>
    <n v="245"/>
    <n v="3"/>
    <n v="737"/>
    <s v="Card"/>
    <x v="6"/>
    <s v="No onion"/>
  </r>
  <r>
    <s v="BC21721"/>
    <x v="59"/>
    <x v="6"/>
    <d v="1899-12-30T13:45:00"/>
    <s v="Burger Camp, Pune"/>
    <s v="Farhan Naik"/>
    <d v="1976-04-06T00:00:00"/>
    <x v="20"/>
    <n v="334"/>
    <n v="1"/>
    <n v="100"/>
    <s v="UPI"/>
    <x v="1"/>
    <s v="Servd late"/>
  </r>
  <r>
    <s v="BC21722"/>
    <x v="135"/>
    <x v="11"/>
    <d v="1899-12-30T17:36:00"/>
    <s v="Burger Camp, Pune"/>
    <s v="Zara Gore"/>
    <d v="1976-10-21T00:00:00"/>
    <x v="13"/>
    <n v="109"/>
    <n v="1"/>
    <n v="100"/>
    <s v="Card"/>
    <x v="1"/>
    <s v="Servd late"/>
  </r>
  <r>
    <s v="BC21723"/>
    <x v="53"/>
    <x v="1"/>
    <d v="1899-12-30T13:57:59"/>
    <s v="Burger Camp, Pune"/>
    <s v="Riya Shinde"/>
    <d v="2000-01-05T00:00:00"/>
    <x v="18"/>
    <n v="300"/>
    <n v="1"/>
    <n v="300"/>
    <s v="UPI"/>
    <x v="2"/>
    <s v="No onion"/>
  </r>
  <r>
    <s v="BC21724"/>
    <x v="234"/>
    <x v="10"/>
    <d v="1899-12-30T23:29:00"/>
    <s v="Burger Camp, Pune"/>
    <s v="Zaid Shinde"/>
    <d v="1982-02-01T00:00:00"/>
    <x v="3"/>
    <n v="251"/>
    <n v="3"/>
    <n v="756"/>
    <s v="UPI"/>
    <x v="4"/>
    <s v="Servd late"/>
  </r>
  <r>
    <s v="BC21725"/>
    <x v="111"/>
    <x v="2"/>
    <d v="1899-12-30T12:12:06"/>
    <s v="Burger Camp, Pune"/>
    <s v="Zara Naik"/>
    <d v="1976-03-12T00:00:00"/>
    <x v="22"/>
    <n v="81"/>
    <n v="3"/>
    <n v="244"/>
    <s v="Cash "/>
    <x v="1"/>
    <s v="Custmer complaned"/>
  </r>
  <r>
    <s v="BC21726"/>
    <x v="192"/>
    <x v="11"/>
    <d v="1899-12-30T18:22:00"/>
    <s v="Burger Camp, Pune"/>
    <s v="Mubin Joshi"/>
    <d v="1987-12-06T00:00:00"/>
    <x v="19"/>
    <n v="349"/>
    <n v="3"/>
    <n v="1049"/>
    <s v="Card"/>
    <x v="4"/>
    <s v="repeat customer"/>
  </r>
  <r>
    <s v="BC21727"/>
    <x v="135"/>
    <x v="11"/>
    <d v="1899-12-30T14:01:00"/>
    <s v="Burger Camp, Pune"/>
    <s v="Pooja Naik"/>
    <d v="1993-11-08T00:00:00"/>
    <x v="18"/>
    <n v="170"/>
    <n v="3"/>
    <n v="513"/>
    <s v="Card"/>
    <x v="3"/>
    <s v="Spicy"/>
  </r>
  <r>
    <s v="BC21728"/>
    <x v="60"/>
    <x v="10"/>
    <d v="1899-12-30T16:07:59"/>
    <s v="Burger Camp, Pune"/>
    <s v="sneha kulkarni"/>
    <d v="1993-11-08T00:00:00"/>
    <x v="8"/>
    <n v="49"/>
    <n v="2"/>
    <n v="99"/>
    <s v="Card"/>
    <x v="5"/>
    <s v="Spicy"/>
  </r>
  <r>
    <s v="BC21729"/>
    <x v="254"/>
    <x v="0"/>
    <d v="1899-12-30T13:31:38"/>
    <s v="Burger Camp, Pune"/>
    <s v="Aarav Kulkarni"/>
    <d v="1985-08-25T00:00:00"/>
    <x v="24"/>
    <n v="113"/>
    <n v="1"/>
    <n v="113"/>
    <s v="UPI"/>
    <x v="7"/>
    <s v="Spicy"/>
  </r>
  <r>
    <s v="BC21730"/>
    <x v="333"/>
    <x v="7"/>
    <d v="1899-12-30T13:59:00"/>
    <s v="Burger Camp, Pune"/>
    <s v="Mubin Shaikh"/>
    <d v="2002-04-20T00:00:00"/>
    <x v="8"/>
    <n v="49"/>
    <n v="1"/>
    <n v="49"/>
    <s v="Cash "/>
    <x v="1"/>
    <s v="Less salt"/>
  </r>
  <r>
    <s v="BC21731"/>
    <x v="92"/>
    <x v="5"/>
    <d v="1899-12-30T20:21:00"/>
    <s v="Burger Camp, Pune"/>
    <s v="Zaid Deshmukh"/>
    <d v="1989-07-23T00:00:00"/>
    <x v="18"/>
    <n v="109"/>
    <n v="1"/>
    <n v="110"/>
    <s v="Wallet"/>
    <x v="7"/>
    <s v="repeat customer"/>
  </r>
  <r>
    <s v="BC21732"/>
    <x v="285"/>
    <x v="1"/>
    <d v="1899-12-30T15:35:00"/>
    <s v="Burger Camp, Pune"/>
    <s v="Riya Shinde"/>
    <d v="1989-07-23T00:00:00"/>
    <x v="8"/>
    <n v="41"/>
    <n v="1"/>
    <n v="42"/>
    <s v="Wallet"/>
    <x v="5"/>
    <s v="repeat customer"/>
  </r>
  <r>
    <s v="BC21733"/>
    <x v="285"/>
    <x v="1"/>
    <d v="1899-12-30T16:12:09"/>
    <s v="Burger Camp, Pune"/>
    <s v="Kiran Khan"/>
    <d v="1989-07-23T00:00:00"/>
    <x v="4"/>
    <n v="163"/>
    <n v="1"/>
    <n v="164"/>
    <s v="UPI"/>
    <x v="7"/>
    <s v="Servd late"/>
  </r>
  <r>
    <s v="BC21734"/>
    <x v="78"/>
    <x v="10"/>
    <d v="1899-12-30T16:32:41"/>
    <s v="Burger Camp, Pune"/>
    <s v="Zara Deshmukh"/>
    <d v="2000-11-28T00:00:00"/>
    <x v="23"/>
    <n v="261"/>
    <n v="1"/>
    <n v="262"/>
    <s v="Cash"/>
    <x v="3"/>
    <s v="repeat customer"/>
  </r>
  <r>
    <s v="BC21735"/>
    <x v="82"/>
    <x v="0"/>
    <d v="1899-12-30T19:36:00"/>
    <s v="Burger Camp, Pune"/>
    <s v="Anil Gore"/>
    <d v="2004-06-04T00:00:00"/>
    <x v="25"/>
    <n v="233"/>
    <n v="3"/>
    <n v="701"/>
    <s v="Cash"/>
    <x v="2"/>
    <s v="repeat customer"/>
  </r>
  <r>
    <s v="BC21736"/>
    <x v="321"/>
    <x v="5"/>
    <d v="1899-12-30T22:00:36"/>
    <s v="Burger Camp, Pune"/>
    <s v="Zaid Shaikh"/>
    <d v="1980-10-07T00:00:00"/>
    <x v="5"/>
    <n v="233"/>
    <n v="1"/>
    <n v="701"/>
    <s v="Cash "/>
    <x v="6"/>
    <s v="No onion"/>
  </r>
  <r>
    <s v="BC21737"/>
    <x v="283"/>
    <x v="5"/>
    <d v="1899-12-30T17:13:00"/>
    <s v="Burger Camp, Pune"/>
    <s v="Sneha Joshi"/>
    <d v="1993-11-19T00:00:00"/>
    <x v="7"/>
    <n v="156"/>
    <n v="3"/>
    <n v="469"/>
    <s v="Card"/>
    <x v="1"/>
    <s v="No onion"/>
  </r>
  <r>
    <s v="BC21738"/>
    <x v="188"/>
    <x v="11"/>
    <d v="1899-12-30T20:48:00"/>
    <s v="Burger Camp, Pune"/>
    <s v="Pooja More"/>
    <d v="1999-10-06T00:00:00"/>
    <x v="0"/>
    <n v="87"/>
    <n v="2"/>
    <n v="175"/>
    <s v="Cash "/>
    <x v="0"/>
    <s v="Servd late"/>
  </r>
  <r>
    <s v="BC21739"/>
    <x v="319"/>
    <x v="4"/>
    <d v="1899-12-30T16:09:00"/>
    <s v="Burger Camp, Pune"/>
    <s v="zaid kulkarni"/>
    <d v="2005-11-10T00:00:00"/>
    <x v="11"/>
    <n v="157"/>
    <n v="1"/>
    <n v="100"/>
    <s v="Wallet"/>
    <x v="1"/>
    <s v="Custmer complaned"/>
  </r>
  <r>
    <s v="BC21740"/>
    <x v="35"/>
    <x v="3"/>
    <d v="1899-12-30T22:04:00"/>
    <s v="Burger Camp, Pune"/>
    <s v="Pooja Gore"/>
    <d v="1971-11-11T00:00:00"/>
    <x v="1"/>
    <n v="280"/>
    <n v="3"/>
    <n v="840"/>
    <s v="UPI"/>
    <x v="7"/>
    <s v="Custmer complaned"/>
  </r>
  <r>
    <s v="BC21741"/>
    <x v="317"/>
    <x v="3"/>
    <d v="1899-12-30T11:43:00"/>
    <s v="Burger Camp, Pune"/>
    <s v="Riya Deshmukh"/>
    <d v="1973-09-24T00:00:00"/>
    <x v="0"/>
    <n v="280"/>
    <n v="2"/>
    <n v="840"/>
    <s v="Card"/>
    <x v="5"/>
    <s v="Less salt"/>
  </r>
  <r>
    <s v="BC21742"/>
    <x v="178"/>
    <x v="4"/>
    <d v="1899-12-30T12:26:00"/>
    <s v="Burger Camp, Pune"/>
    <s v="Farhan Gore"/>
    <d v="1978-06-26T00:00:00"/>
    <x v="14"/>
    <n v="93"/>
    <n v="2"/>
    <n v="187"/>
    <s v="Wallet"/>
    <x v="3"/>
    <s v="Extra cheese"/>
  </r>
  <r>
    <s v="BC21743"/>
    <x v="264"/>
    <x v="3"/>
    <d v="1899-12-30T23:38:00"/>
    <s v="Burger Camp, Pune"/>
    <s v="Farhan Kulkarni"/>
    <d v="1991-11-04T00:00:00"/>
    <x v="12"/>
    <n v="250"/>
    <n v="1"/>
    <n v="250"/>
    <s v="UPI"/>
    <x v="3"/>
    <s v="Extra cheese"/>
  </r>
  <r>
    <s v="BC21744"/>
    <x v="264"/>
    <x v="3"/>
    <d v="1899-12-30T22:17:00"/>
    <s v="Burger Camp, Pune"/>
    <s v="Mubin Patil"/>
    <d v="1984-02-13T00:00:00"/>
    <x v="5"/>
    <n v="118"/>
    <n v="2"/>
    <n v="238"/>
    <s v="Wallet"/>
    <x v="4"/>
    <s v="Custmer complaned"/>
  </r>
  <r>
    <s v="BC21745"/>
    <x v="268"/>
    <x v="2"/>
    <d v="1899-12-30T21:02:00"/>
    <s v="Burger Camp, Pune"/>
    <s v="Aarav Naik"/>
    <d v="2010-09-01T00:00:00"/>
    <x v="15"/>
    <n v="224"/>
    <n v="2"/>
    <n v="449"/>
    <s v="Wallet"/>
    <x v="7"/>
    <s v="Spicy"/>
  </r>
  <r>
    <s v="BC21746"/>
    <x v="53"/>
    <x v="1"/>
    <d v="1899-12-30T14:37:00"/>
    <s v="Burger Camp, Pune"/>
    <s v="Aarav Shaikh"/>
    <d v="2010-09-01T00:00:00"/>
    <x v="13"/>
    <n v="95"/>
    <n v="2"/>
    <m/>
    <s v="Card"/>
    <x v="0"/>
    <s v="repeat customer"/>
  </r>
  <r>
    <s v="BC21747"/>
    <x v="239"/>
    <x v="6"/>
    <d v="1899-12-30T14:50:00"/>
    <s v="Burger Camp, Pune"/>
    <s v="Kiran Patil"/>
    <d v="2008-09-16T00:00:00"/>
    <x v="18"/>
    <n v="245"/>
    <n v="2"/>
    <n v="490"/>
    <s v="Cash "/>
    <x v="6"/>
    <s v="repeat customer"/>
  </r>
  <r>
    <s v="BC21748"/>
    <x v="152"/>
    <x v="8"/>
    <d v="1899-12-30T22:36:00"/>
    <s v="Burger Camp, Pune"/>
    <s v="Kiran Deshmukh"/>
    <d v="2008-09-16T00:00:00"/>
    <x v="3"/>
    <n v="202"/>
    <n v="3"/>
    <n v="614"/>
    <s v="UPI"/>
    <x v="0"/>
    <s v="repeat customer"/>
  </r>
  <r>
    <s v="BC21749"/>
    <x v="99"/>
    <x v="9"/>
    <d v="1899-12-30T12:06:00"/>
    <s v="Burger Camp, Pune"/>
    <s v="Farhan Kulkarni"/>
    <d v="2002-05-24T00:00:00"/>
    <x v="1"/>
    <n v="270"/>
    <n v="2"/>
    <n v="542"/>
    <s v="Cash "/>
    <x v="1"/>
    <s v="repeat customer"/>
  </r>
  <r>
    <s v="BC21750"/>
    <x v="219"/>
    <x v="1"/>
    <d v="1899-12-30T17:06:21"/>
    <s v="Burger Camp, Pune"/>
    <s v="Mubin Shaikh"/>
    <d v="2001-01-04T00:00:00"/>
    <x v="10"/>
    <n v="296"/>
    <n v="2"/>
    <n v="592"/>
    <s v="Card"/>
    <x v="2"/>
    <s v="Extra cheese"/>
  </r>
  <r>
    <s v="BC21751"/>
    <x v="247"/>
    <x v="11"/>
    <d v="1899-12-30T13:22:00"/>
    <s v="Burger Camp, Pune"/>
    <s v="Kiran Kulkarni"/>
    <d v="2003-07-03T00:00:00"/>
    <x v="10"/>
    <n v="235"/>
    <n v="2"/>
    <n v="471"/>
    <s v="Card"/>
    <x v="5"/>
    <s v="No onion"/>
  </r>
  <r>
    <s v="BC21752"/>
    <x v="247"/>
    <x v="11"/>
    <d v="1899-12-30T10:36:00"/>
    <s v="Burger Camp, Pune"/>
    <s v="Aarav Khan"/>
    <d v="1996-06-18T00:00:00"/>
    <x v="12"/>
    <n v="323"/>
    <n v="1"/>
    <n v="323"/>
    <s v="Card"/>
    <x v="5"/>
    <s v="Extra cheese"/>
  </r>
  <r>
    <s v="BC21753"/>
    <x v="230"/>
    <x v="6"/>
    <d v="1899-12-30T12:43:58"/>
    <s v="Burger Camp, Pune"/>
    <s v="Aisha Gore"/>
    <d v="1982-07-20T00:00:00"/>
    <x v="10"/>
    <n v="111"/>
    <n v="1"/>
    <n v="111"/>
    <s v="Card"/>
    <x v="6"/>
    <s v="No onion"/>
  </r>
  <r>
    <s v="BC21754"/>
    <x v="293"/>
    <x v="4"/>
    <d v="1899-12-30T15:11:38"/>
    <s v="Burger Camp, Pune"/>
    <s v="Aisha Gore"/>
    <d v="1981-12-13T00:00:00"/>
    <x v="5"/>
    <n v="126"/>
    <n v="2"/>
    <n v="207"/>
    <s v="Card"/>
    <x v="2"/>
    <s v="Servd late"/>
  </r>
  <r>
    <s v="BC21755"/>
    <x v="163"/>
    <x v="5"/>
    <d v="1899-12-30T14:18:00"/>
    <s v="Burger Camp, Pune"/>
    <s v="Mubin Kulkarni"/>
    <d v="2004-09-22T00:00:00"/>
    <x v="21"/>
    <n v="171"/>
    <n v="1"/>
    <n v="171"/>
    <s v="Card"/>
    <x v="4"/>
    <s v="Custmer complaned"/>
  </r>
  <r>
    <s v="BC21756"/>
    <x v="311"/>
    <x v="0"/>
    <d v="1899-12-30T13:35:00"/>
    <s v="Burger Camp, Pune"/>
    <s v="Sneha Kulkarni"/>
    <d v="1989-01-10T00:00:00"/>
    <x v="23"/>
    <n v="330"/>
    <n v="3"/>
    <m/>
    <s v="Cash "/>
    <x v="2"/>
    <s v="Custmer complaned"/>
  </r>
  <r>
    <s v="BC21757"/>
    <x v="235"/>
    <x v="10"/>
    <d v="1899-12-30T22:57:00"/>
    <s v="Burger Camp, Pune"/>
    <s v="Mubin Khan"/>
    <d v="1988-10-13T00:00:00"/>
    <x v="1"/>
    <n v="271"/>
    <n v="3"/>
    <n v="813"/>
    <s v="Cash "/>
    <x v="0"/>
    <s v="Custmer complaned"/>
  </r>
  <r>
    <s v="BC21758"/>
    <x v="187"/>
    <x v="9"/>
    <d v="1899-12-30T19:36:00"/>
    <s v="Burger Camp, Pune"/>
    <s v="Mubin Khan"/>
    <d v="1995-12-06T00:00:00"/>
    <x v="11"/>
    <n v="197"/>
    <n v="1"/>
    <n v="198"/>
    <s v="Card"/>
    <x v="2"/>
    <s v="repeat customer"/>
  </r>
  <r>
    <s v="BC21759"/>
    <x v="112"/>
    <x v="9"/>
    <d v="1899-12-30T15:46:00"/>
    <s v="Burger Camp, Pune"/>
    <s v="Pooja Shinde"/>
    <d v="1981-01-06T00:00:00"/>
    <x v="7"/>
    <n v="154"/>
    <n v="2"/>
    <m/>
    <s v="Card"/>
    <x v="3"/>
    <s v="Extra cheese"/>
  </r>
  <r>
    <s v="BC21760"/>
    <x v="254"/>
    <x v="0"/>
    <d v="1899-12-30T21:17:00"/>
    <s v="Burger Camp, Pune"/>
    <s v="Riya Patil"/>
    <d v="2000-06-14T00:00:00"/>
    <x v="2"/>
    <n v="302"/>
    <n v="3"/>
    <n v="908"/>
    <s v="Cash"/>
    <x v="6"/>
    <s v="Extra cheese"/>
  </r>
  <r>
    <s v="BC21761"/>
    <x v="1"/>
    <x v="1"/>
    <d v="1899-12-30T16:50:00"/>
    <s v="Burger Camp, Pune"/>
    <s v="Farhan More"/>
    <d v="1989-06-03T00:00:00"/>
    <x v="13"/>
    <n v="109"/>
    <n v="1"/>
    <n v="109"/>
    <s v="Wallet"/>
    <x v="2"/>
    <s v="No onion"/>
  </r>
  <r>
    <s v="BC21762"/>
    <x v="176"/>
    <x v="3"/>
    <d v="1899-12-30T18:25:15"/>
    <s v="Burger Camp, Pune"/>
    <s v="Kiran Shaikh"/>
    <d v="2000-11-16T00:00:00"/>
    <x v="3"/>
    <n v="159"/>
    <n v="1"/>
    <n v="160"/>
    <s v="UPI"/>
    <x v="5"/>
    <s v="repeat customer"/>
  </r>
  <r>
    <s v="BC21763"/>
    <x v="82"/>
    <x v="0"/>
    <d v="1899-12-30T17:42:45"/>
    <s v="Burger Camp, Pune"/>
    <s v="Aisha Patil"/>
    <d v="1971-11-27T00:00:00"/>
    <x v="19"/>
    <n v="286"/>
    <n v="2"/>
    <n v="573"/>
    <s v="Cash "/>
    <x v="1"/>
    <s v="Less salt"/>
  </r>
  <r>
    <s v="BC21764"/>
    <x v="247"/>
    <x v="11"/>
    <d v="1899-12-30T19:03:00"/>
    <s v="Burger Camp, Pune"/>
    <s v="Aisha Deshmukh"/>
    <d v="1976-11-09T00:00:00"/>
    <x v="21"/>
    <n v="233"/>
    <n v="2"/>
    <n v="468"/>
    <s v="UPI"/>
    <x v="0"/>
    <s v="Custmer complaned"/>
  </r>
  <r>
    <s v="BC21765"/>
    <x v="218"/>
    <x v="5"/>
    <d v="1899-12-30T16:57:23"/>
    <s v="Burger Camp, Pune"/>
    <s v="Sneha Gore"/>
    <d v="1998-04-11T00:00:00"/>
    <x v="20"/>
    <n v="324"/>
    <n v="2"/>
    <n v="650"/>
    <s v="Cash "/>
    <x v="6"/>
    <s v="Servd late"/>
  </r>
  <r>
    <s v="BC21766"/>
    <x v="291"/>
    <x v="1"/>
    <d v="1899-12-30T13:18:00"/>
    <s v="Burger Camp, Pune"/>
    <s v="Riya Patil"/>
    <d v="2008-02-07T00:00:00"/>
    <x v="8"/>
    <n v="43"/>
    <n v="3"/>
    <n v="131"/>
    <s v="Cash "/>
    <x v="4"/>
    <s v="Spicy"/>
  </r>
  <r>
    <s v="BC21767"/>
    <x v="107"/>
    <x v="6"/>
    <d v="1899-12-30T15:32:17"/>
    <s v="Burger Camp, Pune"/>
    <s v="Zaid Patil"/>
    <d v="1982-08-02T00:00:00"/>
    <x v="4"/>
    <n v="200"/>
    <n v="2"/>
    <n v="402"/>
    <s v="Cash"/>
    <x v="0"/>
    <s v="Spicy"/>
  </r>
  <r>
    <s v="BC21768"/>
    <x v="161"/>
    <x v="9"/>
    <d v="1899-12-30T18:57:00"/>
    <s v="Burger Camp, Pune"/>
    <s v="Zara Kulkarni"/>
    <d v="1987-05-13T00:00:00"/>
    <x v="23"/>
    <n v="323"/>
    <n v="3"/>
    <n v="970"/>
    <s v="Cash"/>
    <x v="1"/>
    <s v="No onion"/>
  </r>
  <r>
    <s v="BC21769"/>
    <x v="96"/>
    <x v="8"/>
    <d v="1899-12-30T22:04:00"/>
    <s v="Burger Camp, Pune"/>
    <s v="Mubin Patil"/>
    <d v="1975-04-13T00:00:00"/>
    <x v="3"/>
    <n v="245"/>
    <n v="2"/>
    <n v="491"/>
    <s v="Cash"/>
    <x v="5"/>
    <s v="Less salt"/>
  </r>
  <r>
    <s v="BC21770"/>
    <x v="18"/>
    <x v="8"/>
    <d v="1899-12-30T10:30:15"/>
    <s v="Burger Camp, Pune"/>
    <s v="Pooja Kulkarni"/>
    <d v="1997-08-09T00:00:00"/>
    <x v="10"/>
    <n v="235"/>
    <n v="2"/>
    <n v="471"/>
    <s v="Cash"/>
    <x v="4"/>
    <s v="Extra cheese"/>
  </r>
  <r>
    <s v="BC21771"/>
    <x v="87"/>
    <x v="1"/>
    <d v="1899-12-30T11:39:00"/>
    <s v="Burger Camp, Pune"/>
    <s v="Anil Shinde"/>
    <d v="2004-03-05T00:00:00"/>
    <x v="11"/>
    <n v="183"/>
    <n v="1"/>
    <n v="202"/>
    <s v="Card"/>
    <x v="3"/>
    <s v="Servd late"/>
  </r>
  <r>
    <s v="BC21772"/>
    <x v="87"/>
    <x v="1"/>
    <d v="1899-12-30T16:28:00"/>
    <s v="Burger Camp, Pune"/>
    <s v="Pooja More"/>
    <d v="1981-05-09T00:00:00"/>
    <x v="16"/>
    <n v="196"/>
    <n v="2"/>
    <n v="393"/>
    <s v="Wallet"/>
    <x v="1"/>
    <s v="Extra cheese"/>
  </r>
  <r>
    <s v="BC21773"/>
    <x v="38"/>
    <x v="3"/>
    <d v="1899-12-30T22:18:00"/>
    <s v="Burger Camp, Pune"/>
    <s v="Aisha Deshmukh"/>
    <d v="1987-07-17T00:00:00"/>
    <x v="2"/>
    <n v="305"/>
    <n v="2"/>
    <n v="611"/>
    <s v="Wallet"/>
    <x v="1"/>
    <s v="Spicy"/>
  </r>
  <r>
    <s v="BC21774"/>
    <x v="306"/>
    <x v="9"/>
    <d v="1899-12-30T21:00:00"/>
    <s v="Burger Camp, Pune"/>
    <s v="Rahul More"/>
    <d v="2003-09-01T00:00:00"/>
    <x v="7"/>
    <n v="73"/>
    <n v="1"/>
    <n v="74"/>
    <s v="Cash "/>
    <x v="4"/>
    <s v="Less salt"/>
  </r>
  <r>
    <s v="BC21775"/>
    <x v="45"/>
    <x v="1"/>
    <d v="1899-12-30T19:21:00"/>
    <s v="Burger Camp, Pune"/>
    <s v="Sneha Shaikh"/>
    <d v="2002-08-01T00:00:00"/>
    <x v="11"/>
    <n v="236"/>
    <n v="2"/>
    <n v="474"/>
    <s v="Cash"/>
    <x v="7"/>
    <s v="repeat customer"/>
  </r>
  <r>
    <s v="BC21776"/>
    <x v="108"/>
    <x v="9"/>
    <d v="1899-12-30T11:53:00"/>
    <s v="Burger Camp, Pune"/>
    <s v="Mubin Naik"/>
    <d v="1986-08-27T00:00:00"/>
    <x v="2"/>
    <n v="272"/>
    <n v="2"/>
    <n v="545"/>
    <s v="Cash"/>
    <x v="3"/>
    <s v="repeat customer"/>
  </r>
  <r>
    <s v="BC21777"/>
    <x v="66"/>
    <x v="7"/>
    <d v="1899-12-30T13:53:00"/>
    <s v="Burger Camp, Pune"/>
    <s v="Sneha Naik"/>
    <d v="1995-04-05T00:00:00"/>
    <x v="11"/>
    <n v="224"/>
    <n v="2"/>
    <n v="450"/>
    <s v="UPI"/>
    <x v="0"/>
    <s v="repeat customer"/>
  </r>
  <r>
    <s v="BC21778"/>
    <x v="81"/>
    <x v="9"/>
    <d v="1899-12-30T16:39:00"/>
    <s v="Burger Camp, Pune"/>
    <s v="Anil Patil"/>
    <d v="1995-04-05T00:00:00"/>
    <x v="15"/>
    <n v="211"/>
    <n v="2"/>
    <n v="422"/>
    <s v="Wallet"/>
    <x v="3"/>
    <s v="Spicy"/>
  </r>
  <r>
    <s v="BC21779"/>
    <x v="220"/>
    <x v="1"/>
    <d v="1899-12-30T13:30:00"/>
    <s v="Burger Camp, Pune"/>
    <s v="Kiran Patil"/>
    <d v="1985-05-11T00:00:00"/>
    <x v="24"/>
    <n v="140"/>
    <n v="2"/>
    <n v="281"/>
    <s v="Card"/>
    <x v="0"/>
    <s v="Spicy"/>
  </r>
  <r>
    <s v="BC21780"/>
    <x v="324"/>
    <x v="0"/>
    <d v="1899-12-30T19:48:00"/>
    <s v="Burger Camp, Pune"/>
    <s v="Riya Joshi"/>
    <d v="2006-02-10T00:00:00"/>
    <x v="19"/>
    <n v="358"/>
    <n v="2"/>
    <n v="717"/>
    <s v="Card"/>
    <x v="1"/>
    <s v="Less salt"/>
  </r>
  <r>
    <s v="BC21781"/>
    <x v="44"/>
    <x v="3"/>
    <d v="1899-12-30T21:46:00"/>
    <s v="Burger Camp, Pune"/>
    <s v="riya more"/>
    <d v="1987-05-09T00:00:00"/>
    <x v="22"/>
    <n v="94"/>
    <n v="1"/>
    <n v="94"/>
    <s v="UPI"/>
    <x v="7"/>
    <s v="Servd late"/>
  </r>
  <r>
    <s v="BC21782"/>
    <x v="265"/>
    <x v="4"/>
    <d v="1899-12-30T23:51:00"/>
    <s v="Burger Camp, Pune"/>
    <s v="Riya More"/>
    <d v="1997-06-07T00:00:00"/>
    <x v="19"/>
    <n v="257"/>
    <n v="2"/>
    <n v="516"/>
    <s v="Cash"/>
    <x v="0"/>
    <s v="Extra cheese"/>
  </r>
  <r>
    <s v="BC21783"/>
    <x v="72"/>
    <x v="10"/>
    <d v="1899-12-30T19:52:00"/>
    <s v="Burger Camp, Pune"/>
    <s v="Zara Shinde"/>
    <d v="1976-02-27T00:00:00"/>
    <x v="15"/>
    <n v="250"/>
    <n v="2"/>
    <n v="502"/>
    <s v="UPI"/>
    <x v="4"/>
    <s v="No onion"/>
  </r>
  <r>
    <s v="BC21784"/>
    <x v="124"/>
    <x v="10"/>
    <d v="1899-12-30T18:40:37"/>
    <s v="Burger Camp, Pune"/>
    <s v="Zara Shaikh"/>
    <d v="2000-06-21T00:00:00"/>
    <x v="23"/>
    <n v="165"/>
    <n v="3"/>
    <n v="497"/>
    <s v="Card"/>
    <x v="4"/>
    <s v="Extra cheese"/>
  </r>
  <r>
    <s v="BC21785"/>
    <x v="189"/>
    <x v="11"/>
    <d v="1899-12-30T18:03:00"/>
    <s v="Burger Camp, Pune"/>
    <s v="Aisha Kulkarni"/>
    <d v="2010-04-09T00:00:00"/>
    <x v="0"/>
    <n v="83"/>
    <n v="2"/>
    <n v="167"/>
    <s v="Card"/>
    <x v="6"/>
    <s v="Extra cheese"/>
  </r>
  <r>
    <s v="BC21786"/>
    <x v="168"/>
    <x v="7"/>
    <d v="1899-12-30T19:53:00"/>
    <s v="Burger Camp, Pune"/>
    <s v="Riya Patil"/>
    <d v="2005-02-13T00:00:00"/>
    <x v="12"/>
    <n v="216"/>
    <n v="2"/>
    <n v="434"/>
    <s v="Cash "/>
    <x v="1"/>
    <s v="Extra cheese"/>
  </r>
  <r>
    <s v="BC21787"/>
    <x v="79"/>
    <x v="0"/>
    <d v="1899-12-30T20:33:00"/>
    <s v="Burger Camp, Pune"/>
    <s v="Aarav Khan"/>
    <d v="1975-04-08T00:00:00"/>
    <x v="5"/>
    <n v="109"/>
    <n v="3"/>
    <n v="327"/>
    <s v="Card"/>
    <x v="3"/>
    <s v="Extra cheese"/>
  </r>
  <r>
    <s v="BC21788"/>
    <x v="158"/>
    <x v="4"/>
    <d v="1899-12-30T14:15:41"/>
    <s v="Burger Camp, Pune"/>
    <s v="Aisha Deshmukh"/>
    <d v="1974-09-24T00:00:00"/>
    <x v="4"/>
    <n v="229"/>
    <n v="2"/>
    <n v="460"/>
    <s v="Card"/>
    <x v="7"/>
    <s v="Extra cheese"/>
  </r>
  <r>
    <s v="BC21789"/>
    <x v="286"/>
    <x v="4"/>
    <d v="1899-12-30T19:11:00"/>
    <s v="Burger Camp, Pune"/>
    <s v="Zara Khan"/>
    <d v="1984-09-05T00:00:00"/>
    <x v="5"/>
    <n v="112"/>
    <n v="3"/>
    <n v="337"/>
    <s v="Card"/>
    <x v="6"/>
    <s v="Extra cheese"/>
  </r>
  <r>
    <s v="BC21790"/>
    <x v="116"/>
    <x v="11"/>
    <d v="1899-12-30T21:50:24"/>
    <s v="Burger Camp, Pune"/>
    <s v="Pooja Naik"/>
    <d v="1993-10-15T00:00:00"/>
    <x v="8"/>
    <n v="45"/>
    <n v="2"/>
    <n v="91"/>
    <s v="Wallet"/>
    <x v="6"/>
    <s v="Less salt"/>
  </r>
  <r>
    <s v="BC21791"/>
    <x v="140"/>
    <x v="7"/>
    <d v="1899-12-30T17:49:00"/>
    <s v="Burger Camp, Pune"/>
    <s v="Mubin Patil"/>
    <d v="1995-06-15T00:00:00"/>
    <x v="13"/>
    <n v="132"/>
    <n v="1"/>
    <n v="132"/>
    <s v="Wallet"/>
    <x v="3"/>
    <s v="No onion"/>
  </r>
  <r>
    <s v="BC21792"/>
    <x v="173"/>
    <x v="7"/>
    <d v="1899-12-30T18:51:00"/>
    <s v="Burger Camp, Pune"/>
    <s v="Rahul Gore"/>
    <d v="2003-01-06T00:00:00"/>
    <x v="16"/>
    <n v="206"/>
    <n v="2"/>
    <n v="412"/>
    <s v="Card"/>
    <x v="5"/>
    <s v="repeat customer"/>
  </r>
  <r>
    <s v="BC21793"/>
    <x v="345"/>
    <x v="3"/>
    <d v="1899-12-30T15:47:00"/>
    <s v="Burger Camp, Pune"/>
    <s v="Anil Naik"/>
    <d v="2001-05-28T00:00:00"/>
    <x v="14"/>
    <n v="200"/>
    <n v="1"/>
    <n v="201"/>
    <s v="Cash"/>
    <x v="7"/>
    <s v="No onion"/>
  </r>
  <r>
    <s v="BC21794"/>
    <x v="361"/>
    <x v="9"/>
    <d v="1899-12-30T17:11:00"/>
    <s v="Burger Camp, Pune"/>
    <s v="Rahul Gore"/>
    <d v="2001-01-03T00:00:00"/>
    <x v="8"/>
    <n v="44"/>
    <n v="1"/>
    <n v="45"/>
    <s v="UPI"/>
    <x v="5"/>
    <s v="No onion"/>
  </r>
  <r>
    <s v="BC21795"/>
    <x v="283"/>
    <x v="5"/>
    <d v="1899-12-30T12:11:00"/>
    <s v="Burger Camp, Pune"/>
    <s v="Mubin Kulkarni"/>
    <d v="1990-01-07T00:00:00"/>
    <x v="0"/>
    <n v="83"/>
    <n v="2"/>
    <n v="168"/>
    <s v="UPI"/>
    <x v="4"/>
    <s v="Less salt"/>
  </r>
  <r>
    <s v="BC21796"/>
    <x v="246"/>
    <x v="1"/>
    <d v="1899-12-30T16:50:48"/>
    <s v="Burger Camp, Pune"/>
    <s v="Aisha Gore"/>
    <d v="1995-04-01T00:00:00"/>
    <x v="18"/>
    <n v="245"/>
    <n v="1"/>
    <n v="267"/>
    <s v="Card"/>
    <x v="4"/>
    <s v="repeat customer"/>
  </r>
  <r>
    <s v="BC21797"/>
    <x v="137"/>
    <x v="10"/>
    <d v="1899-12-30T20:27:39"/>
    <s v="Burger Camp, Pune"/>
    <s v="Kiran More"/>
    <d v="1983-05-03T00:00:00"/>
    <x v="13"/>
    <n v="128"/>
    <n v="1"/>
    <n v="129"/>
    <s v="Card"/>
    <x v="7"/>
    <s v="Extra cheese"/>
  </r>
  <r>
    <s v="BC21798"/>
    <x v="90"/>
    <x v="9"/>
    <d v="1899-12-30T19:45:00"/>
    <s v="Burger Camp, Pune"/>
    <s v="Aisha Deshmukh"/>
    <d v="1983-03-15T00:00:00"/>
    <x v="8"/>
    <n v="51"/>
    <n v="1"/>
    <n v="51"/>
    <s v="UPI"/>
    <x v="5"/>
    <s v="Servd late"/>
  </r>
  <r>
    <s v="BC21799"/>
    <x v="159"/>
    <x v="5"/>
    <d v="1899-12-30T16:54:00"/>
    <s v="Burger Camp, Pune"/>
    <s v="Zara Patil"/>
    <d v="1995-03-11T00:00:00"/>
    <x v="25"/>
    <n v="86"/>
    <n v="1"/>
    <n v="86"/>
    <s v="Wallet"/>
    <x v="5"/>
    <s v="Extra cheese"/>
  </r>
  <r>
    <s v="BC21800"/>
    <x v="133"/>
    <x v="9"/>
    <d v="1899-12-30T22:34:00"/>
    <s v="Burger Camp, Pune"/>
    <s v="Riya Gore"/>
    <d v="1996-08-19T00:00:00"/>
    <x v="21"/>
    <n v="206"/>
    <n v="2"/>
    <n v="412"/>
    <s v="Wallet"/>
    <x v="2"/>
    <s v="Less salt"/>
  </r>
  <r>
    <s v="BC21801"/>
    <x v="346"/>
    <x v="3"/>
    <d v="1899-12-30T15:27:00"/>
    <s v="Burger Camp, Pune"/>
    <s v="Rahul More"/>
    <d v="1992-12-27T00:00:00"/>
    <x v="7"/>
    <n v="161"/>
    <n v="3"/>
    <n v="485"/>
    <s v="UPI"/>
    <x v="7"/>
    <s v="Custmer complaned"/>
  </r>
  <r>
    <s v="BC21802"/>
    <x v="248"/>
    <x v="9"/>
    <d v="1899-12-30T16:12:00"/>
    <s v="Burger Camp, Pune"/>
    <s v="zara more"/>
    <d v="1988-11-28T00:00:00"/>
    <x v="11"/>
    <n v="235"/>
    <n v="3"/>
    <n v="707"/>
    <s v="Card"/>
    <x v="3"/>
    <s v="Servd late"/>
  </r>
  <r>
    <s v="BC21803"/>
    <x v="333"/>
    <x v="7"/>
    <d v="1899-12-30T12:59:33"/>
    <s v="Burger Camp, Pune"/>
    <s v="Rahul Naik"/>
    <d v="1987-05-15T00:00:00"/>
    <x v="19"/>
    <n v="234"/>
    <n v="1"/>
    <n v="234"/>
    <s v="UPI"/>
    <x v="7"/>
    <s v="Custmer complaned"/>
  </r>
  <r>
    <s v="BC21804"/>
    <x v="272"/>
    <x v="10"/>
    <d v="1899-12-30T14:46:00"/>
    <s v="Burger Camp, Pune"/>
    <s v="Zara Gore"/>
    <d v="2005-11-23T00:00:00"/>
    <x v="15"/>
    <n v="234"/>
    <n v="1"/>
    <n v="234"/>
    <s v="Card"/>
    <x v="0"/>
    <s v="Spicy"/>
  </r>
  <r>
    <s v="BC21805"/>
    <x v="272"/>
    <x v="10"/>
    <d v="1899-12-30T13:42:53"/>
    <s v="Burger Camp, Pune"/>
    <s v="Pooja Shaikh"/>
    <d v="2005-08-06T00:00:00"/>
    <x v="20"/>
    <n v="340"/>
    <n v="1"/>
    <n v="341"/>
    <s v="Cash"/>
    <x v="3"/>
    <s v="Extra cheese"/>
  </r>
  <r>
    <s v="BC21806"/>
    <x v="191"/>
    <x v="4"/>
    <d v="1899-12-30T19:32:00"/>
    <s v="Burger Camp, Pune"/>
    <s v="Sneha Khan"/>
    <d v="2005-08-06T00:00:00"/>
    <x v="15"/>
    <n v="107"/>
    <n v="1"/>
    <n v="108"/>
    <s v="UPI"/>
    <x v="5"/>
    <s v="Spicy"/>
  </r>
  <r>
    <s v="BC21807"/>
    <x v="219"/>
    <x v="1"/>
    <d v="1899-12-30T22:43:00"/>
    <s v="Burger Camp, Pune"/>
    <s v="Sneha More"/>
    <d v="1978-06-27T00:00:00"/>
    <x v="16"/>
    <n v="207"/>
    <n v="1"/>
    <n v="207"/>
    <s v="Cash"/>
    <x v="6"/>
    <s v="Spicy"/>
  </r>
  <r>
    <s v="BC21808"/>
    <x v="181"/>
    <x v="0"/>
    <d v="1899-12-30T17:49:00"/>
    <s v="Burger Camp, Pune"/>
    <s v="Pooja Shaikh"/>
    <d v="1994-09-11T00:00:00"/>
    <x v="7"/>
    <n v="358"/>
    <n v="1"/>
    <n v="358"/>
    <s v="UPI"/>
    <x v="0"/>
    <s v="Extra cheese"/>
  </r>
  <r>
    <s v="BC21809"/>
    <x v="130"/>
    <x v="5"/>
    <d v="1899-12-30T21:18:36"/>
    <s v="Burger Camp, Pune"/>
    <s v="Mubin Shaikh"/>
    <d v="2007-01-08T00:00:00"/>
    <x v="11"/>
    <n v="212"/>
    <n v="2"/>
    <n v="424"/>
    <s v="Wallet"/>
    <x v="7"/>
    <s v="Less salt"/>
  </r>
  <r>
    <s v="BC21810"/>
    <x v="188"/>
    <x v="11"/>
    <d v="1899-12-30T18:58:42"/>
    <s v="Burger Camp, Pune"/>
    <s v="Kiran More"/>
    <d v="1981-12-27T00:00:00"/>
    <x v="23"/>
    <n v="75"/>
    <n v="3"/>
    <n v="226"/>
    <s v="Cash"/>
    <x v="4"/>
    <s v="Servd late"/>
  </r>
  <r>
    <s v="BC21811"/>
    <x v="206"/>
    <x v="8"/>
    <d v="1899-12-30T15:39:00"/>
    <s v="Burger Camp, Pune"/>
    <s v="Kiran More"/>
    <d v="1991-11-03T00:00:00"/>
    <x v="8"/>
    <n v="40"/>
    <n v="1"/>
    <n v="29"/>
    <s v="Card"/>
    <x v="1"/>
    <s v="Servd late"/>
  </r>
  <r>
    <s v="BC21812"/>
    <x v="231"/>
    <x v="2"/>
    <d v="1899-12-30T19:16:00"/>
    <s v="Burger Camp, Pune"/>
    <s v="Mubin Gore"/>
    <d v="1990-11-19T00:00:00"/>
    <x v="17"/>
    <n v="140"/>
    <n v="1"/>
    <n v="141"/>
    <s v="Cash"/>
    <x v="1"/>
    <s v="No onion"/>
  </r>
  <r>
    <s v="BC21813"/>
    <x v="197"/>
    <x v="11"/>
    <d v="1899-12-30T18:10:11"/>
    <s v="Burger Camp, Pune"/>
    <s v="Anil Joshi"/>
    <d v="1986-10-27T00:00:00"/>
    <x v="22"/>
    <n v="137"/>
    <n v="1"/>
    <n v="137"/>
    <s v="Cash"/>
    <x v="4"/>
    <s v="Custmer complaned"/>
  </r>
  <r>
    <s v="BC21814"/>
    <x v="104"/>
    <x v="1"/>
    <d v="1899-12-30T18:38:00"/>
    <s v="Burger Camp, Pune"/>
    <s v="Anil Gore"/>
    <d v="2008-02-02T00:00:00"/>
    <x v="9"/>
    <n v="125"/>
    <n v="1"/>
    <n v="125"/>
    <s v="Cash"/>
    <x v="4"/>
    <s v="Extra cheese"/>
  </r>
  <r>
    <s v="BC21815"/>
    <x v="47"/>
    <x v="4"/>
    <d v="1899-12-30T19:52:00"/>
    <s v="Burger Camp, Pune"/>
    <s v="Aarav Deshmukh"/>
    <d v="1973-07-15T00:00:00"/>
    <x v="21"/>
    <n v="234"/>
    <n v="2"/>
    <n v="469"/>
    <s v="Card"/>
    <x v="4"/>
    <s v="Less salt"/>
  </r>
  <r>
    <s v="BC21816"/>
    <x v="35"/>
    <x v="3"/>
    <d v="1899-12-30T16:46:45"/>
    <s v="Burger Camp, Pune"/>
    <s v="Anil Gore"/>
    <d v="1999-09-04T00:00:00"/>
    <x v="21"/>
    <n v="204"/>
    <n v="1"/>
    <n v="204"/>
    <s v="Card"/>
    <x v="5"/>
    <s v="Less salt"/>
  </r>
  <r>
    <s v="BC21817"/>
    <x v="130"/>
    <x v="5"/>
    <d v="1899-12-30T17:47:00"/>
    <s v="Burger Camp, Pune"/>
    <s v="Riya Patil"/>
    <d v="2004-02-03T00:00:00"/>
    <x v="24"/>
    <n v="133"/>
    <n v="1"/>
    <n v="133"/>
    <s v="Cash"/>
    <x v="5"/>
    <s v="Custmer complaned"/>
  </r>
  <r>
    <s v="BC21818"/>
    <x v="139"/>
    <x v="0"/>
    <d v="1899-12-30T19:28:56"/>
    <s v="Burger Camp, Pune"/>
    <s v="Farhan More"/>
    <d v="1989-06-18T00:00:00"/>
    <x v="19"/>
    <n v="311"/>
    <n v="2"/>
    <n v="648"/>
    <s v="Card"/>
    <x v="7"/>
    <s v="Custmer complaned"/>
  </r>
  <r>
    <s v="BC21819"/>
    <x v="182"/>
    <x v="10"/>
    <d v="1899-12-30T12:41:47"/>
    <s v="Burger Camp, Pune"/>
    <s v="Sneha Shaikh"/>
    <d v="2009-08-27T00:00:00"/>
    <x v="24"/>
    <n v="162"/>
    <n v="1"/>
    <n v="162"/>
    <s v="Card"/>
    <x v="6"/>
    <s v="Custmer complaned"/>
  </r>
  <r>
    <s v="BC21820"/>
    <x v="127"/>
    <x v="11"/>
    <d v="1899-12-30T22:35:00"/>
    <s v="Burger Camp, Pune"/>
    <s v="Sneha Naik"/>
    <d v="2000-08-18T00:00:00"/>
    <x v="25"/>
    <n v="92"/>
    <n v="1"/>
    <n v="92"/>
    <s v="Wallet"/>
    <x v="2"/>
    <s v="Spicy"/>
  </r>
  <r>
    <s v="BC21821"/>
    <x v="127"/>
    <x v="11"/>
    <d v="1899-12-30T17:40:00"/>
    <s v="Burger Camp, Pune"/>
    <s v="Zaid Shinde"/>
    <d v="1983-03-26T00:00:00"/>
    <x v="24"/>
    <n v="163"/>
    <n v="1"/>
    <n v="163"/>
    <s v="Cash"/>
    <x v="3"/>
    <s v="Servd late"/>
  </r>
  <r>
    <s v="BC21822"/>
    <x v="52"/>
    <x v="11"/>
    <d v="1899-12-30T23:55:46"/>
    <s v="Burger Camp, Pune"/>
    <s v="pooja naik"/>
    <d v="2004-12-26T00:00:00"/>
    <x v="15"/>
    <n v="101"/>
    <n v="1"/>
    <n v="101"/>
    <s v="Wallet"/>
    <x v="4"/>
    <s v="repeat customer"/>
  </r>
  <r>
    <s v="BC21823"/>
    <x v="212"/>
    <x v="10"/>
    <d v="1899-12-30T15:09:00"/>
    <s v="Burger Camp, Pune"/>
    <s v="Zara Deshmukh"/>
    <d v="1999-02-13T00:00:00"/>
    <x v="20"/>
    <n v="237"/>
    <n v="1"/>
    <n v="100"/>
    <s v="Card"/>
    <x v="2"/>
    <s v="Servd late"/>
  </r>
  <r>
    <s v="BC21824"/>
    <x v="167"/>
    <x v="4"/>
    <d v="1899-12-30T12:51:48"/>
    <s v="Burger Camp, Pune"/>
    <s v="Mubin Patil"/>
    <d v="1982-05-01T00:00:00"/>
    <x v="13"/>
    <n v="139"/>
    <n v="2"/>
    <n v="279"/>
    <s v="Card"/>
    <x v="1"/>
    <s v="No onion"/>
  </r>
  <r>
    <s v="BC21825"/>
    <x v="128"/>
    <x v="4"/>
    <d v="1899-12-30T10:14:19"/>
    <s v="Burger Camp, Pune"/>
    <s v="Aisha More"/>
    <d v="1998-06-13T00:00:00"/>
    <x v="21"/>
    <n v="166"/>
    <n v="2"/>
    <n v="333"/>
    <s v="Wallet"/>
    <x v="2"/>
    <s v="No onion"/>
  </r>
  <r>
    <s v="BC21826"/>
    <x v="329"/>
    <x v="6"/>
    <d v="1899-12-30T20:47:00"/>
    <s v="Burger Camp, Pune"/>
    <s v="Mubin Shaikh"/>
    <d v="1998-06-13T00:00:00"/>
    <x v="23"/>
    <n v="163"/>
    <n v="1"/>
    <n v="164"/>
    <s v="Wallet"/>
    <x v="1"/>
    <s v="Extra cheese"/>
  </r>
  <r>
    <s v="BC21827"/>
    <x v="218"/>
    <x v="5"/>
    <d v="1899-12-30T10:43:49"/>
    <s v="Burger Camp, Pune"/>
    <s v="zaid khan"/>
    <d v="1972-05-19T00:00:00"/>
    <x v="19"/>
    <n v="236"/>
    <n v="3"/>
    <n v="710"/>
    <s v="UPI"/>
    <x v="5"/>
    <s v="Spicy"/>
  </r>
  <r>
    <s v="BC21828"/>
    <x v="246"/>
    <x v="1"/>
    <d v="1899-12-30T14:17:00"/>
    <s v="Burger Camp, Pune"/>
    <s v="Rahul Khan"/>
    <d v="2008-12-23T00:00:00"/>
    <x v="7"/>
    <n v="345"/>
    <n v="2"/>
    <n v="691"/>
    <s v="UPI"/>
    <x v="7"/>
    <s v="No onion"/>
  </r>
  <r>
    <s v="BC21829"/>
    <x v="218"/>
    <x v="5"/>
    <d v="1899-12-30T20:51:00"/>
    <s v="Burger Camp, Pune"/>
    <s v="Kiran Shaikh"/>
    <d v="1983-11-23T00:00:00"/>
    <x v="23"/>
    <n v="111"/>
    <n v="2"/>
    <n v="222"/>
    <s v="Cash "/>
    <x v="3"/>
    <s v="No onion"/>
  </r>
  <r>
    <s v="BC21830"/>
    <x v="144"/>
    <x v="0"/>
    <d v="1899-12-30T19:47:00"/>
    <s v="Burger Camp, Pune"/>
    <s v="Anil Patil"/>
    <d v="1974-04-07T00:00:00"/>
    <x v="6"/>
    <n v="116"/>
    <n v="2"/>
    <n v="233"/>
    <s v="UPI"/>
    <x v="2"/>
    <s v="No onion"/>
  </r>
  <r>
    <s v="BC21831"/>
    <x v="226"/>
    <x v="7"/>
    <d v="1899-12-30T23:26:50"/>
    <s v="Burger Camp, Pune"/>
    <s v="pooja joshi"/>
    <d v="1999-09-01T00:00:00"/>
    <x v="20"/>
    <n v="231"/>
    <n v="3"/>
    <n v="694"/>
    <s v="UPI"/>
    <x v="1"/>
    <s v="No onion"/>
  </r>
  <r>
    <s v="BC21832"/>
    <x v="168"/>
    <x v="7"/>
    <d v="1899-12-30T10:28:00"/>
    <s v="Burger Camp, Pune"/>
    <s v="Rahul Naik"/>
    <d v="1991-01-12T00:00:00"/>
    <x v="8"/>
    <n v="38"/>
    <n v="2"/>
    <n v="77"/>
    <s v="UPI"/>
    <x v="7"/>
    <s v="Less salt"/>
  </r>
  <r>
    <s v="BC21833"/>
    <x v="9"/>
    <x v="2"/>
    <d v="1899-12-30T14:55:23"/>
    <s v="Burger Camp, Pune"/>
    <s v="Farhan Shaikh"/>
    <d v="2007-10-15T00:00:00"/>
    <x v="0"/>
    <n v="93"/>
    <n v="3"/>
    <n v="281"/>
    <s v="Cash "/>
    <x v="1"/>
    <s v="Less salt"/>
  </r>
  <r>
    <s v="BC21834"/>
    <x v="283"/>
    <x v="5"/>
    <d v="1899-12-30T15:56:00"/>
    <s v="Burger Camp, Pune"/>
    <s v="Aarav Kulkarni"/>
    <d v="1984-01-19T00:00:00"/>
    <x v="15"/>
    <n v="126"/>
    <n v="2"/>
    <n v="253"/>
    <s v="UPI"/>
    <x v="3"/>
    <s v="repeat customer"/>
  </r>
  <r>
    <s v="BC21835"/>
    <x v="195"/>
    <x v="11"/>
    <d v="1899-12-30T10:43:00"/>
    <s v="Burger Camp, Pune"/>
    <s v="Kiran Khan"/>
    <d v="2000-08-08T00:00:00"/>
    <x v="3"/>
    <n v="47"/>
    <n v="1"/>
    <n v="48"/>
    <s v="Wallet"/>
    <x v="0"/>
    <s v="Custmer complaned"/>
  </r>
  <r>
    <s v="BC21836"/>
    <x v="306"/>
    <x v="9"/>
    <d v="1899-12-30T17:03:27"/>
    <s v="Burger Camp, Pune"/>
    <s v="Kiran Shinde"/>
    <d v="1971-04-21T00:00:00"/>
    <x v="23"/>
    <n v="47"/>
    <n v="1"/>
    <n v="48"/>
    <s v="UPI"/>
    <x v="1"/>
    <s v="repeat customer"/>
  </r>
  <r>
    <s v="BC21837"/>
    <x v="131"/>
    <x v="0"/>
    <d v="1899-12-30T23:22:00"/>
    <s v="Burger Camp, Pune"/>
    <s v="Sneha Deshmukh"/>
    <d v="1993-01-12T00:00:00"/>
    <x v="11"/>
    <n v="236"/>
    <n v="3"/>
    <n v="710"/>
    <s v="UPI"/>
    <x v="0"/>
    <s v="repeat customer"/>
  </r>
  <r>
    <s v="BC21838"/>
    <x v="357"/>
    <x v="6"/>
    <d v="1899-12-30T10:25:00"/>
    <s v="Burger Camp, Pune"/>
    <s v="Farhan Patil"/>
    <d v="1989-12-07T00:00:00"/>
    <x v="13"/>
    <n v="133"/>
    <n v="1"/>
    <n v="133"/>
    <s v="UPI"/>
    <x v="5"/>
    <s v="Extra cheese"/>
  </r>
  <r>
    <s v="BC21839"/>
    <x v="139"/>
    <x v="0"/>
    <d v="1899-12-30T10:11:00"/>
    <s v="Burger Camp, Pune"/>
    <s v="Anil Khan"/>
    <d v="2009-04-20T00:00:00"/>
    <x v="13"/>
    <n v="115"/>
    <n v="2"/>
    <n v="231"/>
    <s v="Cash "/>
    <x v="5"/>
    <s v="Custmer complaned"/>
  </r>
  <r>
    <s v="BC21840"/>
    <x v="105"/>
    <x v="3"/>
    <d v="1899-12-30T11:16:00"/>
    <s v="Burger Camp, Pune"/>
    <s v="Rahul Kulkarni"/>
    <d v="1992-02-11T00:00:00"/>
    <x v="22"/>
    <n v="270"/>
    <n v="2"/>
    <n v="541"/>
    <s v="Wallet"/>
    <x v="5"/>
    <s v="Custmer complaned"/>
  </r>
  <r>
    <s v="BC21841"/>
    <x v="186"/>
    <x v="4"/>
    <d v="1899-12-30T14:06:57"/>
    <s v="Burger Camp, Pune"/>
    <s v="Kiran Gore"/>
    <d v="2002-05-05T00:00:00"/>
    <x v="13"/>
    <n v="95"/>
    <n v="3"/>
    <n v="285"/>
    <s v="Wallet"/>
    <x v="1"/>
    <s v="repeat customer"/>
  </r>
  <r>
    <s v="BC21842"/>
    <x v="200"/>
    <x v="10"/>
    <d v="1899-12-30T20:45:00"/>
    <s v="Burger Camp, Pune"/>
    <s v="Zaid Kulkarni"/>
    <d v="1978-05-03T00:00:00"/>
    <x v="16"/>
    <n v="176"/>
    <n v="1"/>
    <m/>
    <s v="Wallet"/>
    <x v="1"/>
    <s v="Custmer complaned"/>
  </r>
  <r>
    <s v="BC21843"/>
    <x v="207"/>
    <x v="6"/>
    <d v="1899-12-30T14:04:00"/>
    <s v="Burger Camp, Pune"/>
    <s v="mubin patil"/>
    <d v="1999-05-15T00:00:00"/>
    <x v="12"/>
    <n v="335"/>
    <n v="1"/>
    <n v="335"/>
    <s v="UPI"/>
    <x v="7"/>
    <s v="Custmer complaned"/>
  </r>
  <r>
    <s v="BC21844"/>
    <x v="127"/>
    <x v="11"/>
    <d v="1899-12-30T21:31:00"/>
    <s v="Burger Camp, Pune"/>
    <s v="Sneha More"/>
    <d v="1998-05-24T00:00:00"/>
    <x v="3"/>
    <n v="74"/>
    <n v="2"/>
    <n v="149"/>
    <s v="Cash"/>
    <x v="6"/>
    <s v="Spicy"/>
  </r>
  <r>
    <s v="BC21845"/>
    <x v="207"/>
    <x v="6"/>
    <d v="1899-12-30T22:48:00"/>
    <s v="Burger Camp, Pune"/>
    <s v="Aisha Shaikh"/>
    <d v="1998-01-17T00:00:00"/>
    <x v="10"/>
    <n v="176"/>
    <n v="1"/>
    <n v="177"/>
    <s v="Card"/>
    <x v="0"/>
    <s v="Spicy"/>
  </r>
  <r>
    <s v="BC21846"/>
    <x v="296"/>
    <x v="5"/>
    <d v="1899-12-30T14:00:00"/>
    <s v="Burger Camp, Pune"/>
    <s v="Pooja Kulkarni"/>
    <d v="1994-09-23T00:00:00"/>
    <x v="23"/>
    <n v="95"/>
    <n v="2"/>
    <m/>
    <s v="UPI"/>
    <x v="5"/>
    <s v="Spicy"/>
  </r>
  <r>
    <s v="BC21847"/>
    <x v="38"/>
    <x v="3"/>
    <d v="1899-12-30T10:43:00"/>
    <s v="Burger Camp, Pune"/>
    <s v="Kiran Patil"/>
    <d v="1996-11-16T00:00:00"/>
    <x v="2"/>
    <n v="207"/>
    <n v="1"/>
    <n v="208"/>
    <s v="Wallet"/>
    <x v="3"/>
    <s v="Spicy"/>
  </r>
  <r>
    <s v="BC21848"/>
    <x v="27"/>
    <x v="7"/>
    <d v="1899-12-30T13:19:00"/>
    <s v="Burger Camp, Pune"/>
    <s v="Anil Shaikh"/>
    <d v="1973-09-07T00:00:00"/>
    <x v="5"/>
    <n v="157"/>
    <n v="2"/>
    <n v="315"/>
    <s v="Card"/>
    <x v="6"/>
    <s v="No onion"/>
  </r>
  <r>
    <s v="BC21849"/>
    <x v="296"/>
    <x v="5"/>
    <d v="1899-12-30T22:32:00"/>
    <s v="Burger Camp, Pune"/>
    <s v="Sneha Shaikh"/>
    <d v="1990-12-22T00:00:00"/>
    <x v="13"/>
    <n v="112"/>
    <n v="3"/>
    <n v="337"/>
    <s v="Card"/>
    <x v="7"/>
    <s v="Custmer complaned"/>
  </r>
  <r>
    <s v="BC21850"/>
    <x v="342"/>
    <x v="8"/>
    <d v="1899-12-30T19:43:55"/>
    <s v="Burger Camp, Pune"/>
    <s v="Riya Khan"/>
    <d v="1993-11-02T00:00:00"/>
    <x v="11"/>
    <n v="215"/>
    <n v="1"/>
    <n v="100"/>
    <s v="Cash"/>
    <x v="6"/>
    <s v="Custmer complaned"/>
  </r>
  <r>
    <s v="BC21851"/>
    <x v="313"/>
    <x v="7"/>
    <d v="1899-12-30T17:48:00"/>
    <s v="Burger Camp, Pune"/>
    <s v="Farhan Gore"/>
    <d v="1975-12-24T00:00:00"/>
    <x v="0"/>
    <n v="92"/>
    <n v="3"/>
    <n v="276"/>
    <s v="Cash"/>
    <x v="2"/>
    <s v="repeat customer"/>
  </r>
  <r>
    <s v="BC21852"/>
    <x v="149"/>
    <x v="6"/>
    <d v="1899-12-30T16:48:00"/>
    <s v="Burger Camp, Pune"/>
    <s v="Sneha More"/>
    <d v="1977-03-24T00:00:00"/>
    <x v="5"/>
    <n v="241"/>
    <n v="1"/>
    <n v="241"/>
    <s v="Cash"/>
    <x v="3"/>
    <s v="Extra cheese"/>
  </r>
  <r>
    <s v="BC21853"/>
    <x v="283"/>
    <x v="5"/>
    <d v="1899-12-30T11:07:28"/>
    <s v="Burger Camp, Pune"/>
    <s v="Kiran Shinde"/>
    <d v="1999-05-16T00:00:00"/>
    <x v="17"/>
    <n v="123"/>
    <n v="1"/>
    <n v="124"/>
    <s v="Cash"/>
    <x v="5"/>
    <s v="Less salt"/>
  </r>
  <r>
    <s v="BC21854"/>
    <x v="332"/>
    <x v="11"/>
    <d v="1899-12-30T22:36:00"/>
    <s v="Burger Camp, Pune"/>
    <s v=" Riya Khan "/>
    <d v="1983-04-10T00:00:00"/>
    <x v="15"/>
    <n v="323"/>
    <n v="1"/>
    <n v="303"/>
    <s v="Cash"/>
    <x v="4"/>
    <s v="Servd late"/>
  </r>
  <r>
    <s v="BC21855"/>
    <x v="272"/>
    <x v="10"/>
    <d v="1899-12-30T17:47:00"/>
    <s v="Burger Camp, Pune"/>
    <s v="Sneha Gore"/>
    <d v="1987-09-17T00:00:00"/>
    <x v="15"/>
    <n v="295"/>
    <n v="2"/>
    <n v="591"/>
    <s v="UPI"/>
    <x v="4"/>
    <s v="Servd late"/>
  </r>
  <r>
    <s v="BC21856"/>
    <x v="245"/>
    <x v="9"/>
    <d v="1899-12-30T20:02:00"/>
    <s v="Burger Camp, Pune"/>
    <s v="Aarav Naik"/>
    <d v="2005-07-07T00:00:00"/>
    <x v="7"/>
    <n v="92"/>
    <n v="2"/>
    <n v="185"/>
    <s v="Card"/>
    <x v="1"/>
    <s v="Servd late"/>
  </r>
  <r>
    <s v="BC21857"/>
    <x v="299"/>
    <x v="1"/>
    <d v="1899-12-30T15:16:00"/>
    <s v="Burger Camp, Pune"/>
    <s v="Pooja Patil"/>
    <d v="1984-01-24T00:00:00"/>
    <x v="18"/>
    <n v="167"/>
    <n v="2"/>
    <n v="336"/>
    <s v="UPI"/>
    <x v="1"/>
    <s v="Servd late"/>
  </r>
  <r>
    <s v="BC21858"/>
    <x v="356"/>
    <x v="8"/>
    <d v="1899-12-30T13:04:00"/>
    <s v="Burger Camp, Pune"/>
    <s v="Aisha Naik"/>
    <d v="1994-07-28T00:00:00"/>
    <x v="11"/>
    <n v="192"/>
    <n v="2"/>
    <n v="385"/>
    <s v="Card"/>
    <x v="6"/>
    <s v="Custmer complaned"/>
  </r>
  <r>
    <s v="BC21859"/>
    <x v="94"/>
    <x v="5"/>
    <d v="1899-12-30T14:44:00"/>
    <s v="Burger Camp, Pune"/>
    <s v="Zaid Gore"/>
    <d v="1988-07-26T00:00:00"/>
    <x v="6"/>
    <n v="115"/>
    <n v="1"/>
    <m/>
    <s v="Card"/>
    <x v="6"/>
    <s v="Custmer complaned"/>
  </r>
  <r>
    <s v="BC21860"/>
    <x v="170"/>
    <x v="7"/>
    <d v="1899-12-30T23:33:00"/>
    <s v="Burger Camp, Pune"/>
    <s v="Aisha Deshmukh"/>
    <d v="1974-10-18T00:00:00"/>
    <x v="1"/>
    <n v="265"/>
    <n v="2"/>
    <n v="532"/>
    <s v="Card"/>
    <x v="7"/>
    <s v="Custmer complaned"/>
  </r>
  <r>
    <s v="BC21861"/>
    <x v="125"/>
    <x v="4"/>
    <d v="1899-12-30T18:58:00"/>
    <s v="Burger Camp, Pune"/>
    <s v="Zara Patil"/>
    <d v="1999-02-15T00:00:00"/>
    <x v="11"/>
    <n v="226"/>
    <n v="1"/>
    <n v="227"/>
    <s v="UPI"/>
    <x v="2"/>
    <s v="Less salt"/>
  </r>
  <r>
    <s v="BC21862"/>
    <x v="241"/>
    <x v="5"/>
    <d v="1899-12-30T19:01:00"/>
    <s v="Burger Camp, Pune"/>
    <s v="Sneha Kulkarni"/>
    <d v="1975-03-13T00:00:00"/>
    <x v="4"/>
    <n v="189"/>
    <n v="1"/>
    <n v="190"/>
    <s v="UPI"/>
    <x v="3"/>
    <s v="Less salt"/>
  </r>
  <r>
    <s v="BC21863"/>
    <x v="212"/>
    <x v="10"/>
    <d v="1899-12-30T20:11:00"/>
    <s v="Burger Camp, Pune"/>
    <s v="Sneha Kulkarni"/>
    <d v="1976-03-12T00:00:00"/>
    <x v="7"/>
    <n v="245"/>
    <n v="2"/>
    <n v="492"/>
    <s v="Wallet"/>
    <x v="5"/>
    <s v="Less salt"/>
  </r>
  <r>
    <s v="BC21864"/>
    <x v="343"/>
    <x v="3"/>
    <d v="1899-12-30T10:39:00"/>
    <s v="Burger Camp, Pune"/>
    <s v="Pooja Shinde"/>
    <d v="2004-05-17T00:00:00"/>
    <x v="14"/>
    <n v="144"/>
    <n v="1"/>
    <n v="145"/>
    <s v="UPI"/>
    <x v="2"/>
    <s v="Less salt"/>
  </r>
  <r>
    <s v="BC21865"/>
    <x v="256"/>
    <x v="2"/>
    <d v="1899-12-30T10:23:59"/>
    <s v="Burger Camp, Pune"/>
    <s v="Rahul Naik"/>
    <d v="2007-04-23T00:00:00"/>
    <x v="20"/>
    <n v="293"/>
    <n v="2"/>
    <n v="587"/>
    <s v="Card"/>
    <x v="5"/>
    <s v="Spicy"/>
  </r>
  <r>
    <s v="BC21866"/>
    <x v="236"/>
    <x v="8"/>
    <d v="1899-12-30T21:51:00"/>
    <s v="Burger Camp, Pune"/>
    <s v="Sneha Patil"/>
    <d v="1987-05-22T00:00:00"/>
    <x v="3"/>
    <n v="202"/>
    <n v="3"/>
    <n v="608"/>
    <s v="Wallet"/>
    <x v="5"/>
    <s v="Spicy"/>
  </r>
  <r>
    <s v="BC21867"/>
    <x v="73"/>
    <x v="1"/>
    <d v="1899-12-30T13:34:00"/>
    <s v="Burger Camp, Pune"/>
    <s v="Zaid Patil"/>
    <d v="1989-01-20T00:00:00"/>
    <x v="25"/>
    <n v="256"/>
    <n v="2"/>
    <m/>
    <s v="UPI"/>
    <x v="1"/>
    <s v="Servd late"/>
  </r>
  <r>
    <s v="BC21868"/>
    <x v="112"/>
    <x v="9"/>
    <d v="1899-12-30T21:33:00"/>
    <s v="Burger Camp, Pune"/>
    <s v="Anil Shaikh"/>
    <d v="1981-03-18T00:00:00"/>
    <x v="7"/>
    <n v="333"/>
    <n v="2"/>
    <n v="666"/>
    <s v="Cash"/>
    <x v="2"/>
    <s v="Servd late"/>
  </r>
  <r>
    <s v="BC21869"/>
    <x v="16"/>
    <x v="7"/>
    <d v="1899-12-30T17:00:42"/>
    <s v="Burger Camp, Pune"/>
    <s v="Riya Shinde"/>
    <d v="1993-10-07T00:00:00"/>
    <x v="5"/>
    <n v="209"/>
    <n v="2"/>
    <n v="420"/>
    <s v="Card"/>
    <x v="5"/>
    <s v="Servd late"/>
  </r>
  <r>
    <s v="BC21870"/>
    <x v="328"/>
    <x v="2"/>
    <d v="1899-12-30T15:21:32"/>
    <s v="Burger Camp, Pune"/>
    <s v="Riya More"/>
    <d v="2004-09-27T00:00:00"/>
    <x v="16"/>
    <n v="150"/>
    <n v="2"/>
    <n v="300"/>
    <s v="Card"/>
    <x v="6"/>
    <s v="Servd late"/>
  </r>
  <r>
    <s v="BC21871"/>
    <x v="253"/>
    <x v="1"/>
    <d v="1899-12-30T14:57:00"/>
    <s v="Burger Camp, Pune"/>
    <s v="Pooja Khan"/>
    <d v="2010-06-24T00:00:00"/>
    <x v="8"/>
    <n v="41"/>
    <n v="1"/>
    <n v="42"/>
    <s v="Card"/>
    <x v="3"/>
    <s v="Servd late"/>
  </r>
  <r>
    <s v="BC21872"/>
    <x v="265"/>
    <x v="4"/>
    <d v="1899-12-30T20:22:52"/>
    <s v="Burger Camp, Pune"/>
    <s v="Sneha Deshmukh"/>
    <d v="2006-09-03T00:00:00"/>
    <x v="21"/>
    <n v="166"/>
    <n v="2"/>
    <n v="369"/>
    <s v="Cash "/>
    <x v="4"/>
    <s v="Spicy"/>
  </r>
  <r>
    <s v="BC21873"/>
    <x v="204"/>
    <x v="7"/>
    <d v="1899-12-30T21:52:00"/>
    <s v="Burger Camp, Pune"/>
    <s v="Rahul Kulkarni"/>
    <d v="1984-11-03T00:00:00"/>
    <x v="7"/>
    <n v="157"/>
    <n v="2"/>
    <n v="314"/>
    <s v="Cash "/>
    <x v="1"/>
    <s v="Extra cheese"/>
  </r>
  <r>
    <s v="BC21874"/>
    <x v="204"/>
    <x v="7"/>
    <d v="1899-12-30T12:54:00"/>
    <s v="Burger Camp, Pune"/>
    <s v="aarav khan"/>
    <d v="1991-12-12T00:00:00"/>
    <x v="15"/>
    <n v="131"/>
    <n v="1"/>
    <n v="131"/>
    <s v="UPI"/>
    <x v="2"/>
    <s v="Extra cheese"/>
  </r>
  <r>
    <s v="BC21875"/>
    <x v="157"/>
    <x v="8"/>
    <d v="1899-12-30T22:10:00"/>
    <s v="Burger Camp, Pune"/>
    <s v="Mubin Patil"/>
    <d v="1977-06-07T00:00:00"/>
    <x v="14"/>
    <n v="289"/>
    <n v="1"/>
    <m/>
    <s v="Cash"/>
    <x v="6"/>
    <s v="Extra cheese"/>
  </r>
  <r>
    <s v="BC21876"/>
    <x v="31"/>
    <x v="3"/>
    <d v="1899-12-30T14:25:00"/>
    <s v="Burger Camp, Pune"/>
    <s v="Riya Naik"/>
    <d v="1986-10-04T00:00:00"/>
    <x v="12"/>
    <n v="327"/>
    <n v="2"/>
    <n v="655"/>
    <s v="Cash "/>
    <x v="1"/>
    <s v="Extra cheese"/>
  </r>
  <r>
    <s v="BC21877"/>
    <x v="330"/>
    <x v="0"/>
    <d v="1899-12-30T11:19:06"/>
    <s v="Burger Camp, Pune"/>
    <s v="Anil Kulkarni"/>
    <d v="1994-09-22T00:00:00"/>
    <x v="3"/>
    <n v="53"/>
    <n v="3"/>
    <n v="161"/>
    <s v="UPI"/>
    <x v="4"/>
    <s v="Servd late"/>
  </r>
  <r>
    <s v="BC21878"/>
    <x v="104"/>
    <x v="1"/>
    <d v="1899-12-30T11:09:00"/>
    <s v="Burger Camp, Pune"/>
    <s v="Zara Gore"/>
    <d v="2007-12-19T00:00:00"/>
    <x v="0"/>
    <n v="109"/>
    <n v="3"/>
    <n v="329"/>
    <s v="Card"/>
    <x v="1"/>
    <s v="Custmer complaned"/>
  </r>
  <r>
    <s v="BC21879"/>
    <x v="123"/>
    <x v="10"/>
    <d v="1899-12-30T10:08:00"/>
    <s v="Burger Camp, Pune"/>
    <s v="Riya Kulkarni"/>
    <d v="2010-08-03T00:00:00"/>
    <x v="19"/>
    <n v="109"/>
    <n v="3"/>
    <n v="329"/>
    <s v="Card"/>
    <x v="2"/>
    <s v="Spicy"/>
  </r>
  <r>
    <s v="BC21880"/>
    <x v="172"/>
    <x v="3"/>
    <d v="1899-12-30T18:18:35"/>
    <s v="Burger Camp, Pune"/>
    <s v="Farhan Naik"/>
    <d v="1991-12-14T00:00:00"/>
    <x v="25"/>
    <n v="169"/>
    <n v="1"/>
    <n v="170"/>
    <s v="Wallet"/>
    <x v="0"/>
    <s v="Extra cheese"/>
  </r>
  <r>
    <s v="BC21881"/>
    <x v="28"/>
    <x v="4"/>
    <d v="1899-12-30T14:43:00"/>
    <s v="Burger Camp, Pune"/>
    <s v="Pooja Patil"/>
    <d v="2003-12-07T00:00:00"/>
    <x v="19"/>
    <n v="294"/>
    <n v="1"/>
    <n v="294"/>
    <s v="UPI"/>
    <x v="6"/>
    <s v="Less salt"/>
  </r>
  <r>
    <s v="BC21882"/>
    <x v="152"/>
    <x v="8"/>
    <d v="1899-12-30T18:10:00"/>
    <s v="Burger Camp, Pune"/>
    <s v="Anil Joshi"/>
    <d v="1995-03-28T00:00:00"/>
    <x v="24"/>
    <n v="122"/>
    <n v="1"/>
    <n v="100"/>
    <s v="Cash "/>
    <x v="0"/>
    <s v="Less salt"/>
  </r>
  <r>
    <s v="BC21883"/>
    <x v="164"/>
    <x v="1"/>
    <d v="1899-12-30T13:33:00"/>
    <s v="Burger Camp, Pune"/>
    <s v="Farhan Naik"/>
    <d v="1990-12-06T00:00:00"/>
    <x v="15"/>
    <n v="109"/>
    <n v="3"/>
    <n v="328"/>
    <s v="Cash "/>
    <x v="5"/>
    <s v="repeat customer"/>
  </r>
  <r>
    <s v="BC21884"/>
    <x v="164"/>
    <x v="1"/>
    <d v="1899-12-30T21:33:59"/>
    <s v="Burger Camp, Pune"/>
    <s v="Zaid Kulkarni"/>
    <d v="1993-06-17T00:00:00"/>
    <x v="6"/>
    <n v="104"/>
    <n v="3"/>
    <n v="314"/>
    <s v="Cash"/>
    <x v="1"/>
    <s v="Less salt"/>
  </r>
  <r>
    <s v="BC21885"/>
    <x v="145"/>
    <x v="8"/>
    <d v="1899-12-30T21:26:52"/>
    <s v="Burger Camp, Pune"/>
    <s v="Anil Gore"/>
    <d v="1981-02-14T00:00:00"/>
    <x v="13"/>
    <n v="120"/>
    <n v="2"/>
    <n v="241"/>
    <s v="Wallet"/>
    <x v="1"/>
    <s v="Spicy"/>
  </r>
  <r>
    <s v="BC21886"/>
    <x v="16"/>
    <x v="7"/>
    <d v="1899-12-30T18:24:00"/>
    <s v="Burger Camp, Pune"/>
    <s v="Zaid Patil"/>
    <d v="2001-06-21T00:00:00"/>
    <x v="24"/>
    <n v="147"/>
    <n v="1"/>
    <n v="147"/>
    <s v="Card"/>
    <x v="7"/>
    <s v="repeat customer"/>
  </r>
  <r>
    <s v="BC21887"/>
    <x v="36"/>
    <x v="0"/>
    <d v="1899-12-30T15:43:00"/>
    <s v="Burger Camp, Pune"/>
    <s v=" Zara More "/>
    <d v="1985-12-16T00:00:00"/>
    <x v="3"/>
    <n v="111"/>
    <n v="2"/>
    <n v="223"/>
    <s v="Cash"/>
    <x v="6"/>
    <s v="Servd late"/>
  </r>
  <r>
    <s v="BC21888"/>
    <x v="201"/>
    <x v="5"/>
    <d v="1899-12-30T11:59:45"/>
    <s v="Burger Camp, Pune"/>
    <s v="Farhan Shinde"/>
    <d v="1989-10-21T00:00:00"/>
    <x v="12"/>
    <n v="226"/>
    <n v="3"/>
    <m/>
    <s v="Card"/>
    <x v="3"/>
    <s v="repeat customer"/>
  </r>
  <r>
    <s v="BC21889"/>
    <x v="138"/>
    <x v="2"/>
    <d v="1899-12-30T15:48:00"/>
    <s v="Burger Camp, Pune"/>
    <s v="Kiran Naik"/>
    <d v="1993-11-03T00:00:00"/>
    <x v="16"/>
    <n v="165"/>
    <n v="1"/>
    <n v="165"/>
    <s v="Card"/>
    <x v="1"/>
    <s v="Extra cheese"/>
  </r>
  <r>
    <s v="BC21890"/>
    <x v="289"/>
    <x v="11"/>
    <d v="1899-12-30T12:31:00"/>
    <s v="Burger Camp, Pune"/>
    <s v="Aarav More"/>
    <d v="1998-06-20T00:00:00"/>
    <x v="17"/>
    <n v="138"/>
    <n v="1"/>
    <n v="139"/>
    <s v="Card"/>
    <x v="5"/>
    <s v="Custmer complaned"/>
  </r>
  <r>
    <s v="BC21891"/>
    <x v="245"/>
    <x v="9"/>
    <d v="1899-12-30T22:04:00"/>
    <s v="Burger Camp, Pune"/>
    <s v="Zaid More"/>
    <d v="2006-09-16T00:00:00"/>
    <x v="17"/>
    <n v="129"/>
    <n v="1"/>
    <n v="130"/>
    <s v="Card"/>
    <x v="4"/>
    <s v="Custmer complaned"/>
  </r>
  <r>
    <s v="BC21892"/>
    <x v="39"/>
    <x v="3"/>
    <d v="1899-12-30T15:17:00"/>
    <s v="Burger Camp, Pune"/>
    <s v="Pooja Deshmukh"/>
    <d v="1977-11-18T00:00:00"/>
    <x v="8"/>
    <n v="46"/>
    <n v="2"/>
    <m/>
    <s v="Card"/>
    <x v="3"/>
    <s v="Extra cheese"/>
  </r>
  <r>
    <s v="BC21893"/>
    <x v="190"/>
    <x v="4"/>
    <d v="1899-12-30T21:56:00"/>
    <s v="Burger Camp, Pune"/>
    <s v="Rahul Naik"/>
    <d v="1977-11-18T00:00:00"/>
    <x v="12"/>
    <n v="282"/>
    <n v="2"/>
    <n v="565"/>
    <s v="Card"/>
    <x v="5"/>
    <s v="repeat customer"/>
  </r>
  <r>
    <s v="BC21894"/>
    <x v="190"/>
    <x v="4"/>
    <d v="1899-12-30T11:46:00"/>
    <s v="Burger Camp, Pune"/>
    <s v="rahul joshi"/>
    <d v="1991-12-12T00:00:00"/>
    <x v="3"/>
    <n v="102"/>
    <n v="1"/>
    <n v="103"/>
    <s v="Card"/>
    <x v="3"/>
    <s v="Custmer complaned"/>
  </r>
  <r>
    <s v="BC21895"/>
    <x v="203"/>
    <x v="2"/>
    <d v="1899-12-30T12:10:57"/>
    <s v="Burger Camp, Pune"/>
    <s v="riya shinde"/>
    <d v="1981-08-15T00:00:00"/>
    <x v="14"/>
    <n v="38"/>
    <n v="2"/>
    <n v="76"/>
    <s v="Card"/>
    <x v="3"/>
    <s v="Extra cheese"/>
  </r>
  <r>
    <s v="BC21896"/>
    <x v="193"/>
    <x v="5"/>
    <d v="1899-12-30T20:09:00"/>
    <s v="Burger Camp, Pune"/>
    <s v="Anil Patil"/>
    <d v="1982-04-22T00:00:00"/>
    <x v="4"/>
    <n v="224"/>
    <n v="2"/>
    <n v="448"/>
    <s v="Wallet"/>
    <x v="0"/>
    <s v="Servd late"/>
  </r>
  <r>
    <s v="BC21897"/>
    <x v="138"/>
    <x v="2"/>
    <d v="1899-12-30T19:04:00"/>
    <s v="Burger Camp, Pune"/>
    <s v="Pooja Kulkarni"/>
    <d v="1977-04-23T00:00:00"/>
    <x v="15"/>
    <n v="311"/>
    <n v="1"/>
    <n v="312"/>
    <s v="UPI"/>
    <x v="1"/>
    <s v="repeat customer"/>
  </r>
  <r>
    <s v="BC21898"/>
    <x v="187"/>
    <x v="9"/>
    <d v="1899-12-30T23:19:00"/>
    <s v="Burger Camp, Pune"/>
    <s v="Aarav Gore"/>
    <d v="1977-04-23T00:00:00"/>
    <x v="4"/>
    <n v="210"/>
    <n v="2"/>
    <n v="421"/>
    <s v="UPI"/>
    <x v="0"/>
    <s v="Servd late"/>
  </r>
  <r>
    <s v="BC21899"/>
    <x v="259"/>
    <x v="3"/>
    <d v="1899-12-30T17:43:00"/>
    <s v="Burger Camp, Pune"/>
    <s v="Aisha Naik"/>
    <d v="1999-06-26T00:00:00"/>
    <x v="8"/>
    <n v="39"/>
    <n v="3"/>
    <n v="118"/>
    <s v="Wallet"/>
    <x v="5"/>
    <s v="Custmer complaned"/>
  </r>
  <r>
    <s v="BC21900"/>
    <x v="150"/>
    <x v="4"/>
    <d v="1899-12-30T19:27:28"/>
    <s v="Burger Camp, Pune"/>
    <s v="Aisha Shinde"/>
    <d v="1980-05-19T00:00:00"/>
    <x v="12"/>
    <n v="253"/>
    <n v="1"/>
    <n v="253"/>
    <s v="Card"/>
    <x v="7"/>
    <s v="Less salt"/>
  </r>
  <r>
    <s v="BC21901"/>
    <x v="191"/>
    <x v="4"/>
    <d v="1899-12-30T20:41:00"/>
    <s v="Burger Camp, Pune"/>
    <s v="Zara Khan"/>
    <d v="1975-12-13T00:00:00"/>
    <x v="10"/>
    <n v="44"/>
    <n v="1"/>
    <n v="39"/>
    <s v="UPI"/>
    <x v="7"/>
    <s v="Custmer complaned"/>
  </r>
  <r>
    <s v="BC21902"/>
    <x v="30"/>
    <x v="3"/>
    <d v="1899-12-30T16:48:38"/>
    <s v="Burger Camp, Pune"/>
    <s v="Kiran Shaikh"/>
    <d v="1973-12-04T00:00:00"/>
    <x v="4"/>
    <n v="216"/>
    <n v="3"/>
    <n v="651"/>
    <s v="Card"/>
    <x v="1"/>
    <s v="Custmer complaned"/>
  </r>
  <r>
    <s v="BC21903"/>
    <x v="212"/>
    <x v="10"/>
    <d v="1899-12-30T14:08:09"/>
    <s v="Burger Camp, Pune"/>
    <s v="Anil Khan"/>
    <d v="1980-03-17T00:00:00"/>
    <x v="22"/>
    <n v="73"/>
    <n v="3"/>
    <n v="220"/>
    <s v="Cash "/>
    <x v="3"/>
    <s v="Custmer complaned"/>
  </r>
  <r>
    <s v="BC21904"/>
    <x v="282"/>
    <x v="9"/>
    <d v="1899-12-30T23:09:00"/>
    <s v="Burger Camp, Pune"/>
    <s v="Farhan Naik"/>
    <d v="2010-08-06T00:00:00"/>
    <x v="21"/>
    <n v="211"/>
    <n v="2"/>
    <n v="424"/>
    <s v="Card"/>
    <x v="7"/>
    <s v="Extra cheese"/>
  </r>
  <r>
    <s v="BC21905"/>
    <x v="132"/>
    <x v="9"/>
    <d v="1899-12-30T13:54:00"/>
    <s v="Burger Camp, Pune"/>
    <s v="Rahul Naik"/>
    <d v="2001-07-20T00:00:00"/>
    <x v="19"/>
    <n v="362"/>
    <n v="2"/>
    <n v="726"/>
    <s v="UPI"/>
    <x v="4"/>
    <s v="Servd late"/>
  </r>
  <r>
    <s v="BC21906"/>
    <x v="71"/>
    <x v="3"/>
    <d v="1899-12-30T16:05:00"/>
    <s v="Burger Camp, Pune"/>
    <s v="Rahul Kulkarni"/>
    <d v="2000-02-28T00:00:00"/>
    <x v="17"/>
    <n v="138"/>
    <n v="3"/>
    <n v="415"/>
    <s v="Card"/>
    <x v="0"/>
    <s v="Extra cheese"/>
  </r>
  <r>
    <s v="BC21907"/>
    <x v="362"/>
    <x v="3"/>
    <d v="1899-12-30T18:21:35"/>
    <s v="Burger Camp, Pune"/>
    <s v="Pooja More"/>
    <d v="1978-05-20T00:00:00"/>
    <x v="22"/>
    <n v="314"/>
    <n v="2"/>
    <n v="628"/>
    <s v="Card"/>
    <x v="7"/>
    <s v="Spicy"/>
  </r>
  <r>
    <s v="BC21908"/>
    <x v="206"/>
    <x v="8"/>
    <d v="1899-12-30T17:47:00"/>
    <s v="Burger Camp, Pune"/>
    <s v="Kiran Joshi"/>
    <d v="2005-07-11T00:00:00"/>
    <x v="15"/>
    <n v="239"/>
    <n v="1"/>
    <n v="239"/>
    <s v="Card"/>
    <x v="4"/>
    <s v="Spicy"/>
  </r>
  <r>
    <s v="BC21909"/>
    <x v="139"/>
    <x v="0"/>
    <d v="1899-12-30T13:55:03"/>
    <s v="Burger Camp, Pune"/>
    <s v="sneha shaikh"/>
    <d v="2006-09-27T00:00:00"/>
    <x v="14"/>
    <n v="156"/>
    <n v="1"/>
    <n v="157"/>
    <s v="Card"/>
    <x v="5"/>
    <s v="No onion"/>
  </r>
  <r>
    <s v="BC21910"/>
    <x v="348"/>
    <x v="8"/>
    <d v="1899-12-30T19:09:00"/>
    <s v="Burger Camp, Pune"/>
    <s v=" Mubin Joshi "/>
    <d v="1988-06-16T00:00:00"/>
    <x v="25"/>
    <n v="136"/>
    <n v="1"/>
    <n v="136"/>
    <s v="UPI"/>
    <x v="7"/>
    <s v="Less salt"/>
  </r>
  <r>
    <s v="BC21911"/>
    <x v="15"/>
    <x v="2"/>
    <d v="1899-12-30T18:14:00"/>
    <s v="Burger Camp, Pune"/>
    <s v="Rahul Khan"/>
    <d v="1983-04-18T00:00:00"/>
    <x v="15"/>
    <n v="215"/>
    <n v="2"/>
    <n v="430"/>
    <s v="Card"/>
    <x v="1"/>
    <s v="Less salt"/>
  </r>
  <r>
    <s v="BC21912"/>
    <x v="44"/>
    <x v="3"/>
    <d v="1899-12-30T16:44:00"/>
    <s v="Burger Camp, Pune"/>
    <s v="Anil Patil"/>
    <d v="2007-03-06T00:00:00"/>
    <x v="15"/>
    <n v="185"/>
    <n v="3"/>
    <n v="557"/>
    <s v="Card"/>
    <x v="5"/>
    <s v="Less salt"/>
  </r>
  <r>
    <s v="BC21913"/>
    <x v="114"/>
    <x v="8"/>
    <d v="1899-12-30T20:57:00"/>
    <s v="Burger Camp, Pune"/>
    <s v="Pooja Naik"/>
    <d v="2007-03-06T00:00:00"/>
    <x v="5"/>
    <n v="252"/>
    <n v="2"/>
    <n v="506"/>
    <s v="Card"/>
    <x v="7"/>
    <s v="Less salt"/>
  </r>
  <r>
    <s v="BC21914"/>
    <x v="268"/>
    <x v="2"/>
    <d v="1899-12-30T19:08:00"/>
    <s v="Burger Camp, Pune"/>
    <s v="Kiran Joshi"/>
    <d v="1993-08-03T00:00:00"/>
    <x v="10"/>
    <n v="150"/>
    <n v="1"/>
    <n v="150"/>
    <s v="Card"/>
    <x v="5"/>
    <s v="Servd late"/>
  </r>
  <r>
    <s v="BC21915"/>
    <x v="29"/>
    <x v="6"/>
    <d v="1899-12-30T11:03:58"/>
    <s v="Burger Camp, Pune"/>
    <s v="Sneha Deshmukh"/>
    <d v="1974-09-15T00:00:00"/>
    <x v="19"/>
    <n v="323"/>
    <n v="1"/>
    <n v="324"/>
    <s v="Card"/>
    <x v="2"/>
    <s v="Servd late"/>
  </r>
  <r>
    <s v="BC21916"/>
    <x v="154"/>
    <x v="0"/>
    <d v="1899-12-30T21:57:00"/>
    <s v="Burger Camp, Pune"/>
    <s v="Aarav Khan"/>
    <d v="1992-10-21T00:00:00"/>
    <x v="5"/>
    <n v="343"/>
    <n v="1"/>
    <n v="344"/>
    <s v="Cash"/>
    <x v="2"/>
    <s v="Custmer complaned"/>
  </r>
  <r>
    <s v="BC21917"/>
    <x v="187"/>
    <x v="9"/>
    <d v="1899-12-30T23:02:32"/>
    <s v="Burger Camp, Pune"/>
    <s v="Kiran Gore"/>
    <d v="1975-08-24T00:00:00"/>
    <x v="14"/>
    <n v="316"/>
    <n v="1"/>
    <n v="317"/>
    <s v="Cash "/>
    <x v="7"/>
    <s v="No onion"/>
  </r>
  <r>
    <s v="BC21918"/>
    <x v="322"/>
    <x v="7"/>
    <d v="1899-12-30T15:35:00"/>
    <s v="Burger Camp, Pune"/>
    <s v="sneha shaikh"/>
    <d v="2000-01-01T00:00:00"/>
    <x v="23"/>
    <n v="53"/>
    <n v="1"/>
    <n v="53"/>
    <s v="Wallet"/>
    <x v="3"/>
    <s v="No onion"/>
  </r>
  <r>
    <s v="BC21919"/>
    <x v="86"/>
    <x v="9"/>
    <d v="1899-12-30T11:24:06"/>
    <s v="Burger Camp, Pune"/>
    <s v="Riya Shinde"/>
    <d v="1989-10-04T00:00:00"/>
    <x v="4"/>
    <n v="209"/>
    <n v="1"/>
    <m/>
    <s v="Cash"/>
    <x v="2"/>
    <s v="No onion"/>
  </r>
  <r>
    <s v="BC21920"/>
    <x v="172"/>
    <x v="3"/>
    <d v="1899-12-30T20:32:00"/>
    <s v="Burger Camp, Pune"/>
    <s v="Farhan Khan"/>
    <d v="2008-03-12T00:00:00"/>
    <x v="9"/>
    <n v="290"/>
    <n v="1"/>
    <n v="290"/>
    <s v="Wallet"/>
    <x v="0"/>
    <s v="Servd late"/>
  </r>
  <r>
    <s v="BC21921"/>
    <x v="266"/>
    <x v="1"/>
    <d v="1899-12-30T23:42:00"/>
    <s v="Burger Camp, Pune"/>
    <s v=" Sneha Khan "/>
    <d v="1982-09-23T00:00:00"/>
    <x v="24"/>
    <n v="143"/>
    <n v="1"/>
    <n v="144"/>
    <s v="Card"/>
    <x v="7"/>
    <s v="repeat customer"/>
  </r>
  <r>
    <s v="BC21922"/>
    <x v="30"/>
    <x v="3"/>
    <d v="1899-12-30T11:46:00"/>
    <s v="Burger Camp, Pune"/>
    <s v="Aisha More"/>
    <d v="1982-09-23T00:00:00"/>
    <x v="24"/>
    <n v="155"/>
    <n v="1"/>
    <n v="155"/>
    <s v="Card"/>
    <x v="4"/>
    <s v="Custmer complaned"/>
  </r>
  <r>
    <s v="BC21923"/>
    <x v="29"/>
    <x v="6"/>
    <d v="1899-12-30T13:11:06"/>
    <s v="Burger Camp, Pune"/>
    <s v="Farhan Joshi"/>
    <d v="2009-08-28T00:00:00"/>
    <x v="12"/>
    <n v="311"/>
    <n v="1"/>
    <n v="312"/>
    <s v="Card"/>
    <x v="1"/>
    <s v="Custmer complaned"/>
  </r>
  <r>
    <s v="BC21924"/>
    <x v="27"/>
    <x v="7"/>
    <d v="1899-12-30T12:09:35"/>
    <s v="Burger Camp, Pune"/>
    <s v="aisha naik"/>
    <d v="2007-08-12T00:00:00"/>
    <x v="0"/>
    <n v="85"/>
    <n v="1"/>
    <n v="86"/>
    <s v="Cash "/>
    <x v="1"/>
    <s v="repeat customer"/>
  </r>
  <r>
    <s v="BC21925"/>
    <x v="322"/>
    <x v="7"/>
    <d v="1899-12-30T14:31:00"/>
    <s v="Burger Camp, Pune"/>
    <s v="Zara Patil"/>
    <d v="2007-08-12T00:00:00"/>
    <x v="4"/>
    <n v="223"/>
    <n v="1"/>
    <n v="223"/>
    <s v="Cash "/>
    <x v="4"/>
    <s v="Custmer complaned"/>
  </r>
  <r>
    <s v="BC21926"/>
    <x v="311"/>
    <x v="0"/>
    <d v="1899-12-30T15:57:00"/>
    <s v="Burger Camp, Pune"/>
    <s v="Rahul Patil"/>
    <d v="1988-05-08T00:00:00"/>
    <x v="22"/>
    <n v="223"/>
    <n v="1"/>
    <n v="223"/>
    <s v="Wallet"/>
    <x v="1"/>
    <s v="No onion"/>
  </r>
  <r>
    <s v="BC21927"/>
    <x v="31"/>
    <x v="3"/>
    <d v="1899-12-30T17:22:00"/>
    <s v="Burger Camp, Pune"/>
    <s v="Pooja Kulkarni"/>
    <d v="1996-04-09T00:00:00"/>
    <x v="16"/>
    <n v="161"/>
    <n v="3"/>
    <n v="483"/>
    <s v="UPI"/>
    <x v="1"/>
    <s v="repeat customer"/>
  </r>
  <r>
    <s v="BC21928"/>
    <x v="172"/>
    <x v="3"/>
    <d v="1899-12-30T20:05:37"/>
    <s v="Burger Camp, Pune"/>
    <s v="Kiran Kulkarni"/>
    <d v="2001-04-26T00:00:00"/>
    <x v="4"/>
    <n v="182"/>
    <n v="3"/>
    <n v="547"/>
    <s v="UPI"/>
    <x v="4"/>
    <s v="repeat customer"/>
  </r>
  <r>
    <s v="BC21929"/>
    <x v="140"/>
    <x v="7"/>
    <d v="1899-12-30T17:03:00"/>
    <s v="Burger Camp, Pune"/>
    <s v="Anil Joshi"/>
    <d v="1988-01-06T00:00:00"/>
    <x v="5"/>
    <n v="111"/>
    <n v="3"/>
    <n v="333"/>
    <s v="Card"/>
    <x v="7"/>
    <s v="Less salt"/>
  </r>
  <r>
    <s v="BC21930"/>
    <x v="139"/>
    <x v="0"/>
    <d v="1899-12-30T17:14:00"/>
    <s v="Burger Camp, Pune"/>
    <s v="anil gore"/>
    <d v="1987-08-03T00:00:00"/>
    <x v="25"/>
    <n v="315"/>
    <n v="1"/>
    <n v="315"/>
    <s v="Card"/>
    <x v="4"/>
    <s v="Less salt"/>
  </r>
  <r>
    <s v="BC21931"/>
    <x v="186"/>
    <x v="4"/>
    <d v="1899-12-30T15:22:00"/>
    <s v="Burger Camp, Pune"/>
    <s v="Zaid Joshi"/>
    <d v="1986-02-28T00:00:00"/>
    <x v="25"/>
    <n v="108"/>
    <n v="2"/>
    <n v="217"/>
    <s v="Card"/>
    <x v="1"/>
    <s v="Custmer complaned"/>
  </r>
  <r>
    <s v="BC21932"/>
    <x v="4"/>
    <x v="3"/>
    <d v="1899-12-30T22:28:17"/>
    <s v="Burger Camp, Pune"/>
    <s v="Kiran More"/>
    <d v="1991-12-12T00:00:00"/>
    <x v="8"/>
    <n v="53"/>
    <n v="2"/>
    <n v="107"/>
    <s v="Card"/>
    <x v="3"/>
    <s v="No onion"/>
  </r>
  <r>
    <s v="BC21933"/>
    <x v="134"/>
    <x v="10"/>
    <d v="1899-12-30T17:03:00"/>
    <s v="Burger Camp, Pune"/>
    <s v="Zara Shinde"/>
    <d v="1986-03-25T00:00:00"/>
    <x v="19"/>
    <n v="240"/>
    <n v="3"/>
    <n v="721"/>
    <s v="Wallet"/>
    <x v="2"/>
    <s v="Spicy"/>
  </r>
  <r>
    <s v="BC21934"/>
    <x v="43"/>
    <x v="3"/>
    <d v="1899-12-30T14:02:00"/>
    <s v="Burger Camp, Pune"/>
    <s v="Zara More"/>
    <d v="2009-04-25T00:00:00"/>
    <x v="13"/>
    <n v="113"/>
    <n v="2"/>
    <n v="228"/>
    <s v="Card"/>
    <x v="7"/>
    <s v="Spicy"/>
  </r>
  <r>
    <s v="BC21935"/>
    <x v="175"/>
    <x v="11"/>
    <d v="1899-12-30T23:26:00"/>
    <s v="Burger Camp, Pune"/>
    <s v="Rahul Kulkarni"/>
    <d v="1980-07-24T00:00:00"/>
    <x v="6"/>
    <n v="100"/>
    <n v="2"/>
    <n v="202"/>
    <s v="Cash "/>
    <x v="7"/>
    <s v="Spicy"/>
  </r>
  <r>
    <s v="BC21936"/>
    <x v="50"/>
    <x v="4"/>
    <d v="1899-12-30T22:17:00"/>
    <s v="Burger Camp, Pune"/>
    <s v="Riya More"/>
    <d v="1999-10-04T00:00:00"/>
    <x v="0"/>
    <n v="95"/>
    <n v="1"/>
    <n v="95"/>
    <s v="Card"/>
    <x v="6"/>
    <s v="Spicy"/>
  </r>
  <r>
    <s v="BC21937"/>
    <x v="158"/>
    <x v="4"/>
    <d v="1899-12-30T23:26:00"/>
    <s v="Burger Camp, Pune"/>
    <s v="Sneha Shaikh"/>
    <d v="2005-02-24T00:00:00"/>
    <x v="24"/>
    <n v="121"/>
    <n v="2"/>
    <n v="242"/>
    <s v="UPI"/>
    <x v="2"/>
    <s v="Extra cheese"/>
  </r>
  <r>
    <s v="BC21938"/>
    <x v="166"/>
    <x v="5"/>
    <d v="1899-12-30T19:43:16"/>
    <s v="Burger Camp, Pune"/>
    <s v="Kiran Gore"/>
    <d v="1995-11-04T00:00:00"/>
    <x v="5"/>
    <n v="94"/>
    <n v="2"/>
    <n v="190"/>
    <s v="UPI"/>
    <x v="4"/>
    <s v="repeat customer"/>
  </r>
  <r>
    <s v="BC21939"/>
    <x v="248"/>
    <x v="9"/>
    <d v="1899-12-30T12:30:15"/>
    <s v="Burger Camp, Pune"/>
    <s v="Aarav Khan"/>
    <d v="1995-11-04T00:00:00"/>
    <x v="5"/>
    <n v="162"/>
    <n v="1"/>
    <n v="163"/>
    <s v="Cash"/>
    <x v="6"/>
    <s v="Extra cheese"/>
  </r>
  <r>
    <s v="BC21940"/>
    <x v="221"/>
    <x v="2"/>
    <d v="1899-12-30T11:58:00"/>
    <s v="Burger Camp, Pune"/>
    <s v="Farhan Deshmukh"/>
    <d v="1995-11-04T00:00:00"/>
    <x v="5"/>
    <n v="175"/>
    <n v="2"/>
    <n v="350"/>
    <s v="Card"/>
    <x v="0"/>
    <s v="repeat customer"/>
  </r>
  <r>
    <s v="BC21941"/>
    <x v="24"/>
    <x v="9"/>
    <d v="1899-12-30T15:31:00"/>
    <s v="Burger Camp, Pune"/>
    <s v="Anil Joshi"/>
    <d v="1982-10-06T00:00:00"/>
    <x v="20"/>
    <n v="321"/>
    <n v="2"/>
    <n v="644"/>
    <s v="Card"/>
    <x v="7"/>
    <s v="Extra cheese"/>
  </r>
  <r>
    <s v="BC21942"/>
    <x v="349"/>
    <x v="11"/>
    <d v="1899-12-30T10:46:52"/>
    <s v="Burger Camp, Pune"/>
    <s v="Anil More"/>
    <d v="1978-07-09T00:00:00"/>
    <x v="24"/>
    <n v="151"/>
    <n v="2"/>
    <n v="302"/>
    <s v="Card"/>
    <x v="5"/>
    <s v="Extra cheese"/>
  </r>
  <r>
    <s v="BC21943"/>
    <x v="283"/>
    <x v="5"/>
    <d v="1899-12-30T17:25:00"/>
    <s v="Burger Camp, Pune"/>
    <s v=" Aarav Khan "/>
    <d v="1985-12-23T00:00:00"/>
    <x v="16"/>
    <n v="169"/>
    <n v="2"/>
    <n v="339"/>
    <s v="UPI"/>
    <x v="5"/>
    <s v="Spicy"/>
  </r>
  <r>
    <s v="BC21944"/>
    <x v="70"/>
    <x v="1"/>
    <d v="1899-12-30T19:16:00"/>
    <s v="Burger Camp, Pune"/>
    <s v="Riya Gore"/>
    <d v="1992-03-11T00:00:00"/>
    <x v="8"/>
    <n v="42"/>
    <n v="3"/>
    <n v="126"/>
    <s v="UPI"/>
    <x v="3"/>
    <s v="Extra cheese"/>
  </r>
  <r>
    <s v="BC21945"/>
    <x v="171"/>
    <x v="0"/>
    <d v="1899-12-30T14:44:00"/>
    <s v="Burger Camp, Pune"/>
    <s v="Zaid Shaikh"/>
    <d v="2002-09-12T00:00:00"/>
    <x v="8"/>
    <n v="47"/>
    <n v="1"/>
    <n v="48"/>
    <s v="UPI"/>
    <x v="1"/>
    <s v="No onion"/>
  </r>
  <r>
    <s v="BC21946"/>
    <x v="140"/>
    <x v="7"/>
    <d v="1899-12-30T16:34:00"/>
    <s v="Burger Camp, Pune"/>
    <s v="Zaid Kulkarni"/>
    <d v="1990-09-01T00:00:00"/>
    <x v="9"/>
    <n v="82"/>
    <n v="3"/>
    <n v="248"/>
    <s v="Cash "/>
    <x v="3"/>
    <s v="No onion"/>
  </r>
  <r>
    <s v="BC21947"/>
    <x v="181"/>
    <x v="0"/>
    <d v="1899-12-30T19:47:57"/>
    <s v="Burger Camp, Pune"/>
    <s v="Aisha More"/>
    <d v="1970-01-09T00:00:00"/>
    <x v="25"/>
    <n v="195"/>
    <n v="1"/>
    <n v="196"/>
    <s v="Cash"/>
    <x v="0"/>
    <s v="Servd late"/>
  </r>
  <r>
    <s v="BC21948"/>
    <x v="15"/>
    <x v="2"/>
    <d v="1899-12-30T13:16:35"/>
    <s v="Burger Camp, Pune"/>
    <s v="Rahul Shaikh"/>
    <d v="1980-02-03T00:00:00"/>
    <x v="0"/>
    <n v="78"/>
    <n v="1"/>
    <n v="79"/>
    <s v="Wallet"/>
    <x v="3"/>
    <s v="No onion"/>
  </r>
  <r>
    <s v="BC21949"/>
    <x v="347"/>
    <x v="6"/>
    <d v="1899-12-30T14:30:00"/>
    <s v="Burger Camp, Pune"/>
    <s v="Aisha Deshmukh"/>
    <d v="1973-04-11T00:00:00"/>
    <x v="18"/>
    <n v="163"/>
    <n v="2"/>
    <n v="327"/>
    <s v="UPI"/>
    <x v="0"/>
    <s v="Less salt"/>
  </r>
  <r>
    <s v="BC21950"/>
    <x v="347"/>
    <x v="6"/>
    <d v="1899-12-30T23:54:00"/>
    <s v="Burger Camp, Pune"/>
    <s v="Farhan Khan"/>
    <d v="2007-03-05T00:00:00"/>
    <x v="2"/>
    <n v="308"/>
    <n v="1"/>
    <n v="308"/>
    <s v="UPI"/>
    <x v="5"/>
    <s v="Less salt"/>
  </r>
  <r>
    <s v="BC21951"/>
    <x v="342"/>
    <x v="8"/>
    <d v="1899-12-30T10:26:00"/>
    <s v="Burger Camp, Pune"/>
    <s v="Pooja Joshi"/>
    <d v="1978-10-12T00:00:00"/>
    <x v="16"/>
    <n v="187"/>
    <n v="2"/>
    <n v="375"/>
    <s v="Cash "/>
    <x v="6"/>
    <s v="repeat customer"/>
  </r>
  <r>
    <s v="BC21952"/>
    <x v="334"/>
    <x v="1"/>
    <d v="1899-12-30T12:33:00"/>
    <s v="Burger Camp, Pune"/>
    <s v="Zaid Gore"/>
    <d v="1990-03-04T00:00:00"/>
    <x v="6"/>
    <n v="119"/>
    <n v="1"/>
    <n v="120"/>
    <s v="UPI"/>
    <x v="3"/>
    <s v="repeat customer"/>
  </r>
  <r>
    <s v="BC21953"/>
    <x v="52"/>
    <x v="11"/>
    <d v="1899-12-30T10:17:00"/>
    <s v="Burger Camp, Pune"/>
    <s v="Rahul Shinde"/>
    <d v="2009-07-11T00:00:00"/>
    <x v="16"/>
    <n v="164"/>
    <n v="1"/>
    <n v="165"/>
    <s v="Wallet"/>
    <x v="6"/>
    <s v="repeat customer"/>
  </r>
  <r>
    <s v="BC21954"/>
    <x v="194"/>
    <x v="2"/>
    <d v="1899-12-30T19:40:00"/>
    <s v="Burger Camp, Pune"/>
    <s v="Anil Naik"/>
    <d v="1979-07-19T00:00:00"/>
    <x v="4"/>
    <n v="210"/>
    <n v="1"/>
    <n v="211"/>
    <s v="Wallet"/>
    <x v="5"/>
    <s v="repeat customer"/>
  </r>
  <r>
    <s v="BC21955"/>
    <x v="274"/>
    <x v="2"/>
    <d v="1899-12-30T13:01:00"/>
    <s v="Burger Camp, Pune"/>
    <s v="Riya Joshi"/>
    <d v="1999-08-02T00:00:00"/>
    <x v="12"/>
    <n v="300"/>
    <n v="1"/>
    <n v="301"/>
    <s v="Card"/>
    <x v="7"/>
    <s v="Extra cheese"/>
  </r>
  <r>
    <s v="BC21956"/>
    <x v="232"/>
    <x v="10"/>
    <d v="1899-12-30T12:31:00"/>
    <s v="Burger Camp, Pune"/>
    <s v="Sneha Shaikh"/>
    <d v="1975-12-27T00:00:00"/>
    <x v="21"/>
    <n v="175"/>
    <n v="1"/>
    <n v="175"/>
    <s v="Wallet"/>
    <x v="6"/>
    <s v="Extra cheese"/>
  </r>
  <r>
    <s v="BC21957"/>
    <x v="349"/>
    <x v="11"/>
    <d v="1899-12-30T13:00:00"/>
    <s v="Burger Camp, Pune"/>
    <s v="Kiran Shinde"/>
    <d v="2010-07-01T00:00:00"/>
    <x v="22"/>
    <n v="356"/>
    <n v="1"/>
    <n v="356"/>
    <s v="UPI"/>
    <x v="4"/>
    <s v="Custmer complaned"/>
  </r>
  <r>
    <s v="BC21958"/>
    <x v="42"/>
    <x v="7"/>
    <d v="1899-12-30T15:23:00"/>
    <s v="Burger Camp, Pune"/>
    <s v="Mubin Patil"/>
    <d v="1975-03-17T00:00:00"/>
    <x v="6"/>
    <n v="94"/>
    <n v="1"/>
    <n v="80"/>
    <s v="Card"/>
    <x v="0"/>
    <s v="Custmer complaned"/>
  </r>
  <r>
    <s v="BC21959"/>
    <x v="285"/>
    <x v="1"/>
    <d v="1899-12-30T21:33:00"/>
    <s v="Burger Camp, Pune"/>
    <s v="Mubin Naik"/>
    <d v="2000-01-26T00:00:00"/>
    <x v="13"/>
    <n v="129"/>
    <n v="2"/>
    <n v="260"/>
    <s v="UPI"/>
    <x v="4"/>
    <s v="Spicy"/>
  </r>
  <r>
    <s v="BC21960"/>
    <x v="363"/>
    <x v="10"/>
    <d v="1899-12-30T23:36:00"/>
    <s v="Burger Camp, Pune"/>
    <s v="Aisha Naik"/>
    <d v="2001-04-05T00:00:00"/>
    <x v="9"/>
    <n v="318"/>
    <n v="3"/>
    <n v="955"/>
    <s v="Card"/>
    <x v="0"/>
    <s v="Spicy"/>
  </r>
  <r>
    <s v="BC21961"/>
    <x v="110"/>
    <x v="4"/>
    <d v="1899-12-30T10:59:00"/>
    <s v="Burger Camp, Pune"/>
    <s v="Aisha Deshmukh"/>
    <d v="1980-07-03T00:00:00"/>
    <x v="0"/>
    <n v="97"/>
    <n v="2"/>
    <n v="194"/>
    <s v="Cash "/>
    <x v="6"/>
    <s v="repeat customer"/>
  </r>
  <r>
    <s v="BC21962"/>
    <x v="159"/>
    <x v="5"/>
    <d v="1899-12-30T10:19:09"/>
    <s v="Burger Camp, Pune"/>
    <s v="Mubin Naik"/>
    <d v="1990-07-05T00:00:00"/>
    <x v="21"/>
    <n v="241"/>
    <n v="2"/>
    <n v="482"/>
    <s v="Cash"/>
    <x v="2"/>
    <s v="Less salt"/>
  </r>
  <r>
    <s v="BC21963"/>
    <x v="321"/>
    <x v="5"/>
    <d v="1899-12-30T22:33:13"/>
    <s v="Burger Camp, Pune"/>
    <s v="Anil More"/>
    <d v="2008-04-16T00:00:00"/>
    <x v="13"/>
    <n v="98"/>
    <n v="1"/>
    <n v="98"/>
    <s v="UPI"/>
    <x v="0"/>
    <s v="No onion"/>
  </r>
  <r>
    <s v="BC21964"/>
    <x v="114"/>
    <x v="8"/>
    <d v="1899-12-30T17:38:00"/>
    <s v="Burger Camp, Pune"/>
    <s v="Anil Kulkarni"/>
    <d v="1972-07-23T00:00:00"/>
    <x v="25"/>
    <n v="188"/>
    <n v="1"/>
    <n v="188"/>
    <s v="UPI"/>
    <x v="7"/>
    <s v="No onion"/>
  </r>
  <r>
    <s v="BC21965"/>
    <x v="321"/>
    <x v="5"/>
    <d v="1899-12-30T14:29:04"/>
    <s v="Burger Camp, Pune"/>
    <s v="Farhan Deshmukh"/>
    <d v="2004-12-14T00:00:00"/>
    <x v="4"/>
    <n v="220"/>
    <n v="1"/>
    <n v="220"/>
    <s v="UPI"/>
    <x v="3"/>
    <s v="Extra cheese"/>
  </r>
  <r>
    <s v="BC21966"/>
    <x v="21"/>
    <x v="8"/>
    <d v="1899-12-30T16:08:00"/>
    <s v="Burger Camp, Pune"/>
    <s v="Zaid Shinde"/>
    <d v="1974-04-26T00:00:00"/>
    <x v="16"/>
    <n v="167"/>
    <n v="1"/>
    <n v="100"/>
    <s v="UPI"/>
    <x v="4"/>
    <s v="Extra cheese"/>
  </r>
  <r>
    <s v="BC21967"/>
    <x v="285"/>
    <x v="1"/>
    <d v="1899-12-30T12:18:00"/>
    <s v="Burger Camp, Pune"/>
    <s v="farhan khan"/>
    <d v="1975-12-26T00:00:00"/>
    <x v="4"/>
    <n v="200"/>
    <n v="2"/>
    <n v="401"/>
    <s v="Card"/>
    <x v="2"/>
    <s v="Extra cheese"/>
  </r>
  <r>
    <s v="BC21968"/>
    <x v="79"/>
    <x v="0"/>
    <d v="1899-12-30T12:23:52"/>
    <s v="Burger Camp, Pune"/>
    <s v="Aarav Patil"/>
    <d v="1994-07-22T00:00:00"/>
    <x v="18"/>
    <n v="159"/>
    <n v="1"/>
    <n v="159"/>
    <s v="Card"/>
    <x v="2"/>
    <s v="Custmer complaned"/>
  </r>
  <r>
    <s v="BC21969"/>
    <x v="116"/>
    <x v="11"/>
    <d v="1899-12-30T16:51:00"/>
    <s v="Burger Camp, Pune"/>
    <s v="Mubin Shinde"/>
    <d v="1994-07-25T00:00:00"/>
    <x v="15"/>
    <n v="172"/>
    <n v="2"/>
    <n v="345"/>
    <s v="Card"/>
    <x v="1"/>
    <s v="Servd late"/>
  </r>
  <r>
    <s v="BC21970"/>
    <x v="299"/>
    <x v="1"/>
    <d v="1899-12-30T16:58:00"/>
    <s v="Burger Camp, Pune"/>
    <s v="Zaid Naik"/>
    <d v="1994-07-25T00:00:00"/>
    <x v="10"/>
    <n v="235"/>
    <n v="2"/>
    <n v="471"/>
    <s v="Cash"/>
    <x v="6"/>
    <s v="Custmer complaned"/>
  </r>
  <r>
    <s v="BC21971"/>
    <x v="61"/>
    <x v="2"/>
    <d v="1899-12-30T17:38:00"/>
    <s v="Burger Camp, Pune"/>
    <s v="Aisha Patil"/>
    <d v="1982-01-04T00:00:00"/>
    <x v="6"/>
    <n v="118"/>
    <n v="3"/>
    <n v="356"/>
    <s v="Cash "/>
    <x v="4"/>
    <s v="Custmer complaned"/>
  </r>
  <r>
    <s v="BC21972"/>
    <x v="228"/>
    <x v="9"/>
    <d v="1899-12-30T23:14:00"/>
    <s v="Burger Camp, Pune"/>
    <s v="Aarav Deshmukh"/>
    <d v="1989-06-15T00:00:00"/>
    <x v="2"/>
    <n v="270"/>
    <n v="1"/>
    <n v="271"/>
    <s v="UPI"/>
    <x v="1"/>
    <s v="Less salt"/>
  </r>
  <r>
    <s v="BC21973"/>
    <x v="228"/>
    <x v="9"/>
    <d v="1899-12-30T22:40:00"/>
    <s v="Burger Camp, Pune"/>
    <s v="Pooja Deshmukh"/>
    <d v="1995-12-21T00:00:00"/>
    <x v="6"/>
    <n v="104"/>
    <n v="3"/>
    <n v="314"/>
    <s v="UPI"/>
    <x v="2"/>
    <s v="Less salt"/>
  </r>
  <r>
    <s v="BC21974"/>
    <x v="146"/>
    <x v="10"/>
    <d v="1899-12-30T11:40:00"/>
    <s v="Burger Camp, Pune"/>
    <s v="Zara More"/>
    <d v="1977-02-26T00:00:00"/>
    <x v="1"/>
    <n v="232"/>
    <n v="3"/>
    <n v="697"/>
    <s v="UPI"/>
    <x v="3"/>
    <s v="Less salt"/>
  </r>
  <r>
    <s v="BC21975"/>
    <x v="9"/>
    <x v="2"/>
    <d v="1899-12-30T13:11:00"/>
    <s v="Burger Camp, Pune"/>
    <s v="Zaid Joshi"/>
    <d v="2006-07-26T00:00:00"/>
    <x v="10"/>
    <n v="349"/>
    <n v="2"/>
    <n v="699"/>
    <s v="Card"/>
    <x v="0"/>
    <s v="No onion"/>
  </r>
  <r>
    <s v="BC21976"/>
    <x v="330"/>
    <x v="0"/>
    <d v="1899-12-30T22:00:00"/>
    <s v="Burger Camp, Pune"/>
    <s v="Zara Kulkarni"/>
    <d v="2007-12-25T00:00:00"/>
    <x v="6"/>
    <n v="349"/>
    <n v="2"/>
    <n v="699"/>
    <s v="UPI"/>
    <x v="2"/>
    <s v="Less salt"/>
  </r>
  <r>
    <s v="BC21977"/>
    <x v="355"/>
    <x v="5"/>
    <d v="1899-12-30T15:30:00"/>
    <s v="Burger Camp, Pune"/>
    <s v="Rahul Deshmukh"/>
    <d v="2009-03-05T00:00:00"/>
    <x v="23"/>
    <n v="315"/>
    <n v="1"/>
    <n v="315"/>
    <s v="Cash"/>
    <x v="4"/>
    <s v="Custmer complaned"/>
  </r>
  <r>
    <s v="BC21978"/>
    <x v="355"/>
    <x v="5"/>
    <d v="1899-12-30T16:46:00"/>
    <s v="Burger Camp, Pune"/>
    <s v="pooja patil"/>
    <d v="2009-03-05T00:00:00"/>
    <x v="3"/>
    <n v="113"/>
    <n v="2"/>
    <n v="227"/>
    <s v="Cash "/>
    <x v="0"/>
    <s v="Servd late"/>
  </r>
  <r>
    <s v="BC21979"/>
    <x v="138"/>
    <x v="2"/>
    <d v="1899-12-30T22:23:00"/>
    <s v="Burger Camp, Pune"/>
    <s v="Rahul Khan"/>
    <d v="1976-07-22T00:00:00"/>
    <x v="23"/>
    <n v="287"/>
    <n v="1"/>
    <n v="288"/>
    <s v="Wallet"/>
    <x v="5"/>
    <s v="Servd late"/>
  </r>
  <r>
    <s v="BC21980"/>
    <x v="201"/>
    <x v="5"/>
    <d v="1899-12-30T23:15:00"/>
    <s v="Burger Camp, Pune"/>
    <s v="Anil More"/>
    <d v="2003-09-03T00:00:00"/>
    <x v="13"/>
    <n v="124"/>
    <n v="2"/>
    <n v="250"/>
    <s v="Wallet"/>
    <x v="2"/>
    <s v="repeat customer"/>
  </r>
  <r>
    <s v="BC21981"/>
    <x v="315"/>
    <x v="9"/>
    <d v="1899-12-30T23:38:00"/>
    <s v="Burger Camp, Pune"/>
    <s v="Mubin Joshi"/>
    <d v="2007-03-20T00:00:00"/>
    <x v="23"/>
    <n v="216"/>
    <n v="3"/>
    <n v="649"/>
    <s v="Wallet"/>
    <x v="5"/>
    <s v="Servd late"/>
  </r>
  <r>
    <s v="BC21982"/>
    <x v="139"/>
    <x v="0"/>
    <d v="1899-12-30T19:14:00"/>
    <s v="Burger Camp, Pune"/>
    <s v="Rahul Joshi"/>
    <d v="1971-05-11T00:00:00"/>
    <x v="9"/>
    <n v="37"/>
    <n v="1"/>
    <n v="38"/>
    <s v="Cash"/>
    <x v="2"/>
    <s v="Spicy"/>
  </r>
  <r>
    <s v="BC21983"/>
    <x v="353"/>
    <x v="4"/>
    <d v="1899-12-30T22:35:28"/>
    <s v="Burger Camp, Pune"/>
    <s v="Farhan Deshmukh"/>
    <d v="1987-02-06T00:00:00"/>
    <x v="12"/>
    <n v="222"/>
    <n v="1"/>
    <n v="223"/>
    <s v="Cash "/>
    <x v="7"/>
    <s v="Custmer complaned"/>
  </r>
  <r>
    <s v="BC21984"/>
    <x v="302"/>
    <x v="5"/>
    <d v="1899-12-30T16:59:00"/>
    <s v="Burger Camp, Pune"/>
    <s v="Farhan Gore"/>
    <d v="1978-01-19T00:00:00"/>
    <x v="19"/>
    <n v="305"/>
    <n v="1"/>
    <n v="306"/>
    <s v="Card"/>
    <x v="6"/>
    <s v="Spicy"/>
  </r>
  <r>
    <s v="BC21985"/>
    <x v="143"/>
    <x v="10"/>
    <d v="1899-12-30T22:22:00"/>
    <s v="Burger Camp, Pune"/>
    <s v=" Sneha Khan "/>
    <d v="1991-12-12T00:00:00"/>
    <x v="14"/>
    <n v="114"/>
    <n v="1"/>
    <n v="115"/>
    <s v="Card"/>
    <x v="6"/>
    <s v="Extra cheese"/>
  </r>
  <r>
    <s v="BC21986"/>
    <x v="140"/>
    <x v="7"/>
    <d v="1899-12-30T19:11:20"/>
    <s v="Burger Camp, Pune"/>
    <s v="Aarav More"/>
    <d v="2000-11-24T00:00:00"/>
    <x v="19"/>
    <n v="328"/>
    <n v="1"/>
    <n v="329"/>
    <s v="Card"/>
    <x v="3"/>
    <s v="Extra cheese"/>
  </r>
  <r>
    <s v="BC21987"/>
    <x v="165"/>
    <x v="5"/>
    <d v="1899-12-30T11:02:00"/>
    <s v="Burger Camp, Pune"/>
    <s v="Zaid Patil"/>
    <d v="2000-11-24T00:00:00"/>
    <x v="23"/>
    <n v="142"/>
    <n v="2"/>
    <n v="285"/>
    <s v="Wallet"/>
    <x v="1"/>
    <s v="No onion"/>
  </r>
  <r>
    <s v="BC21988"/>
    <x v="225"/>
    <x v="11"/>
    <d v="1899-12-30T13:03:00"/>
    <s v="Burger Camp, Pune"/>
    <s v="Mubin Joshi"/>
    <d v="2004-09-16T00:00:00"/>
    <x v="17"/>
    <n v="116"/>
    <n v="1"/>
    <n v="116"/>
    <s v="Wallet"/>
    <x v="0"/>
    <s v="Custmer complaned"/>
  </r>
  <r>
    <s v="BC21989"/>
    <x v="301"/>
    <x v="8"/>
    <d v="1899-12-30T21:02:38"/>
    <s v="Burger Camp, Pune"/>
    <s v="Rahul Shinde"/>
    <d v="2007-10-03T00:00:00"/>
    <x v="12"/>
    <n v="319"/>
    <n v="3"/>
    <n v="958"/>
    <s v="UPI"/>
    <x v="4"/>
    <s v="Less salt"/>
  </r>
  <r>
    <s v="BC21990"/>
    <x v="354"/>
    <x v="10"/>
    <d v="1899-12-30T15:45:00"/>
    <s v="Burger Camp, Pune"/>
    <s v="Rahul Shinde"/>
    <d v="1970-09-17T00:00:00"/>
    <x v="18"/>
    <n v="180"/>
    <n v="3"/>
    <n v="541"/>
    <s v="UPI"/>
    <x v="5"/>
    <s v="Less salt"/>
  </r>
  <r>
    <s v="BC21991"/>
    <x v="110"/>
    <x v="4"/>
    <d v="1899-12-30T14:31:55"/>
    <s v="Burger Camp, Pune"/>
    <s v="Pooja Shinde"/>
    <d v="2005-02-24T00:00:00"/>
    <x v="14"/>
    <n v="93"/>
    <n v="1"/>
    <n v="94"/>
    <s v="UPI"/>
    <x v="7"/>
    <s v="Custmer complaned"/>
  </r>
  <r>
    <s v="BC21992"/>
    <x v="290"/>
    <x v="9"/>
    <d v="1899-12-30T11:26:00"/>
    <s v="Burger Camp, Pune"/>
    <s v="Mubin Shinde"/>
    <d v="2005-02-24T00:00:00"/>
    <x v="1"/>
    <n v="255"/>
    <n v="1"/>
    <n v="255"/>
    <s v="UPI"/>
    <x v="1"/>
    <s v="Extra cheese"/>
  </r>
  <r>
    <s v="BC21993"/>
    <x v="30"/>
    <x v="3"/>
    <d v="1899-12-30T22:33:55"/>
    <s v="Burger Camp, Pune"/>
    <s v="Sneha Shinde"/>
    <d v="1999-02-20T00:00:00"/>
    <x v="14"/>
    <n v="119"/>
    <n v="1"/>
    <n v="120"/>
    <s v="Wallet"/>
    <x v="2"/>
    <s v="Servd late"/>
  </r>
  <r>
    <s v="BC21994"/>
    <x v="30"/>
    <x v="3"/>
    <d v="1899-12-30T11:57:45"/>
    <s v="Burger Camp, Pune"/>
    <s v="Aisha Gore"/>
    <d v="1978-04-06T00:00:00"/>
    <x v="5"/>
    <n v="129"/>
    <n v="1"/>
    <n v="130"/>
    <s v="Card"/>
    <x v="7"/>
    <s v="Spicy"/>
  </r>
  <r>
    <s v="BC21995"/>
    <x v="28"/>
    <x v="4"/>
    <d v="1899-12-30T21:39:27"/>
    <s v="Burger Camp, Pune"/>
    <s v="Zaid Naik"/>
    <d v="1991-12-12T00:00:00"/>
    <x v="2"/>
    <n v="315"/>
    <n v="2"/>
    <n v="631"/>
    <s v="Cash "/>
    <x v="3"/>
    <s v="Servd late"/>
  </r>
  <r>
    <s v="BC21996"/>
    <x v="223"/>
    <x v="7"/>
    <d v="1899-12-30T16:37:00"/>
    <s v="Burger Camp, Pune"/>
    <s v="kiran kulkarni"/>
    <d v="2004-08-06T00:00:00"/>
    <x v="20"/>
    <n v="229"/>
    <n v="2"/>
    <n v="459"/>
    <s v="Wallet"/>
    <x v="0"/>
    <s v="No onion"/>
  </r>
  <r>
    <s v="BC21997"/>
    <x v="233"/>
    <x v="9"/>
    <d v="1899-12-30T18:52:00"/>
    <s v="Burger Camp, Pune"/>
    <s v="Zara Shaikh"/>
    <d v="1997-11-09T00:00:00"/>
    <x v="23"/>
    <n v="318"/>
    <n v="1"/>
    <n v="318"/>
    <s v="Cash "/>
    <x v="6"/>
    <s v="Custmer complaned"/>
  </r>
  <r>
    <s v="BC21998"/>
    <x v="341"/>
    <x v="5"/>
    <d v="1899-12-30T12:33:20"/>
    <s v="Burger Camp, Pune"/>
    <s v="Zaid Joshi"/>
    <d v="1996-11-01T00:00:00"/>
    <x v="14"/>
    <n v="189"/>
    <n v="1"/>
    <n v="229"/>
    <s v="Cash"/>
    <x v="3"/>
    <s v="Custmer complaned"/>
  </r>
  <r>
    <s v="BC21999"/>
    <x v="35"/>
    <x v="3"/>
    <d v="1899-12-30T20:33:05"/>
    <s v="Burger Camp, Pune"/>
    <s v="Pooja Gore"/>
    <d v="1991-07-05T00:00:00"/>
    <x v="6"/>
    <n v="123"/>
    <n v="2"/>
    <n v="247"/>
    <s v="Card"/>
    <x v="7"/>
    <s v="repeat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56BD50-AFB9-410A-B224-F03753774A6A}" name="PivotTable10"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5">
  <location ref="L22:M2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axis="axisRow" showAll="0" measureFilter="1">
      <items count="9">
        <item x="0"/>
        <item x="3"/>
        <item x="6"/>
        <item x="7"/>
        <item x="5"/>
        <item x="1"/>
        <item x="4"/>
        <item x="2"/>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3">
    <i>
      <x v="2"/>
    </i>
    <i>
      <x v="6"/>
    </i>
    <i>
      <x v="7"/>
    </i>
  </rowItems>
  <colItems count="1">
    <i/>
  </colItems>
  <dataFields count="1">
    <dataField name="Sum of Quantity" fld="9" baseField="0" baseItem="0"/>
  </dataFields>
  <chartFormats count="2">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0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5AC09F-89A3-484A-BBA9-27A176AE6EF8}"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8">
  <location ref="D3:E1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axis="axisRow"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dataField="1"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12">
    <i>
      <x/>
    </i>
    <i>
      <x v="1"/>
    </i>
    <i>
      <x v="2"/>
    </i>
    <i>
      <x v="3"/>
    </i>
    <i>
      <x v="4"/>
    </i>
    <i>
      <x v="5"/>
    </i>
    <i>
      <x v="6"/>
    </i>
    <i>
      <x v="7"/>
    </i>
    <i>
      <x v="8"/>
    </i>
    <i>
      <x v="9"/>
    </i>
    <i>
      <x v="10"/>
    </i>
    <i>
      <x v="11"/>
    </i>
  </rowItems>
  <colItems count="1">
    <i/>
  </colItems>
  <dataFields count="1">
    <dataField name="Sum of Price" fld="8" baseField="0" baseItem="0"/>
  </dataFields>
  <chartFormats count="2">
    <chartFormat chart="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8072A9-E48A-4D2A-97DB-A255A09B58E5}"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5">
  <location ref="L16:M1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axis="axisRow" showAll="0" measureFilter="1">
      <items count="9">
        <item x="0"/>
        <item x="3"/>
        <item x="6"/>
        <item x="7"/>
        <item x="5"/>
        <item x="1"/>
        <item x="4"/>
        <item x="2"/>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3">
    <i>
      <x v="1"/>
    </i>
    <i>
      <x v="4"/>
    </i>
    <i>
      <x v="5"/>
    </i>
  </rowItems>
  <colItems count="1">
    <i/>
  </colItems>
  <dataFields count="1">
    <dataField name="Sum of Quantity" fld="9" baseField="0" baseItem="0"/>
  </dataFields>
  <chartFormats count="2">
    <chartFormat chart="32"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0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C8DAEF-A57E-43A9-8181-C322BC4D8619}"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9">
  <location ref="A3:B6"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numFmtId="164" showAll="0"/>
    <pivotField showAll="0"/>
    <pivotField showAll="0"/>
    <pivotField numFmtId="14" showAll="0"/>
    <pivotField axis="axisRow"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7"/>
  </rowFields>
  <rowItems count="3">
    <i>
      <x/>
    </i>
    <i>
      <x v="1"/>
    </i>
    <i>
      <x v="2"/>
    </i>
  </rowItems>
  <colItems count="1">
    <i/>
  </colItems>
  <dataFields count="1">
    <dataField name="Sum of Quantity" fld="9" showDataAs="percentOfCol" baseField="0" baseItem="0" numFmtId="1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E311F9-714F-4CE1-A456-96366E6D6697}"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3">
  <location ref="J9:J10"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Quant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CA0CB4-B7D6-49CC-B26B-BBB8DD71F851}"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0">
  <location ref="D18:E21"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axis="axisRow"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3">
    <i>
      <x/>
    </i>
    <i>
      <x v="1"/>
    </i>
    <i>
      <x v="2"/>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355853-6F84-4B6B-BA56-B61262C4B230}" name="PivotTable6"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3">
  <location ref="J3:J4" firstHeaderRow="1" firstDataRow="1" firstDataCol="0"/>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Price" fld="8" baseField="0" baseItem="0"/>
  </dataFields>
  <chartFormats count="9">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7B214C-0212-4F74-A183-7E3D69524D2F}"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2">
  <location ref="G22:H2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axis="axisRow"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3">
    <i>
      <x/>
    </i>
    <i>
      <x v="1"/>
    </i>
    <i>
      <x v="2"/>
    </i>
  </rowItems>
  <colItems count="1">
    <i/>
  </colItems>
  <dataFields count="1">
    <dataField name="Sum of Quantity" fld="9"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E47FD2-3B52-4C56-8AC2-8F9FF2497160}"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25">
  <location ref="G3:H5"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dataField="1" showAll="0"/>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5"/>
  </rowFields>
  <rowItems count="2">
    <i>
      <x v="1"/>
    </i>
    <i>
      <x v="2"/>
    </i>
  </rowItems>
  <colItems count="1">
    <i/>
  </colItems>
  <dataFields count="1">
    <dataField name="Sum of Price" fld="8" baseField="0" baseItem="0"/>
  </dataFields>
  <chartFormats count="1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5" count="1" selected="0">
            <x v="2"/>
          </reference>
        </references>
      </pivotArea>
    </chartFormat>
    <chartFormat chart="22"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96D4C50-312E-43CC-ACC2-12D6C3B3FA8D}"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0">
  <location ref="G15:H1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axis="axisRow"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3">
    <i>
      <x/>
    </i>
    <i>
      <x v="1"/>
    </i>
    <i>
      <x v="2"/>
    </i>
  </rowItems>
  <colItems count="1">
    <i/>
  </colItems>
  <dataFields count="1">
    <dataField name="Sum of Quantity" fld="9" baseField="0" baseItem="0"/>
  </dataFields>
  <chartFormats count="9">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7" count="1" selected="0">
            <x v="17"/>
          </reference>
        </references>
      </pivotArea>
    </chartFormat>
    <chartFormat chart="27" format="4">
      <pivotArea type="data" outline="0" fieldPosition="0">
        <references count="2">
          <reference field="4294967294" count="1" selected="0">
            <x v="0"/>
          </reference>
          <reference field="7" count="1" selected="0">
            <x v="13"/>
          </reference>
        </references>
      </pivotArea>
    </chartFormat>
    <chartFormat chart="27" format="5">
      <pivotArea type="data" outline="0" fieldPosition="0">
        <references count="2">
          <reference field="4294967294" count="1" selected="0">
            <x v="0"/>
          </reference>
          <reference field="7" count="1" selected="0">
            <x v="9"/>
          </reference>
        </references>
      </pivotArea>
    </chartFormat>
    <chartFormat chart="27" format="6">
      <pivotArea type="data" outline="0" fieldPosition="0">
        <references count="2">
          <reference field="4294967294" count="1" selected="0">
            <x v="0"/>
          </reference>
          <reference field="7" count="1" selected="0">
            <x v="4"/>
          </reference>
        </references>
      </pivotArea>
    </chartFormat>
    <chartFormat chart="27" format="7">
      <pivotArea type="data" outline="0" fieldPosition="0">
        <references count="2">
          <reference field="4294967294" count="1" selected="0">
            <x v="0"/>
          </reference>
          <reference field="7" count="1" selected="0">
            <x v="3"/>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 chart="27" format="9">
      <pivotArea type="data" outline="0" fieldPosition="0">
        <references count="2">
          <reference field="4294967294" count="1" selected="0">
            <x v="0"/>
          </reference>
          <reference field="7" count="1" selected="0">
            <x v="1"/>
          </reference>
        </references>
      </pivotArea>
    </chartFormat>
    <chartFormat chart="27"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1E4848-FD78-43C3-AC1F-30C66F0ECF57}" name="PivotTable1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38">
  <location ref="O2:P10"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items count="13">
        <item x="3"/>
        <item x="8"/>
        <item x="7"/>
        <item x="10"/>
        <item x="1"/>
        <item x="9"/>
        <item x="4"/>
        <item x="2"/>
        <item x="6"/>
        <item x="0"/>
        <item x="11"/>
        <item x="5"/>
        <item t="default"/>
      </items>
    </pivotField>
    <pivotField numFmtId="164" showAll="0"/>
    <pivotField showAll="0"/>
    <pivotField showAll="0"/>
    <pivotField numFmtId="14" showAll="0"/>
    <pivotField showAll="0">
      <items count="27">
        <item x="20"/>
        <item x="22"/>
        <item x="24"/>
        <item h="1" x="1"/>
        <item h="1" x="18"/>
        <item h="1" x="12"/>
        <item h="1" x="7"/>
        <item h="1" x="14"/>
        <item h="1" x="21"/>
        <item h="1" x="8"/>
        <item h="1" x="10"/>
        <item h="1" x="17"/>
        <item h="1" x="2"/>
        <item h="1" x="3"/>
        <item h="1" x="19"/>
        <item h="1" x="5"/>
        <item h="1" x="0"/>
        <item h="1" x="15"/>
        <item h="1" x="6"/>
        <item h="1" x="4"/>
        <item h="1" x="16"/>
        <item h="1" x="23"/>
        <item h="1" x="13"/>
        <item h="1" x="25"/>
        <item h="1" x="9"/>
        <item h="1" x="11"/>
        <item t="default"/>
      </items>
    </pivotField>
    <pivotField showAll="0"/>
    <pivotField showAll="0"/>
    <pivotField dataField="1" showAll="0"/>
    <pivotField showAll="0"/>
    <pivotField axis="axisRow" showAll="0">
      <items count="9">
        <item x="0"/>
        <item x="3"/>
        <item x="6"/>
        <item x="7"/>
        <item x="5"/>
        <item x="1"/>
        <item x="4"/>
        <item x="2"/>
        <item t="default"/>
      </items>
    </pivotField>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8">
    <i>
      <x/>
    </i>
    <i>
      <x v="1"/>
    </i>
    <i>
      <x v="2"/>
    </i>
    <i>
      <x v="3"/>
    </i>
    <i>
      <x v="4"/>
    </i>
    <i>
      <x v="5"/>
    </i>
    <i>
      <x v="6"/>
    </i>
    <i>
      <x v="7"/>
    </i>
  </rowItems>
  <colItems count="1">
    <i/>
  </colItems>
  <dataFields count="1">
    <dataField name="Sum of Total" fld="10" baseField="0" baseItem="0"/>
  </dataFields>
  <chartFormats count="3">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BE95E93E-D567-4913-82EE-BEE599EBA2CD}"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Month" tableColumnId="3"/>
      <queryTableField id="4" name="Time" tableColumnId="4"/>
      <queryTableField id="5" name="Restaurant" tableColumnId="5"/>
      <queryTableField id="6" name="CustomerName" tableColumnId="6"/>
      <queryTableField id="7" name="DOB" tableColumnId="7"/>
      <queryTableField id="8" name="Item" tableColumnId="8"/>
      <queryTableField id="9" name="Price" tableColumnId="9"/>
      <queryTableField id="10" name="Quantity" tableColumnId="10"/>
      <queryTableField id="11" name="Total" tableColumnId="11"/>
      <queryTableField id="12" name="PaymentMethod" tableColumnId="12"/>
      <queryTableField id="13" name="ServedBy" tableColumnId="13"/>
      <queryTableField id="14" name="Note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192C05E-3C53-4BEA-9157-C2CB8018621B}" sourceName="Item">
  <pivotTables>
    <pivotTable tabId="7" name="PivotTable1"/>
    <pivotTable tabId="7" name="PivotTable4"/>
    <pivotTable tabId="7" name="PivotTable5"/>
    <pivotTable tabId="7" name="PivotTable6"/>
    <pivotTable tabId="7" name="PivotTable7"/>
    <pivotTable tabId="7" name="PivotTable2"/>
    <pivotTable tabId="7" name="PivotTable3"/>
    <pivotTable tabId="7" name="PivotTable8"/>
    <pivotTable tabId="7" name="PivotTable9"/>
    <pivotTable tabId="7" name="PivotTable10"/>
    <pivotTable tabId="7" name="PivotTable11"/>
  </pivotTables>
  <data>
    <tabular pivotCacheId="1946667734">
      <items count="26">
        <i x="20" s="1"/>
        <i x="22" s="1"/>
        <i x="24" s="1"/>
        <i x="1"/>
        <i x="18"/>
        <i x="12"/>
        <i x="7"/>
        <i x="14"/>
        <i x="21"/>
        <i x="8"/>
        <i x="10"/>
        <i x="17"/>
        <i x="2"/>
        <i x="3"/>
        <i x="19"/>
        <i x="5"/>
        <i x="0"/>
        <i x="15"/>
        <i x="6"/>
        <i x="4"/>
        <i x="16"/>
        <i x="23"/>
        <i x="13"/>
        <i x="25"/>
        <i x="9"/>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02E5DA19-B16C-4C62-A6B4-32FD3EC5952C}" cache="Slicer_Item" caption="Item" columnCount="3" style="SlicerStyleDark6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9674746D-B867-4634-A394-6836EFE7F88E}" cache="Slicer_Item" caption="Item" columnCount="3" style="SlicerStyleDark6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C8E2165A-ED2E-4DE1-99A2-36D9F8CFE450}" cache="Slicer_Item" caption="Item" columnCount="3" style="SlicerStyleDark6 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C9110518-A33B-4391-9722-FE34DB50B62C}" cache="Slicer_Item" caption="Item" columnCount="3" style="SlicerStyleDark6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E7F5A6-0AA7-42B3-B689-FC1DEB2E6679}" name="Table1_3" displayName="Table1_3" ref="A1:N2001" tableType="queryTable" totalsRowShown="0">
  <autoFilter ref="A1:N2001" xr:uid="{04E7F5A6-0AA7-42B3-B689-FC1DEB2E6679}"/>
  <tableColumns count="14">
    <tableColumn id="1" xr3:uid="{26183CDF-DF96-4D94-B080-A714B0956F36}" uniqueName="1" name="OrderID" queryTableFieldId="1" dataDxfId="13"/>
    <tableColumn id="2" xr3:uid="{55DF8F33-975B-45E2-9FD1-3010D1347B3A}" uniqueName="2" name="Date" queryTableFieldId="2" dataDxfId="12"/>
    <tableColumn id="3" xr3:uid="{514A52A5-66B1-4F7C-ACCE-F92455E0FBEB}" uniqueName="3" name="Month" queryTableFieldId="3" dataDxfId="11"/>
    <tableColumn id="4" xr3:uid="{62A24497-88FB-40C9-BABE-36B835409FBA}" uniqueName="4" name="Time" queryTableFieldId="4" dataDxfId="10"/>
    <tableColumn id="5" xr3:uid="{EA1ADDED-3F7E-45DB-BF45-32ABD4347406}" uniqueName="5" name="Restaurant" queryTableFieldId="5" dataDxfId="9"/>
    <tableColumn id="6" xr3:uid="{9DA4767C-211F-4740-9106-35C956A7F173}" uniqueName="6" name="CustomerName" queryTableFieldId="6" dataDxfId="8"/>
    <tableColumn id="7" xr3:uid="{707978A5-BEEF-4495-BB2D-6D2317CC7FCA}" uniqueName="7" name="DOB" queryTableFieldId="7" dataDxfId="7"/>
    <tableColumn id="8" xr3:uid="{D6A362F8-0149-4CFB-BBEF-FFBDEA7096EB}" uniqueName="8" name="Item" queryTableFieldId="8" dataDxfId="6"/>
    <tableColumn id="9" xr3:uid="{8638326A-389F-4C69-BCE6-4DEA1CB46A13}" uniqueName="9" name="Price" queryTableFieldId="9"/>
    <tableColumn id="10" xr3:uid="{3500F8D4-E490-4600-8235-B3FBA16EAEA0}" uniqueName="10" name="Quantity" queryTableFieldId="10"/>
    <tableColumn id="11" xr3:uid="{C740133D-754F-4DC0-90C8-8E48EBB4F709}" uniqueName="11" name="Total" queryTableFieldId="11"/>
    <tableColumn id="12" xr3:uid="{30D7E84D-D15C-42CB-BD2C-DAB99162EA57}" uniqueName="12" name="PaymentMethod" queryTableFieldId="12" dataDxfId="5"/>
    <tableColumn id="13" xr3:uid="{25C0BFFC-B843-4CAD-8A9B-B6073C664D9E}" uniqueName="13" name="ServedBy" queryTableFieldId="13" dataDxfId="4"/>
    <tableColumn id="14" xr3:uid="{47A23B5E-8AD0-4264-AF14-9311D19CDF30}" uniqueName="14" name="Notes" queryTableFieldId="14"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8716E7-34ED-47D4-93DF-CB1A579D894E}" name="Table1" displayName="Table1" ref="A1:P2001" totalsRowShown="0">
  <autoFilter ref="A1:P2001" xr:uid="{668716E7-34ED-47D4-93DF-CB1A579D894E}"/>
  <tableColumns count="16">
    <tableColumn id="1" xr3:uid="{9E6E0933-4F4A-489C-9A6F-F8E4B60F9147}" name="OrderID"/>
    <tableColumn id="2" xr3:uid="{A0EF516E-1BBD-4310-A85D-5D21B6F0C0DC}" name="Date" dataDxfId="2"/>
    <tableColumn id="3" xr3:uid="{457EB2F7-0B30-4EFE-AC47-B24D66FEE367}" name="Time" dataDxfId="1"/>
    <tableColumn id="4" xr3:uid="{42C0193B-E575-4222-8640-3C701414B13A}" name="Restaurant"/>
    <tableColumn id="5" xr3:uid="{F1BE2097-B14D-429D-8D5E-3D7487322A8B}" name="CustomerName"/>
    <tableColumn id="6" xr3:uid="{EF28755D-E06C-4F15-BA16-0A7A46190CF2}" name="Column1" dataDxfId="0"/>
    <tableColumn id="7" xr3:uid="{1B5C28F9-F1B4-4380-B65E-6D519814DFA9}" name="BirthYear"/>
    <tableColumn id="8" xr3:uid="{C6BFE851-A5CF-49B3-8127-49D22E55D4D0}" name="BirthMonth"/>
    <tableColumn id="9" xr3:uid="{6B98F46B-70EB-448B-A08C-494F445CA6D3}" name="BirthDay"/>
    <tableColumn id="10" xr3:uid="{4AC1B702-20F2-426B-99B3-7E76B438160D}" name="Item"/>
    <tableColumn id="11" xr3:uid="{0352EBC7-0890-44CF-A506-CD5FA510E959}" name="Price"/>
    <tableColumn id="12" xr3:uid="{F5AC1961-6BFB-4551-B698-29330501F15B}" name="Quantity"/>
    <tableColumn id="13" xr3:uid="{E1E59FA2-52DA-4134-86FB-BE34F22FA46D}" name="Total"/>
    <tableColumn id="14" xr3:uid="{C9388F1D-02AB-46E1-9D9C-BD082C7D5A74}" name="PaymentMethod"/>
    <tableColumn id="15" xr3:uid="{693E05D3-F8DF-4873-8507-410BB735D7B5}" name="ServedBy"/>
    <tableColumn id="16" xr3:uid="{651B723A-ED14-4302-9EE2-90F883CE9C46}" name="Notes"/>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91D4CCE-B270-4F2A-AC03-D68F5ED8FD9C}" sourceName="Date">
  <pivotTables>
    <pivotTable tabId="7" name="PivotTable1"/>
    <pivotTable tabId="7" name="PivotTable4"/>
    <pivotTable tabId="7" name="PivotTable5"/>
    <pivotTable tabId="7" name="PivotTable6"/>
    <pivotTable tabId="7" name="PivotTable7"/>
    <pivotTable tabId="7" name="PivotTable2"/>
    <pivotTable tabId="7" name="PivotTable3"/>
    <pivotTable tabId="7" name="PivotTable8"/>
    <pivotTable tabId="7" name="PivotTable9"/>
    <pivotTable tabId="7" name="PivotTable10"/>
    <pivotTable tabId="7" name="PivotTable11"/>
  </pivotTables>
  <state minimalRefreshVersion="6" lastRefreshVersion="6" pivotCacheId="1946667734"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36C61353-F854-4F30-9C38-B0B2F9C7C0EE}" cache="NativeTimeline_Date" caption="Date" level="2" selectionLevel="2" scrollPosition="2024-10-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ECEBD442-9858-4007-9DA8-EB9DEF547A00}" cache="NativeTimeline_Date" caption="Date" level="2" selectionLevel="2" scrollPosition="2024-10-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1D13541-3527-43DC-854B-E78890C27BFE}" cache="NativeTimeline_Date" caption="Date" level="2" selectionLevel="2" scrollPosition="2024-10-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38EE1DA-3440-42C9-A9CD-1C5131B8C275}" cache="NativeTimeline_Date" caption="Date" level="2" selectionLevel="2" scrollPosition="2024-10-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1/relationships/timeline" Target="../timelines/timelin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C2E28-791D-4A56-AB3E-A80CB7A52627}">
  <dimension ref="A1"/>
  <sheetViews>
    <sheetView showGridLines="0"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ED6F9-75A2-40CA-9AD2-930902FFB7E3}">
  <dimension ref="A1"/>
  <sheetViews>
    <sheetView showGridLines="0" zoomScaleNormal="100" workbookViewId="0">
      <selection activeCell="D37" sqref="D3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8F41B-EA5E-409E-B8BA-6990F4556AFE}">
  <dimension ref="A1"/>
  <sheetViews>
    <sheetView showGridLines="0" topLeftCell="A10" zoomScaleNormal="100"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F649-AD8F-4A75-A6FE-01826AB38B06}">
  <dimension ref="A2:P25"/>
  <sheetViews>
    <sheetView topLeftCell="H1" workbookViewId="0">
      <selection activeCell="T18" sqref="T18"/>
    </sheetView>
  </sheetViews>
  <sheetFormatPr defaultRowHeight="15" x14ac:dyDescent="0.25"/>
  <cols>
    <col min="1" max="1" width="18.7109375" bestFit="1" customWidth="1"/>
    <col min="2" max="2" width="15.42578125" bestFit="1" customWidth="1"/>
    <col min="4" max="4" width="18.7109375" bestFit="1" customWidth="1"/>
    <col min="5" max="5" width="15.42578125" bestFit="1" customWidth="1"/>
    <col min="6" max="6" width="13.5703125" bestFit="1" customWidth="1"/>
    <col min="7" max="7" width="18.7109375" bestFit="1" customWidth="1"/>
    <col min="8" max="8" width="15.42578125" bestFit="1" customWidth="1"/>
    <col min="10" max="10" width="16.85546875" bestFit="1" customWidth="1"/>
    <col min="12" max="12" width="13.140625" bestFit="1" customWidth="1"/>
    <col min="13" max="13" width="15.42578125" bestFit="1" customWidth="1"/>
    <col min="15" max="15" width="13.140625" bestFit="1" customWidth="1"/>
    <col min="16" max="16" width="12" bestFit="1" customWidth="1"/>
  </cols>
  <sheetData>
    <row r="2" spans="1:16" x14ac:dyDescent="0.25">
      <c r="O2" s="8" t="s">
        <v>2788</v>
      </c>
      <c r="P2" t="s">
        <v>2807</v>
      </c>
    </row>
    <row r="3" spans="1:16" x14ac:dyDescent="0.25">
      <c r="A3" s="8" t="s">
        <v>2788</v>
      </c>
      <c r="B3" t="s">
        <v>2789</v>
      </c>
      <c r="D3" s="8" t="s">
        <v>2788</v>
      </c>
      <c r="E3" t="s">
        <v>2803</v>
      </c>
      <c r="G3" s="8" t="s">
        <v>2788</v>
      </c>
      <c r="H3" t="s">
        <v>2803</v>
      </c>
      <c r="J3" t="s">
        <v>2803</v>
      </c>
      <c r="O3" s="9" t="s">
        <v>20</v>
      </c>
      <c r="P3" s="6">
        <v>7940</v>
      </c>
    </row>
    <row r="4" spans="1:16" x14ac:dyDescent="0.25">
      <c r="A4" s="9" t="s">
        <v>178</v>
      </c>
      <c r="B4" s="10">
        <v>0.31736526946107785</v>
      </c>
      <c r="D4" s="9" t="s">
        <v>2794</v>
      </c>
      <c r="E4" s="6">
        <v>4352</v>
      </c>
      <c r="G4" s="9" t="s">
        <v>2804</v>
      </c>
      <c r="H4" s="6">
        <v>4566</v>
      </c>
      <c r="J4" s="6">
        <v>38898</v>
      </c>
      <c r="K4">
        <f>GETPIVOTDATA("Price",$J$3)</f>
        <v>38898</v>
      </c>
      <c r="O4" s="9" t="s">
        <v>37</v>
      </c>
      <c r="P4" s="6">
        <v>10439</v>
      </c>
    </row>
    <row r="5" spans="1:16" x14ac:dyDescent="0.25">
      <c r="A5" s="9" t="s">
        <v>202</v>
      </c>
      <c r="B5" s="10">
        <v>0.3652694610778443</v>
      </c>
      <c r="D5" s="9" t="s">
        <v>2799</v>
      </c>
      <c r="E5" s="6">
        <v>3299</v>
      </c>
      <c r="G5" s="9" t="s">
        <v>2805</v>
      </c>
      <c r="H5" s="6">
        <v>34332</v>
      </c>
      <c r="O5" s="9" t="s">
        <v>61</v>
      </c>
      <c r="P5" s="6">
        <v>7301</v>
      </c>
    </row>
    <row r="6" spans="1:16" x14ac:dyDescent="0.25">
      <c r="A6" s="9" t="s">
        <v>243</v>
      </c>
      <c r="B6" s="10">
        <v>0.31736526946107785</v>
      </c>
      <c r="D6" s="9" t="s">
        <v>2798</v>
      </c>
      <c r="E6" s="6">
        <v>4040</v>
      </c>
      <c r="O6" s="9" t="s">
        <v>89</v>
      </c>
      <c r="P6" s="6">
        <v>8081</v>
      </c>
    </row>
    <row r="7" spans="1:16" x14ac:dyDescent="0.25">
      <c r="D7" s="9" t="s">
        <v>2801</v>
      </c>
      <c r="E7" s="6">
        <v>2553</v>
      </c>
      <c r="O7" s="9" t="s">
        <v>55</v>
      </c>
      <c r="P7" s="6">
        <v>10801</v>
      </c>
    </row>
    <row r="8" spans="1:16" x14ac:dyDescent="0.25">
      <c r="D8" s="9" t="s">
        <v>2792</v>
      </c>
      <c r="E8" s="6">
        <v>3172</v>
      </c>
      <c r="O8" s="9" t="s">
        <v>26</v>
      </c>
      <c r="P8" s="6">
        <v>10315</v>
      </c>
    </row>
    <row r="9" spans="1:16" x14ac:dyDescent="0.25">
      <c r="D9" s="9" t="s">
        <v>2800</v>
      </c>
      <c r="E9" s="6">
        <v>2647</v>
      </c>
      <c r="J9" t="s">
        <v>2806</v>
      </c>
      <c r="O9" s="9" t="s">
        <v>47</v>
      </c>
      <c r="P9" s="6">
        <v>4621</v>
      </c>
    </row>
    <row r="10" spans="1:16" x14ac:dyDescent="0.25">
      <c r="D10" s="9" t="s">
        <v>2795</v>
      </c>
      <c r="E10" s="6">
        <v>2620</v>
      </c>
      <c r="J10" s="6">
        <v>190</v>
      </c>
      <c r="K10">
        <f>GETPIVOTDATA("Quantity",$J$9)</f>
        <v>190</v>
      </c>
      <c r="O10" s="9" t="s">
        <v>32</v>
      </c>
      <c r="P10" s="6">
        <v>5498</v>
      </c>
    </row>
    <row r="11" spans="1:16" x14ac:dyDescent="0.25">
      <c r="D11" s="9" t="s">
        <v>2793</v>
      </c>
      <c r="E11" s="6">
        <v>2971</v>
      </c>
    </row>
    <row r="12" spans="1:16" x14ac:dyDescent="0.25">
      <c r="D12" s="9" t="s">
        <v>2797</v>
      </c>
      <c r="E12" s="6">
        <v>3651</v>
      </c>
    </row>
    <row r="13" spans="1:16" x14ac:dyDescent="0.25">
      <c r="D13" s="9" t="s">
        <v>2791</v>
      </c>
      <c r="E13" s="6">
        <v>2571</v>
      </c>
    </row>
    <row r="14" spans="1:16" x14ac:dyDescent="0.25">
      <c r="D14" s="9" t="s">
        <v>2802</v>
      </c>
      <c r="E14" s="6">
        <v>3509</v>
      </c>
    </row>
    <row r="15" spans="1:16" x14ac:dyDescent="0.25">
      <c r="D15" s="9" t="s">
        <v>2796</v>
      </c>
      <c r="E15" s="6">
        <v>3513</v>
      </c>
      <c r="G15" s="8" t="s">
        <v>2788</v>
      </c>
      <c r="H15" t="s">
        <v>2789</v>
      </c>
    </row>
    <row r="16" spans="1:16" x14ac:dyDescent="0.25">
      <c r="G16" s="9" t="s">
        <v>178</v>
      </c>
      <c r="H16" s="6">
        <v>106</v>
      </c>
      <c r="L16" s="8" t="s">
        <v>2788</v>
      </c>
      <c r="M16" t="s">
        <v>2789</v>
      </c>
    </row>
    <row r="17" spans="4:13" x14ac:dyDescent="0.25">
      <c r="G17" s="9" t="s">
        <v>202</v>
      </c>
      <c r="H17" s="6">
        <v>122</v>
      </c>
      <c r="L17" s="9" t="s">
        <v>37</v>
      </c>
      <c r="M17" s="6">
        <v>61</v>
      </c>
    </row>
    <row r="18" spans="4:13" x14ac:dyDescent="0.25">
      <c r="D18" s="8" t="s">
        <v>2788</v>
      </c>
      <c r="E18" t="s">
        <v>2789</v>
      </c>
      <c r="G18" s="9" t="s">
        <v>243</v>
      </c>
      <c r="H18" s="6">
        <v>106</v>
      </c>
      <c r="L18" s="9" t="s">
        <v>55</v>
      </c>
      <c r="M18" s="6">
        <v>50</v>
      </c>
    </row>
    <row r="19" spans="4:13" x14ac:dyDescent="0.25">
      <c r="D19" s="9" t="s">
        <v>178</v>
      </c>
      <c r="E19" s="6">
        <v>106</v>
      </c>
      <c r="L19" s="9" t="s">
        <v>26</v>
      </c>
      <c r="M19" s="6">
        <v>47</v>
      </c>
    </row>
    <row r="20" spans="4:13" x14ac:dyDescent="0.25">
      <c r="D20" s="9" t="s">
        <v>202</v>
      </c>
      <c r="E20" s="6">
        <v>122</v>
      </c>
    </row>
    <row r="21" spans="4:13" x14ac:dyDescent="0.25">
      <c r="D21" s="9" t="s">
        <v>243</v>
      </c>
      <c r="E21" s="6">
        <v>106</v>
      </c>
    </row>
    <row r="22" spans="4:13" x14ac:dyDescent="0.25">
      <c r="G22" s="8" t="s">
        <v>2788</v>
      </c>
      <c r="H22" t="s">
        <v>2789</v>
      </c>
      <c r="L22" s="8" t="s">
        <v>2788</v>
      </c>
      <c r="M22" t="s">
        <v>2789</v>
      </c>
    </row>
    <row r="23" spans="4:13" x14ac:dyDescent="0.25">
      <c r="G23" s="9" t="s">
        <v>178</v>
      </c>
      <c r="H23" s="6">
        <v>106</v>
      </c>
      <c r="L23" s="9" t="s">
        <v>61</v>
      </c>
      <c r="M23" s="6">
        <v>35</v>
      </c>
    </row>
    <row r="24" spans="4:13" x14ac:dyDescent="0.25">
      <c r="G24" s="9" t="s">
        <v>202</v>
      </c>
      <c r="H24" s="6">
        <v>122</v>
      </c>
      <c r="L24" s="9" t="s">
        <v>47</v>
      </c>
      <c r="M24" s="6">
        <v>28</v>
      </c>
    </row>
    <row r="25" spans="4:13" x14ac:dyDescent="0.25">
      <c r="G25" s="9" t="s">
        <v>243</v>
      </c>
      <c r="H25" s="6">
        <v>106</v>
      </c>
      <c r="L25" s="9" t="s">
        <v>32</v>
      </c>
      <c r="M25" s="6">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766E5-5D5A-4A95-B2A5-01324A19F0ED}">
  <dimension ref="A1:N2001"/>
  <sheetViews>
    <sheetView workbookViewId="0"/>
  </sheetViews>
  <sheetFormatPr defaultRowHeight="15" x14ac:dyDescent="0.25"/>
  <cols>
    <col min="1" max="1" width="10.28515625" bestFit="1" customWidth="1"/>
    <col min="2" max="2" width="10.42578125" bestFit="1" customWidth="1"/>
    <col min="3" max="3" width="10.85546875" bestFit="1" customWidth="1"/>
    <col min="4" max="4" width="8.140625" bestFit="1" customWidth="1"/>
    <col min="5" max="5" width="18.140625" bestFit="1" customWidth="1"/>
    <col min="6" max="6" width="18" bestFit="1" customWidth="1"/>
    <col min="7" max="7" width="10.42578125" bestFit="1" customWidth="1"/>
    <col min="8" max="8" width="20.5703125" bestFit="1" customWidth="1"/>
    <col min="9" max="9" width="7.7109375" bestFit="1" customWidth="1"/>
    <col min="10" max="10" width="11" bestFit="1" customWidth="1"/>
    <col min="11" max="11" width="7.7109375" bestFit="1" customWidth="1"/>
    <col min="12" max="12" width="18.42578125" bestFit="1" customWidth="1"/>
    <col min="13" max="13" width="11.5703125" bestFit="1" customWidth="1"/>
    <col min="14" max="14" width="19" bestFit="1" customWidth="1"/>
  </cols>
  <sheetData>
    <row r="1" spans="1:14" x14ac:dyDescent="0.25">
      <c r="A1" t="s">
        <v>0</v>
      </c>
      <c r="B1" t="s">
        <v>1</v>
      </c>
      <c r="C1" t="s">
        <v>2790</v>
      </c>
      <c r="D1" t="s">
        <v>2</v>
      </c>
      <c r="E1" t="s">
        <v>3</v>
      </c>
      <c r="F1" t="s">
        <v>4</v>
      </c>
      <c r="G1" t="s">
        <v>2786</v>
      </c>
      <c r="H1" t="s">
        <v>8</v>
      </c>
      <c r="I1" t="s">
        <v>9</v>
      </c>
      <c r="J1" t="s">
        <v>10</v>
      </c>
      <c r="K1" t="s">
        <v>11</v>
      </c>
      <c r="L1" t="s">
        <v>12</v>
      </c>
      <c r="M1" t="s">
        <v>13</v>
      </c>
      <c r="N1" t="s">
        <v>14</v>
      </c>
    </row>
    <row r="2" spans="1:14" x14ac:dyDescent="0.25">
      <c r="A2" s="6" t="s">
        <v>15</v>
      </c>
      <c r="B2" s="4">
        <v>45944</v>
      </c>
      <c r="C2" s="6" t="s">
        <v>2791</v>
      </c>
      <c r="D2" s="7">
        <v>0.55138888888888893</v>
      </c>
      <c r="E2" s="6" t="s">
        <v>16</v>
      </c>
      <c r="F2" s="6" t="s">
        <v>17</v>
      </c>
      <c r="G2" s="4">
        <v>25971</v>
      </c>
      <c r="H2" s="6" t="s">
        <v>18</v>
      </c>
      <c r="I2">
        <v>89</v>
      </c>
      <c r="J2">
        <v>1</v>
      </c>
      <c r="K2">
        <v>90</v>
      </c>
      <c r="L2" s="6" t="s">
        <v>19</v>
      </c>
      <c r="M2" s="6" t="s">
        <v>20</v>
      </c>
      <c r="N2" s="6" t="s">
        <v>21</v>
      </c>
    </row>
    <row r="3" spans="1:14" x14ac:dyDescent="0.25">
      <c r="A3" s="6" t="s">
        <v>22</v>
      </c>
      <c r="B3" s="4">
        <v>45800</v>
      </c>
      <c r="C3" s="6" t="s">
        <v>2792</v>
      </c>
      <c r="D3" s="7">
        <v>0.91858796296296297</v>
      </c>
      <c r="E3" s="6" t="s">
        <v>16</v>
      </c>
      <c r="F3" s="6" t="s">
        <v>23</v>
      </c>
      <c r="G3" s="4">
        <v>38499</v>
      </c>
      <c r="H3" s="6" t="s">
        <v>24</v>
      </c>
      <c r="I3">
        <v>258</v>
      </c>
      <c r="J3">
        <v>2</v>
      </c>
      <c r="K3">
        <v>517</v>
      </c>
      <c r="L3" s="6" t="s">
        <v>2787</v>
      </c>
      <c r="M3" s="6" t="s">
        <v>26</v>
      </c>
      <c r="N3" s="6" t="s">
        <v>27</v>
      </c>
    </row>
    <row r="4" spans="1:14" x14ac:dyDescent="0.25">
      <c r="A4" s="6" t="s">
        <v>28</v>
      </c>
      <c r="B4" s="4">
        <v>45890</v>
      </c>
      <c r="C4" s="6" t="s">
        <v>2793</v>
      </c>
      <c r="D4" s="7">
        <v>0.72499999999999998</v>
      </c>
      <c r="E4" s="6" t="s">
        <v>16</v>
      </c>
      <c r="F4" s="6" t="s">
        <v>29</v>
      </c>
      <c r="G4" s="4">
        <v>26781</v>
      </c>
      <c r="H4" s="6" t="s">
        <v>30</v>
      </c>
      <c r="I4">
        <v>282</v>
      </c>
      <c r="J4">
        <v>2</v>
      </c>
      <c r="K4">
        <v>565</v>
      </c>
      <c r="L4" s="6" t="s">
        <v>41</v>
      </c>
      <c r="M4" s="6" t="s">
        <v>32</v>
      </c>
      <c r="N4" s="6" t="s">
        <v>33</v>
      </c>
    </row>
    <row r="5" spans="1:14" x14ac:dyDescent="0.25">
      <c r="A5" s="6" t="s">
        <v>34</v>
      </c>
      <c r="B5" s="4">
        <v>45687</v>
      </c>
      <c r="C5" s="6" t="s">
        <v>2794</v>
      </c>
      <c r="D5" s="7">
        <v>0.91874999999999996</v>
      </c>
      <c r="E5" s="6" t="s">
        <v>16</v>
      </c>
      <c r="F5" s="6" t="s">
        <v>35</v>
      </c>
      <c r="G5" s="4">
        <v>27223</v>
      </c>
      <c r="H5" s="6" t="s">
        <v>36</v>
      </c>
      <c r="I5">
        <v>162</v>
      </c>
      <c r="J5">
        <v>1</v>
      </c>
      <c r="K5">
        <v>163</v>
      </c>
      <c r="L5" s="6" t="s">
        <v>2787</v>
      </c>
      <c r="M5" s="6" t="s">
        <v>37</v>
      </c>
      <c r="N5" s="6" t="s">
        <v>33</v>
      </c>
    </row>
    <row r="6" spans="1:14" x14ac:dyDescent="0.25">
      <c r="A6" s="6" t="s">
        <v>38</v>
      </c>
      <c r="B6" s="4">
        <v>45671</v>
      </c>
      <c r="C6" s="6" t="s">
        <v>2794</v>
      </c>
      <c r="D6" s="7">
        <v>0.98611111111111116</v>
      </c>
      <c r="E6" s="6" t="s">
        <v>16</v>
      </c>
      <c r="F6" s="6" t="s">
        <v>39</v>
      </c>
      <c r="G6" s="4">
        <v>27223</v>
      </c>
      <c r="H6" s="6" t="s">
        <v>40</v>
      </c>
      <c r="I6">
        <v>227</v>
      </c>
      <c r="J6">
        <v>2</v>
      </c>
      <c r="K6">
        <v>455</v>
      </c>
      <c r="L6" s="6" t="s">
        <v>41</v>
      </c>
      <c r="M6" s="6" t="s">
        <v>37</v>
      </c>
      <c r="N6" s="6" t="s">
        <v>33</v>
      </c>
    </row>
    <row r="7" spans="1:14" x14ac:dyDescent="0.25">
      <c r="A7" s="6" t="s">
        <v>42</v>
      </c>
      <c r="B7" s="4">
        <v>45898</v>
      </c>
      <c r="C7" s="6" t="s">
        <v>2793</v>
      </c>
      <c r="D7" s="7">
        <v>0.58263888888888893</v>
      </c>
      <c r="E7" s="6" t="s">
        <v>16</v>
      </c>
      <c r="F7" s="6" t="s">
        <v>44</v>
      </c>
      <c r="G7" s="4">
        <v>27223</v>
      </c>
      <c r="H7" s="6" t="s">
        <v>45</v>
      </c>
      <c r="I7">
        <v>286</v>
      </c>
      <c r="J7">
        <v>1</v>
      </c>
      <c r="K7">
        <v>287</v>
      </c>
      <c r="L7" s="6" t="s">
        <v>19</v>
      </c>
      <c r="M7" s="6" t="s">
        <v>47</v>
      </c>
      <c r="N7" s="6" t="s">
        <v>48</v>
      </c>
    </row>
    <row r="8" spans="1:14" x14ac:dyDescent="0.25">
      <c r="A8" s="6" t="s">
        <v>49</v>
      </c>
      <c r="B8" s="4">
        <v>45959</v>
      </c>
      <c r="C8" s="6" t="s">
        <v>2791</v>
      </c>
      <c r="D8" s="7">
        <v>0.91597222222222219</v>
      </c>
      <c r="E8" s="6" t="s">
        <v>16</v>
      </c>
      <c r="F8" s="6" t="s">
        <v>50</v>
      </c>
      <c r="G8" s="4">
        <v>35159</v>
      </c>
      <c r="H8" s="6" t="s">
        <v>36</v>
      </c>
      <c r="I8">
        <v>222</v>
      </c>
      <c r="J8">
        <v>2</v>
      </c>
      <c r="K8">
        <v>445</v>
      </c>
      <c r="L8" s="6" t="s">
        <v>19</v>
      </c>
      <c r="M8" s="6" t="s">
        <v>47</v>
      </c>
      <c r="N8" s="6" t="s">
        <v>21</v>
      </c>
    </row>
    <row r="9" spans="1:14" x14ac:dyDescent="0.25">
      <c r="A9" s="6" t="s">
        <v>51</v>
      </c>
      <c r="B9" s="4">
        <v>45843</v>
      </c>
      <c r="C9" s="6" t="s">
        <v>2795</v>
      </c>
      <c r="D9" s="7">
        <v>0.44513888888888886</v>
      </c>
      <c r="E9" s="6" t="s">
        <v>16</v>
      </c>
      <c r="F9" s="6" t="s">
        <v>52</v>
      </c>
      <c r="G9" s="4">
        <v>35159</v>
      </c>
      <c r="H9" s="6" t="s">
        <v>53</v>
      </c>
      <c r="I9">
        <v>92</v>
      </c>
      <c r="J9">
        <v>2</v>
      </c>
      <c r="K9">
        <v>186</v>
      </c>
      <c r="L9" s="6" t="s">
        <v>54</v>
      </c>
      <c r="M9" s="6" t="s">
        <v>55</v>
      </c>
      <c r="N9" s="6" t="s">
        <v>56</v>
      </c>
    </row>
    <row r="10" spans="1:14" x14ac:dyDescent="0.25">
      <c r="A10" s="6" t="s">
        <v>57</v>
      </c>
      <c r="B10" s="4">
        <v>45646</v>
      </c>
      <c r="C10" s="6" t="s">
        <v>2796</v>
      </c>
      <c r="D10" s="7">
        <v>0.79027777777777775</v>
      </c>
      <c r="E10" s="6" t="s">
        <v>16</v>
      </c>
      <c r="F10" s="6" t="s">
        <v>59</v>
      </c>
      <c r="G10" s="4">
        <v>29637</v>
      </c>
      <c r="H10" s="6" t="s">
        <v>60</v>
      </c>
      <c r="I10">
        <v>110</v>
      </c>
      <c r="J10">
        <v>2</v>
      </c>
      <c r="K10">
        <v>221</v>
      </c>
      <c r="L10" s="6" t="s">
        <v>2787</v>
      </c>
      <c r="M10" s="6" t="s">
        <v>61</v>
      </c>
      <c r="N10" s="6" t="s">
        <v>56</v>
      </c>
    </row>
    <row r="11" spans="1:14" x14ac:dyDescent="0.25">
      <c r="A11" s="6" t="s">
        <v>62</v>
      </c>
      <c r="B11" s="4">
        <v>45646</v>
      </c>
      <c r="C11" s="6" t="s">
        <v>2796</v>
      </c>
      <c r="D11" s="7">
        <v>0.81666666666666665</v>
      </c>
      <c r="E11" s="6" t="s">
        <v>16</v>
      </c>
      <c r="F11" s="6" t="s">
        <v>63</v>
      </c>
      <c r="G11" s="4">
        <v>33642</v>
      </c>
      <c r="H11" s="6" t="s">
        <v>36</v>
      </c>
      <c r="I11">
        <v>47</v>
      </c>
      <c r="J11">
        <v>1</v>
      </c>
      <c r="K11">
        <v>47</v>
      </c>
      <c r="L11" s="6" t="s">
        <v>19</v>
      </c>
      <c r="M11" s="6" t="s">
        <v>47</v>
      </c>
      <c r="N11" s="6" t="s">
        <v>48</v>
      </c>
    </row>
    <row r="12" spans="1:14" x14ac:dyDescent="0.25">
      <c r="A12" s="6" t="s">
        <v>65</v>
      </c>
      <c r="B12" s="4">
        <v>45875</v>
      </c>
      <c r="C12" s="6" t="s">
        <v>2793</v>
      </c>
      <c r="D12" s="7">
        <v>0.4864236111111111</v>
      </c>
      <c r="E12" s="6" t="s">
        <v>16</v>
      </c>
      <c r="F12" s="6" t="s">
        <v>66</v>
      </c>
      <c r="G12" s="4">
        <v>31495</v>
      </c>
      <c r="H12" s="6" t="s">
        <v>45</v>
      </c>
      <c r="I12">
        <v>237</v>
      </c>
      <c r="J12">
        <v>1</v>
      </c>
      <c r="K12">
        <v>237</v>
      </c>
      <c r="L12" s="6" t="s">
        <v>67</v>
      </c>
      <c r="M12" s="6" t="s">
        <v>26</v>
      </c>
      <c r="N12" s="6" t="s">
        <v>56</v>
      </c>
    </row>
    <row r="13" spans="1:14" x14ac:dyDescent="0.25">
      <c r="A13" s="6" t="s">
        <v>68</v>
      </c>
      <c r="B13" s="4">
        <v>45903</v>
      </c>
      <c r="C13" s="6" t="s">
        <v>2797</v>
      </c>
      <c r="D13" s="7">
        <v>0.82430555555555551</v>
      </c>
      <c r="E13" s="6" t="s">
        <v>16</v>
      </c>
      <c r="F13" s="6" t="s">
        <v>70</v>
      </c>
      <c r="G13" s="4">
        <v>33445</v>
      </c>
      <c r="H13" s="6" t="s">
        <v>53</v>
      </c>
      <c r="I13">
        <v>120</v>
      </c>
      <c r="J13">
        <v>1</v>
      </c>
      <c r="K13">
        <v>120</v>
      </c>
      <c r="L13" s="6" t="s">
        <v>41</v>
      </c>
      <c r="M13" s="6" t="s">
        <v>32</v>
      </c>
      <c r="N13" s="6" t="s">
        <v>48</v>
      </c>
    </row>
    <row r="14" spans="1:14" x14ac:dyDescent="0.25">
      <c r="A14" s="6" t="s">
        <v>71</v>
      </c>
      <c r="B14" s="4">
        <v>45652</v>
      </c>
      <c r="C14" s="6" t="s">
        <v>2796</v>
      </c>
      <c r="D14" s="7">
        <v>0.65384259259259259</v>
      </c>
      <c r="E14" s="6" t="s">
        <v>16</v>
      </c>
      <c r="F14" s="6" t="s">
        <v>72</v>
      </c>
      <c r="G14" s="4">
        <v>31490</v>
      </c>
      <c r="H14" s="6" t="s">
        <v>73</v>
      </c>
      <c r="I14">
        <v>48</v>
      </c>
      <c r="J14">
        <v>1</v>
      </c>
      <c r="K14">
        <v>48</v>
      </c>
      <c r="L14" s="6" t="s">
        <v>67</v>
      </c>
      <c r="M14" s="6" t="s">
        <v>32</v>
      </c>
      <c r="N14" s="6" t="s">
        <v>74</v>
      </c>
    </row>
    <row r="15" spans="1:14" x14ac:dyDescent="0.25">
      <c r="A15" s="6" t="s">
        <v>75</v>
      </c>
      <c r="B15" s="4">
        <v>45652</v>
      </c>
      <c r="C15" s="6" t="s">
        <v>2796</v>
      </c>
      <c r="D15" s="7">
        <v>0.80555555555555558</v>
      </c>
      <c r="E15" s="6" t="s">
        <v>16</v>
      </c>
      <c r="F15" s="6" t="s">
        <v>76</v>
      </c>
      <c r="G15" s="4">
        <v>33077</v>
      </c>
      <c r="H15" s="6" t="s">
        <v>77</v>
      </c>
      <c r="I15">
        <v>126</v>
      </c>
      <c r="J15">
        <v>3</v>
      </c>
      <c r="K15">
        <v>378</v>
      </c>
      <c r="L15" s="6" t="s">
        <v>67</v>
      </c>
      <c r="M15" s="6" t="s">
        <v>61</v>
      </c>
      <c r="N15" s="6" t="s">
        <v>33</v>
      </c>
    </row>
    <row r="16" spans="1:14" x14ac:dyDescent="0.25">
      <c r="A16" s="6" t="s">
        <v>78</v>
      </c>
      <c r="B16" s="4">
        <v>45878</v>
      </c>
      <c r="C16" s="6" t="s">
        <v>2793</v>
      </c>
      <c r="D16" s="7">
        <v>0.83680555555555558</v>
      </c>
      <c r="E16" s="6" t="s">
        <v>16</v>
      </c>
      <c r="F16" s="6" t="s">
        <v>79</v>
      </c>
      <c r="G16" s="4">
        <v>33584</v>
      </c>
      <c r="H16" s="6" t="s">
        <v>18</v>
      </c>
      <c r="I16">
        <v>111</v>
      </c>
      <c r="J16">
        <v>2</v>
      </c>
      <c r="K16">
        <v>223</v>
      </c>
      <c r="L16" s="6" t="s">
        <v>54</v>
      </c>
      <c r="M16" s="6" t="s">
        <v>26</v>
      </c>
      <c r="N16" s="6" t="s">
        <v>74</v>
      </c>
    </row>
    <row r="17" spans="1:14" x14ac:dyDescent="0.25">
      <c r="A17" s="6" t="s">
        <v>80</v>
      </c>
      <c r="B17" s="4">
        <v>45729</v>
      </c>
      <c r="C17" s="6" t="s">
        <v>2798</v>
      </c>
      <c r="D17" s="7">
        <v>0.44097222222222221</v>
      </c>
      <c r="E17" s="6" t="s">
        <v>16</v>
      </c>
      <c r="F17" s="6" t="s">
        <v>82</v>
      </c>
      <c r="G17" s="4">
        <v>38636</v>
      </c>
      <c r="H17" s="6" t="s">
        <v>45</v>
      </c>
      <c r="I17">
        <v>107</v>
      </c>
      <c r="J17">
        <v>3</v>
      </c>
      <c r="K17">
        <v>324</v>
      </c>
      <c r="L17" s="6" t="s">
        <v>54</v>
      </c>
      <c r="M17" s="6" t="s">
        <v>26</v>
      </c>
      <c r="N17" s="6" t="s">
        <v>48</v>
      </c>
    </row>
    <row r="18" spans="1:14" x14ac:dyDescent="0.25">
      <c r="A18" s="6" t="s">
        <v>83</v>
      </c>
      <c r="B18" s="4">
        <v>45737</v>
      </c>
      <c r="C18" s="6" t="s">
        <v>2798</v>
      </c>
      <c r="D18" s="7">
        <v>0.75347222222222221</v>
      </c>
      <c r="E18" s="6" t="s">
        <v>16</v>
      </c>
      <c r="F18" s="6" t="s">
        <v>84</v>
      </c>
      <c r="G18" s="4">
        <v>27224</v>
      </c>
      <c r="H18" s="6" t="s">
        <v>85</v>
      </c>
      <c r="I18">
        <v>164</v>
      </c>
      <c r="J18">
        <v>2</v>
      </c>
      <c r="K18">
        <v>325</v>
      </c>
      <c r="L18" s="6" t="s">
        <v>41</v>
      </c>
      <c r="M18" s="6" t="s">
        <v>20</v>
      </c>
      <c r="N18" s="6" t="s">
        <v>48</v>
      </c>
    </row>
    <row r="19" spans="1:14" x14ac:dyDescent="0.25">
      <c r="A19" s="6" t="s">
        <v>87</v>
      </c>
      <c r="B19" s="4">
        <v>45896</v>
      </c>
      <c r="C19" s="6" t="s">
        <v>2793</v>
      </c>
      <c r="D19" s="7">
        <v>0.71825231481481477</v>
      </c>
      <c r="E19" s="6" t="s">
        <v>16</v>
      </c>
      <c r="F19" s="6" t="s">
        <v>88</v>
      </c>
      <c r="G19" s="4">
        <v>35039</v>
      </c>
      <c r="H19" s="6" t="s">
        <v>60</v>
      </c>
      <c r="I19">
        <v>147</v>
      </c>
      <c r="J19">
        <v>2</v>
      </c>
      <c r="K19">
        <v>296</v>
      </c>
      <c r="L19" s="6" t="s">
        <v>41</v>
      </c>
      <c r="M19" s="6" t="s">
        <v>89</v>
      </c>
      <c r="N19" s="6" t="s">
        <v>74</v>
      </c>
    </row>
    <row r="20" spans="1:14" x14ac:dyDescent="0.25">
      <c r="A20" s="6" t="s">
        <v>90</v>
      </c>
      <c r="B20" s="4">
        <v>45746</v>
      </c>
      <c r="C20" s="6" t="s">
        <v>2798</v>
      </c>
      <c r="D20" s="7">
        <v>0.44930555555555557</v>
      </c>
      <c r="E20" s="6" t="s">
        <v>16</v>
      </c>
      <c r="F20" s="6" t="s">
        <v>92</v>
      </c>
      <c r="G20" s="4">
        <v>35039</v>
      </c>
      <c r="H20" s="6" t="s">
        <v>93</v>
      </c>
      <c r="I20">
        <v>173</v>
      </c>
      <c r="J20">
        <v>3</v>
      </c>
      <c r="K20">
        <v>520</v>
      </c>
      <c r="L20" s="6" t="s">
        <v>19</v>
      </c>
      <c r="M20" s="6" t="s">
        <v>37</v>
      </c>
      <c r="N20" s="6" t="s">
        <v>48</v>
      </c>
    </row>
    <row r="21" spans="1:14" x14ac:dyDescent="0.25">
      <c r="A21" s="6" t="s">
        <v>94</v>
      </c>
      <c r="B21" s="4">
        <v>45672</v>
      </c>
      <c r="C21" s="6" t="s">
        <v>2794</v>
      </c>
      <c r="D21" s="7">
        <v>0.82219907407407411</v>
      </c>
      <c r="E21" s="6" t="s">
        <v>16</v>
      </c>
      <c r="F21" s="6" t="s">
        <v>95</v>
      </c>
      <c r="G21" s="4">
        <v>40272</v>
      </c>
      <c r="H21" s="6" t="s">
        <v>40</v>
      </c>
      <c r="I21">
        <v>198</v>
      </c>
      <c r="J21">
        <v>2</v>
      </c>
      <c r="K21">
        <v>397</v>
      </c>
      <c r="L21" s="6" t="s">
        <v>19</v>
      </c>
      <c r="M21" s="6" t="s">
        <v>37</v>
      </c>
      <c r="N21" s="6" t="s">
        <v>74</v>
      </c>
    </row>
    <row r="22" spans="1:14" x14ac:dyDescent="0.25">
      <c r="A22" s="6" t="s">
        <v>97</v>
      </c>
      <c r="B22" s="4">
        <v>45707</v>
      </c>
      <c r="C22" s="6" t="s">
        <v>2799</v>
      </c>
      <c r="D22" s="7">
        <v>0.82708333333333328</v>
      </c>
      <c r="E22" s="6" t="s">
        <v>16</v>
      </c>
      <c r="F22" s="6" t="s">
        <v>98</v>
      </c>
      <c r="G22" s="4">
        <v>31956</v>
      </c>
      <c r="H22" s="6" t="s">
        <v>60</v>
      </c>
      <c r="I22">
        <v>148</v>
      </c>
      <c r="J22">
        <v>2</v>
      </c>
      <c r="K22">
        <v>296</v>
      </c>
      <c r="L22" s="6" t="s">
        <v>2787</v>
      </c>
      <c r="M22" s="6" t="s">
        <v>55</v>
      </c>
      <c r="N22" s="6" t="s">
        <v>74</v>
      </c>
    </row>
    <row r="23" spans="1:14" x14ac:dyDescent="0.25">
      <c r="A23" s="6" t="s">
        <v>99</v>
      </c>
      <c r="B23" s="4">
        <v>45714</v>
      </c>
      <c r="C23" s="6" t="s">
        <v>2799</v>
      </c>
      <c r="D23" s="7">
        <v>0.73263888888888884</v>
      </c>
      <c r="E23" s="6" t="s">
        <v>16</v>
      </c>
      <c r="F23" s="6" t="s">
        <v>101</v>
      </c>
      <c r="G23" s="4">
        <v>25974</v>
      </c>
      <c r="H23" s="6" t="s">
        <v>45</v>
      </c>
      <c r="I23">
        <v>107</v>
      </c>
      <c r="J23">
        <v>1</v>
      </c>
      <c r="K23">
        <v>107</v>
      </c>
      <c r="L23" s="6" t="s">
        <v>41</v>
      </c>
      <c r="M23" s="6" t="s">
        <v>47</v>
      </c>
      <c r="N23" s="6" t="s">
        <v>33</v>
      </c>
    </row>
    <row r="24" spans="1:14" x14ac:dyDescent="0.25">
      <c r="A24" s="6" t="s">
        <v>102</v>
      </c>
      <c r="B24" s="4">
        <v>45864</v>
      </c>
      <c r="C24" s="6" t="s">
        <v>2795</v>
      </c>
      <c r="D24" s="7">
        <v>0.49527777777777776</v>
      </c>
      <c r="E24" s="6" t="s">
        <v>16</v>
      </c>
      <c r="F24" s="6" t="s">
        <v>103</v>
      </c>
      <c r="G24" s="4">
        <v>38055</v>
      </c>
      <c r="H24" s="6" t="s">
        <v>104</v>
      </c>
      <c r="I24">
        <v>320</v>
      </c>
      <c r="J24">
        <v>2</v>
      </c>
      <c r="K24">
        <v>641</v>
      </c>
      <c r="L24" s="6" t="s">
        <v>41</v>
      </c>
      <c r="M24" s="6" t="s">
        <v>26</v>
      </c>
      <c r="N24" s="6" t="s">
        <v>105</v>
      </c>
    </row>
    <row r="25" spans="1:14" x14ac:dyDescent="0.25">
      <c r="A25" s="6" t="s">
        <v>106</v>
      </c>
      <c r="B25" s="4">
        <v>45694</v>
      </c>
      <c r="C25" s="6" t="s">
        <v>2799</v>
      </c>
      <c r="D25" s="7">
        <v>0.46875</v>
      </c>
      <c r="E25" s="6" t="s">
        <v>16</v>
      </c>
      <c r="F25" s="6" t="s">
        <v>107</v>
      </c>
      <c r="G25" s="4">
        <v>37817</v>
      </c>
      <c r="H25" s="6" t="s">
        <v>77</v>
      </c>
      <c r="I25">
        <v>161</v>
      </c>
      <c r="J25">
        <v>1</v>
      </c>
      <c r="K25">
        <v>168</v>
      </c>
      <c r="L25" s="6" t="s">
        <v>41</v>
      </c>
      <c r="M25" s="6" t="s">
        <v>89</v>
      </c>
      <c r="N25" s="6" t="s">
        <v>105</v>
      </c>
    </row>
    <row r="26" spans="1:14" x14ac:dyDescent="0.25">
      <c r="A26" s="6" t="s">
        <v>108</v>
      </c>
      <c r="B26" s="4">
        <v>45735</v>
      </c>
      <c r="C26" s="6" t="s">
        <v>2798</v>
      </c>
      <c r="D26" s="7">
        <v>0.91319444444444442</v>
      </c>
      <c r="E26" s="6" t="s">
        <v>16</v>
      </c>
      <c r="F26" s="6" t="s">
        <v>109</v>
      </c>
      <c r="G26" s="4">
        <v>40473</v>
      </c>
      <c r="H26" s="6" t="s">
        <v>110</v>
      </c>
      <c r="I26">
        <v>131</v>
      </c>
      <c r="J26">
        <v>1</v>
      </c>
      <c r="K26">
        <v>131</v>
      </c>
      <c r="L26" s="6" t="s">
        <v>41</v>
      </c>
      <c r="M26" s="6" t="s">
        <v>89</v>
      </c>
      <c r="N26" s="6" t="s">
        <v>105</v>
      </c>
    </row>
    <row r="27" spans="1:14" x14ac:dyDescent="0.25">
      <c r="A27" s="6" t="s">
        <v>111</v>
      </c>
      <c r="B27" s="4">
        <v>45893</v>
      </c>
      <c r="C27" s="6" t="s">
        <v>2793</v>
      </c>
      <c r="D27" s="7">
        <v>0.79370370370370369</v>
      </c>
      <c r="E27" s="6" t="s">
        <v>16</v>
      </c>
      <c r="F27" s="6" t="s">
        <v>112</v>
      </c>
      <c r="G27" s="4">
        <v>33584</v>
      </c>
      <c r="H27" s="6" t="s">
        <v>85</v>
      </c>
      <c r="I27">
        <v>209</v>
      </c>
      <c r="J27">
        <v>3</v>
      </c>
      <c r="K27">
        <v>629</v>
      </c>
      <c r="L27" s="6" t="s">
        <v>19</v>
      </c>
      <c r="M27" s="6" t="s">
        <v>61</v>
      </c>
      <c r="N27" s="6" t="s">
        <v>56</v>
      </c>
    </row>
    <row r="28" spans="1:14" x14ac:dyDescent="0.25">
      <c r="A28" s="6" t="s">
        <v>113</v>
      </c>
      <c r="B28" s="4">
        <v>45826</v>
      </c>
      <c r="C28" s="6" t="s">
        <v>2800</v>
      </c>
      <c r="D28" s="7">
        <v>0.96552083333333338</v>
      </c>
      <c r="E28" s="6" t="s">
        <v>16</v>
      </c>
      <c r="F28" s="6" t="s">
        <v>101</v>
      </c>
      <c r="G28" s="4">
        <v>38367</v>
      </c>
      <c r="H28" s="6" t="s">
        <v>36</v>
      </c>
      <c r="I28">
        <v>46</v>
      </c>
      <c r="J28">
        <v>1</v>
      </c>
      <c r="K28">
        <v>47</v>
      </c>
      <c r="L28" s="6" t="s">
        <v>2787</v>
      </c>
      <c r="M28" s="6" t="s">
        <v>61</v>
      </c>
      <c r="N28" s="6" t="s">
        <v>56</v>
      </c>
    </row>
    <row r="29" spans="1:14" x14ac:dyDescent="0.25">
      <c r="A29" s="6" t="s">
        <v>114</v>
      </c>
      <c r="B29" s="4">
        <v>45826</v>
      </c>
      <c r="C29" s="6" t="s">
        <v>2800</v>
      </c>
      <c r="D29" s="7">
        <v>0.85972222222222228</v>
      </c>
      <c r="E29" s="6" t="s">
        <v>16</v>
      </c>
      <c r="F29" s="6" t="s">
        <v>115</v>
      </c>
      <c r="G29" s="4">
        <v>35103</v>
      </c>
      <c r="H29" s="6" t="s">
        <v>116</v>
      </c>
      <c r="I29">
        <v>151</v>
      </c>
      <c r="J29">
        <v>2</v>
      </c>
      <c r="K29">
        <v>302</v>
      </c>
      <c r="L29" s="6" t="s">
        <v>41</v>
      </c>
      <c r="M29" s="6" t="s">
        <v>26</v>
      </c>
      <c r="N29" s="6" t="s">
        <v>48</v>
      </c>
    </row>
    <row r="30" spans="1:14" x14ac:dyDescent="0.25">
      <c r="A30" s="6" t="s">
        <v>117</v>
      </c>
      <c r="B30" s="4">
        <v>45829</v>
      </c>
      <c r="C30" s="6" t="s">
        <v>2800</v>
      </c>
      <c r="D30" s="7">
        <v>0.95833333333333337</v>
      </c>
      <c r="E30" s="6" t="s">
        <v>16</v>
      </c>
      <c r="F30" s="6" t="s">
        <v>118</v>
      </c>
      <c r="G30" s="4">
        <v>29085</v>
      </c>
      <c r="H30" s="6" t="s">
        <v>30</v>
      </c>
      <c r="I30">
        <v>319</v>
      </c>
      <c r="J30">
        <v>2</v>
      </c>
      <c r="K30">
        <v>640</v>
      </c>
      <c r="L30" s="6" t="s">
        <v>41</v>
      </c>
      <c r="M30" s="6" t="s">
        <v>61</v>
      </c>
      <c r="N30" s="6" t="s">
        <v>105</v>
      </c>
    </row>
    <row r="31" spans="1:14" x14ac:dyDescent="0.25">
      <c r="A31" s="6" t="s">
        <v>119</v>
      </c>
      <c r="B31" s="4">
        <v>45681</v>
      </c>
      <c r="C31" s="6" t="s">
        <v>2794</v>
      </c>
      <c r="D31" s="7">
        <v>0.96313657407407405</v>
      </c>
      <c r="E31" s="6" t="s">
        <v>16</v>
      </c>
      <c r="F31" s="6" t="s">
        <v>120</v>
      </c>
      <c r="G31" s="4">
        <v>29064</v>
      </c>
      <c r="H31" s="6" t="s">
        <v>77</v>
      </c>
      <c r="I31">
        <v>186</v>
      </c>
      <c r="J31">
        <v>2</v>
      </c>
      <c r="K31">
        <v>374</v>
      </c>
      <c r="L31" s="6" t="s">
        <v>19</v>
      </c>
      <c r="M31" s="6" t="s">
        <v>47</v>
      </c>
      <c r="N31" s="6" t="s">
        <v>48</v>
      </c>
    </row>
    <row r="32" spans="1:14" x14ac:dyDescent="0.25">
      <c r="A32" s="6" t="s">
        <v>121</v>
      </c>
      <c r="B32" s="4">
        <v>45733</v>
      </c>
      <c r="C32" s="6" t="s">
        <v>2798</v>
      </c>
      <c r="D32" s="7">
        <v>0.49166666666666664</v>
      </c>
      <c r="E32" s="6" t="s">
        <v>16</v>
      </c>
      <c r="F32" s="6" t="s">
        <v>123</v>
      </c>
      <c r="G32" s="4">
        <v>25944</v>
      </c>
      <c r="H32" s="6" t="s">
        <v>60</v>
      </c>
      <c r="I32">
        <v>207</v>
      </c>
      <c r="J32">
        <v>1</v>
      </c>
      <c r="K32">
        <v>207</v>
      </c>
      <c r="L32" s="6" t="s">
        <v>19</v>
      </c>
      <c r="M32" s="6" t="s">
        <v>89</v>
      </c>
      <c r="N32" s="6" t="s">
        <v>105</v>
      </c>
    </row>
    <row r="33" spans="1:14" x14ac:dyDescent="0.25">
      <c r="A33" s="6" t="s">
        <v>124</v>
      </c>
      <c r="B33" s="4">
        <v>45855</v>
      </c>
      <c r="C33" s="6" t="s">
        <v>2795</v>
      </c>
      <c r="D33" s="7">
        <v>0.4777777777777778</v>
      </c>
      <c r="E33" s="6" t="s">
        <v>16</v>
      </c>
      <c r="F33" s="6" t="s">
        <v>125</v>
      </c>
      <c r="G33" s="4">
        <v>32611</v>
      </c>
      <c r="H33" s="6" t="s">
        <v>126</v>
      </c>
      <c r="I33">
        <v>207</v>
      </c>
      <c r="J33">
        <v>1</v>
      </c>
      <c r="K33">
        <v>207</v>
      </c>
      <c r="L33" s="6" t="s">
        <v>19</v>
      </c>
      <c r="M33" s="6" t="s">
        <v>89</v>
      </c>
      <c r="N33" s="6" t="s">
        <v>33</v>
      </c>
    </row>
    <row r="34" spans="1:14" x14ac:dyDescent="0.25">
      <c r="A34" s="6" t="s">
        <v>127</v>
      </c>
      <c r="B34" s="4">
        <v>45927</v>
      </c>
      <c r="C34" s="6" t="s">
        <v>2797</v>
      </c>
      <c r="D34" s="7">
        <v>0.84211805555555552</v>
      </c>
      <c r="E34" s="6" t="s">
        <v>16</v>
      </c>
      <c r="F34" s="6" t="s">
        <v>128</v>
      </c>
      <c r="G34" s="4">
        <v>26445</v>
      </c>
      <c r="H34" s="6" t="s">
        <v>129</v>
      </c>
      <c r="I34">
        <v>203</v>
      </c>
      <c r="J34">
        <v>1</v>
      </c>
      <c r="K34">
        <v>204</v>
      </c>
      <c r="L34" s="6" t="s">
        <v>19</v>
      </c>
      <c r="M34" s="6" t="s">
        <v>89</v>
      </c>
      <c r="N34" s="6" t="s">
        <v>56</v>
      </c>
    </row>
    <row r="35" spans="1:14" x14ac:dyDescent="0.25">
      <c r="A35" s="6" t="s">
        <v>130</v>
      </c>
      <c r="B35" s="4">
        <v>45675</v>
      </c>
      <c r="C35" s="6" t="s">
        <v>2794</v>
      </c>
      <c r="D35" s="7">
        <v>0.53333333333333333</v>
      </c>
      <c r="E35" s="6" t="s">
        <v>16</v>
      </c>
      <c r="F35" s="6" t="s">
        <v>131</v>
      </c>
      <c r="G35" s="4">
        <v>34026</v>
      </c>
      <c r="H35" s="6" t="s">
        <v>60</v>
      </c>
      <c r="I35">
        <v>301</v>
      </c>
      <c r="J35">
        <v>3</v>
      </c>
      <c r="K35">
        <v>905</v>
      </c>
      <c r="L35" s="6" t="s">
        <v>19</v>
      </c>
      <c r="M35" s="6" t="s">
        <v>89</v>
      </c>
      <c r="N35" s="6" t="s">
        <v>74</v>
      </c>
    </row>
    <row r="36" spans="1:14" x14ac:dyDescent="0.25">
      <c r="A36" s="6" t="s">
        <v>132</v>
      </c>
      <c r="B36" s="4">
        <v>45676</v>
      </c>
      <c r="C36" s="6" t="s">
        <v>2794</v>
      </c>
      <c r="D36" s="7">
        <v>0.60486111111111107</v>
      </c>
      <c r="E36" s="6" t="s">
        <v>16</v>
      </c>
      <c r="F36" s="6" t="s">
        <v>133</v>
      </c>
      <c r="G36" s="4">
        <v>38187</v>
      </c>
      <c r="H36" s="6" t="s">
        <v>77</v>
      </c>
      <c r="I36">
        <v>314</v>
      </c>
      <c r="J36">
        <v>2</v>
      </c>
      <c r="K36">
        <v>630</v>
      </c>
      <c r="L36" s="6" t="s">
        <v>19</v>
      </c>
      <c r="M36" s="6" t="s">
        <v>55</v>
      </c>
      <c r="N36" s="6" t="s">
        <v>74</v>
      </c>
    </row>
    <row r="37" spans="1:14" x14ac:dyDescent="0.25">
      <c r="A37" s="6" t="s">
        <v>134</v>
      </c>
      <c r="B37" s="4">
        <v>45758</v>
      </c>
      <c r="C37" s="6" t="s">
        <v>2801</v>
      </c>
      <c r="D37" s="7">
        <v>0.99444444444444446</v>
      </c>
      <c r="E37" s="6" t="s">
        <v>16</v>
      </c>
      <c r="F37" s="6" t="s">
        <v>109</v>
      </c>
      <c r="G37" s="4">
        <v>25959</v>
      </c>
      <c r="H37" s="6" t="s">
        <v>60</v>
      </c>
      <c r="I37">
        <v>313</v>
      </c>
      <c r="J37">
        <v>1</v>
      </c>
      <c r="K37">
        <v>314</v>
      </c>
      <c r="L37" s="6" t="s">
        <v>19</v>
      </c>
      <c r="M37" s="6" t="s">
        <v>55</v>
      </c>
      <c r="N37" s="6" t="s">
        <v>27</v>
      </c>
    </row>
    <row r="38" spans="1:14" x14ac:dyDescent="0.25">
      <c r="A38" s="6" t="s">
        <v>135</v>
      </c>
      <c r="B38" s="4">
        <v>45624</v>
      </c>
      <c r="C38" s="6" t="s">
        <v>2802</v>
      </c>
      <c r="D38" s="7">
        <v>0.80555555555555558</v>
      </c>
      <c r="E38" s="6" t="s">
        <v>16</v>
      </c>
      <c r="F38" s="6" t="s">
        <v>136</v>
      </c>
      <c r="G38" s="4">
        <v>28462</v>
      </c>
      <c r="H38" s="6" t="s">
        <v>77</v>
      </c>
      <c r="I38">
        <v>227</v>
      </c>
      <c r="J38">
        <v>2</v>
      </c>
      <c r="K38">
        <v>455</v>
      </c>
      <c r="L38" s="6" t="s">
        <v>19</v>
      </c>
      <c r="M38" s="6" t="s">
        <v>26</v>
      </c>
      <c r="N38" s="6" t="s">
        <v>21</v>
      </c>
    </row>
    <row r="39" spans="1:14" x14ac:dyDescent="0.25">
      <c r="A39" s="6" t="s">
        <v>137</v>
      </c>
      <c r="B39" s="4">
        <v>45781</v>
      </c>
      <c r="C39" s="6" t="s">
        <v>2792</v>
      </c>
      <c r="D39" s="7">
        <v>0.51180555555555551</v>
      </c>
      <c r="E39" s="6" t="s">
        <v>16</v>
      </c>
      <c r="F39" s="6" t="s">
        <v>138</v>
      </c>
      <c r="G39" s="4">
        <v>39701</v>
      </c>
      <c r="H39" s="6" t="s">
        <v>73</v>
      </c>
      <c r="I39">
        <v>45</v>
      </c>
      <c r="J39">
        <v>2</v>
      </c>
      <c r="K39">
        <v>90</v>
      </c>
      <c r="L39" s="6" t="s">
        <v>19</v>
      </c>
      <c r="M39" s="6" t="s">
        <v>26</v>
      </c>
      <c r="N39" s="6" t="s">
        <v>21</v>
      </c>
    </row>
    <row r="40" spans="1:14" x14ac:dyDescent="0.25">
      <c r="A40" s="6" t="s">
        <v>139</v>
      </c>
      <c r="B40" s="4">
        <v>45660</v>
      </c>
      <c r="C40" s="6" t="s">
        <v>2794</v>
      </c>
      <c r="D40" s="7">
        <v>0.90763888888888888</v>
      </c>
      <c r="E40" s="6" t="s">
        <v>16</v>
      </c>
      <c r="F40" s="6" t="s">
        <v>140</v>
      </c>
      <c r="G40" s="4">
        <v>33546</v>
      </c>
      <c r="H40" s="6" t="s">
        <v>141</v>
      </c>
      <c r="I40">
        <v>144</v>
      </c>
      <c r="J40">
        <v>3</v>
      </c>
      <c r="K40">
        <v>432</v>
      </c>
      <c r="L40" s="6" t="s">
        <v>67</v>
      </c>
      <c r="M40" s="6" t="s">
        <v>20</v>
      </c>
      <c r="N40" s="6" t="s">
        <v>21</v>
      </c>
    </row>
    <row r="41" spans="1:14" x14ac:dyDescent="0.25">
      <c r="A41" s="6" t="s">
        <v>142</v>
      </c>
      <c r="B41" s="4">
        <v>45935</v>
      </c>
      <c r="C41" s="6" t="s">
        <v>2791</v>
      </c>
      <c r="D41" s="7">
        <v>0.83263888888888893</v>
      </c>
      <c r="E41" s="6" t="s">
        <v>16</v>
      </c>
      <c r="F41" s="6" t="s">
        <v>136</v>
      </c>
      <c r="G41" s="4">
        <v>33546</v>
      </c>
      <c r="H41" s="6" t="s">
        <v>93</v>
      </c>
      <c r="I41">
        <v>201</v>
      </c>
      <c r="J41">
        <v>2</v>
      </c>
      <c r="K41">
        <v>402</v>
      </c>
      <c r="L41" s="6" t="s">
        <v>2787</v>
      </c>
      <c r="M41" s="6" t="s">
        <v>32</v>
      </c>
      <c r="N41" s="6" t="s">
        <v>21</v>
      </c>
    </row>
    <row r="42" spans="1:14" x14ac:dyDescent="0.25">
      <c r="A42" s="6" t="s">
        <v>143</v>
      </c>
      <c r="B42" s="4">
        <v>45643</v>
      </c>
      <c r="C42" s="6" t="s">
        <v>2796</v>
      </c>
      <c r="D42" s="7">
        <v>0.8370023148148148</v>
      </c>
      <c r="E42" s="6" t="s">
        <v>16</v>
      </c>
      <c r="F42" s="6" t="s">
        <v>144</v>
      </c>
      <c r="G42" s="4">
        <v>31892</v>
      </c>
      <c r="H42" s="6" t="s">
        <v>145</v>
      </c>
      <c r="I42">
        <v>168</v>
      </c>
      <c r="J42">
        <v>2</v>
      </c>
      <c r="K42">
        <v>337</v>
      </c>
      <c r="L42" s="6" t="s">
        <v>2787</v>
      </c>
      <c r="M42" s="6" t="s">
        <v>20</v>
      </c>
      <c r="N42" s="6" t="s">
        <v>27</v>
      </c>
    </row>
    <row r="43" spans="1:14" x14ac:dyDescent="0.25">
      <c r="A43" s="6" t="s">
        <v>146</v>
      </c>
      <c r="B43" s="4">
        <v>45683</v>
      </c>
      <c r="C43" s="6" t="s">
        <v>2794</v>
      </c>
      <c r="D43" s="7">
        <v>0.77430555555555558</v>
      </c>
      <c r="E43" s="6" t="s">
        <v>16</v>
      </c>
      <c r="F43" s="6" t="s">
        <v>147</v>
      </c>
      <c r="G43" s="4">
        <v>35445</v>
      </c>
      <c r="H43" s="6" t="s">
        <v>141</v>
      </c>
      <c r="I43">
        <v>114</v>
      </c>
      <c r="J43">
        <v>3</v>
      </c>
      <c r="K43">
        <v>345</v>
      </c>
      <c r="L43" s="6" t="s">
        <v>19</v>
      </c>
      <c r="M43" s="6" t="s">
        <v>26</v>
      </c>
      <c r="N43" s="6" t="s">
        <v>74</v>
      </c>
    </row>
    <row r="44" spans="1:14" x14ac:dyDescent="0.25">
      <c r="A44" s="6" t="s">
        <v>149</v>
      </c>
      <c r="B44" s="4">
        <v>45671</v>
      </c>
      <c r="C44" s="6" t="s">
        <v>2794</v>
      </c>
      <c r="D44" s="7">
        <v>0.75376157407407407</v>
      </c>
      <c r="E44" s="6" t="s">
        <v>16</v>
      </c>
      <c r="F44" s="6" t="s">
        <v>151</v>
      </c>
      <c r="G44" s="4">
        <v>27293</v>
      </c>
      <c r="H44" s="6" t="s">
        <v>18</v>
      </c>
      <c r="I44">
        <v>76</v>
      </c>
      <c r="J44">
        <v>2</v>
      </c>
      <c r="K44">
        <v>152</v>
      </c>
      <c r="L44" s="6" t="s">
        <v>19</v>
      </c>
      <c r="M44" s="6" t="s">
        <v>32</v>
      </c>
      <c r="N44" s="6" t="s">
        <v>56</v>
      </c>
    </row>
    <row r="45" spans="1:14" x14ac:dyDescent="0.25">
      <c r="A45" s="6" t="s">
        <v>152</v>
      </c>
      <c r="B45" s="4">
        <v>45694</v>
      </c>
      <c r="C45" s="6" t="s">
        <v>2799</v>
      </c>
      <c r="D45" s="7">
        <v>0.73633101851851857</v>
      </c>
      <c r="E45" s="6" t="s">
        <v>16</v>
      </c>
      <c r="F45" s="6" t="s">
        <v>154</v>
      </c>
      <c r="G45" s="4">
        <v>36374</v>
      </c>
      <c r="H45" s="6" t="s">
        <v>77</v>
      </c>
      <c r="I45">
        <v>138</v>
      </c>
      <c r="J45">
        <v>1</v>
      </c>
      <c r="K45">
        <v>138</v>
      </c>
      <c r="L45" s="6" t="s">
        <v>41</v>
      </c>
      <c r="M45" s="6" t="s">
        <v>55</v>
      </c>
      <c r="N45" s="6" t="s">
        <v>56</v>
      </c>
    </row>
    <row r="46" spans="1:14" x14ac:dyDescent="0.25">
      <c r="A46" s="6" t="s">
        <v>155</v>
      </c>
      <c r="B46" s="4">
        <v>45669</v>
      </c>
      <c r="C46" s="6" t="s">
        <v>2794</v>
      </c>
      <c r="D46" s="7">
        <v>0.87847222222222221</v>
      </c>
      <c r="E46" s="6" t="s">
        <v>16</v>
      </c>
      <c r="F46" s="6" t="s">
        <v>59</v>
      </c>
      <c r="G46" s="4">
        <v>36055</v>
      </c>
      <c r="H46" s="6" t="s">
        <v>36</v>
      </c>
      <c r="I46">
        <v>111</v>
      </c>
      <c r="J46">
        <v>3</v>
      </c>
      <c r="K46">
        <v>333</v>
      </c>
      <c r="L46" s="6" t="s">
        <v>41</v>
      </c>
      <c r="M46" s="6" t="s">
        <v>32</v>
      </c>
      <c r="N46" s="6" t="s">
        <v>48</v>
      </c>
    </row>
    <row r="47" spans="1:14" x14ac:dyDescent="0.25">
      <c r="A47" s="6" t="s">
        <v>156</v>
      </c>
      <c r="B47" s="4">
        <v>45952</v>
      </c>
      <c r="C47" s="6" t="s">
        <v>2791</v>
      </c>
      <c r="D47" s="7">
        <v>0.52638888888888891</v>
      </c>
      <c r="E47" s="6" t="s">
        <v>16</v>
      </c>
      <c r="F47" s="6" t="s">
        <v>158</v>
      </c>
      <c r="G47" s="4">
        <v>28817</v>
      </c>
      <c r="H47" s="6" t="s">
        <v>145</v>
      </c>
      <c r="I47">
        <v>227</v>
      </c>
      <c r="J47">
        <v>1</v>
      </c>
      <c r="K47">
        <v>227</v>
      </c>
      <c r="L47" s="6" t="s">
        <v>19</v>
      </c>
      <c r="M47" s="6" t="s">
        <v>55</v>
      </c>
      <c r="N47" s="6" t="s">
        <v>56</v>
      </c>
    </row>
    <row r="48" spans="1:14" x14ac:dyDescent="0.25">
      <c r="A48" s="6" t="s">
        <v>159</v>
      </c>
      <c r="B48" s="4">
        <v>45933</v>
      </c>
      <c r="C48" s="6" t="s">
        <v>2791</v>
      </c>
      <c r="D48" s="7">
        <v>0.50694444444444442</v>
      </c>
      <c r="E48" s="6" t="s">
        <v>16</v>
      </c>
      <c r="F48" s="6" t="s">
        <v>161</v>
      </c>
      <c r="G48" s="4">
        <v>34297</v>
      </c>
      <c r="H48" s="6" t="s">
        <v>18</v>
      </c>
      <c r="I48">
        <v>93</v>
      </c>
      <c r="J48">
        <v>2</v>
      </c>
      <c r="K48">
        <v>187</v>
      </c>
      <c r="L48" s="6" t="s">
        <v>41</v>
      </c>
      <c r="M48" s="6" t="s">
        <v>20</v>
      </c>
      <c r="N48" s="6" t="s">
        <v>27</v>
      </c>
    </row>
    <row r="49" spans="1:14" x14ac:dyDescent="0.25">
      <c r="A49" s="6" t="s">
        <v>162</v>
      </c>
      <c r="B49" s="4">
        <v>45719</v>
      </c>
      <c r="C49" s="6" t="s">
        <v>2798</v>
      </c>
      <c r="D49" s="7">
        <v>0.96944444444444444</v>
      </c>
      <c r="E49" s="6" t="s">
        <v>16</v>
      </c>
      <c r="F49" s="6" t="s">
        <v>163</v>
      </c>
      <c r="G49" s="4">
        <v>37662</v>
      </c>
      <c r="H49" s="6" t="s">
        <v>164</v>
      </c>
      <c r="I49">
        <v>357</v>
      </c>
      <c r="J49">
        <v>1</v>
      </c>
      <c r="K49">
        <v>357</v>
      </c>
      <c r="L49" s="6" t="s">
        <v>67</v>
      </c>
      <c r="M49" s="6" t="s">
        <v>55</v>
      </c>
      <c r="N49" s="6" t="s">
        <v>56</v>
      </c>
    </row>
    <row r="50" spans="1:14" x14ac:dyDescent="0.25">
      <c r="A50" s="6" t="s">
        <v>165</v>
      </c>
      <c r="B50" s="4">
        <v>45667</v>
      </c>
      <c r="C50" s="6" t="s">
        <v>2794</v>
      </c>
      <c r="D50" s="7">
        <v>0.92291666666666672</v>
      </c>
      <c r="E50" s="6" t="s">
        <v>16</v>
      </c>
      <c r="F50" s="6" t="s">
        <v>166</v>
      </c>
      <c r="G50" s="4">
        <v>37662</v>
      </c>
      <c r="H50" s="6" t="s">
        <v>164</v>
      </c>
      <c r="I50">
        <v>236</v>
      </c>
      <c r="J50">
        <v>1</v>
      </c>
      <c r="K50">
        <v>236</v>
      </c>
      <c r="L50" s="6" t="s">
        <v>41</v>
      </c>
      <c r="M50" s="6" t="s">
        <v>61</v>
      </c>
      <c r="N50" s="6" t="s">
        <v>21</v>
      </c>
    </row>
    <row r="51" spans="1:14" x14ac:dyDescent="0.25">
      <c r="A51" s="6" t="s">
        <v>167</v>
      </c>
      <c r="B51" s="4">
        <v>45673</v>
      </c>
      <c r="C51" s="6" t="s">
        <v>2794</v>
      </c>
      <c r="D51" s="7">
        <v>0.81527777777777777</v>
      </c>
      <c r="E51" s="6" t="s">
        <v>16</v>
      </c>
      <c r="F51" s="6" t="s">
        <v>169</v>
      </c>
      <c r="G51" s="4">
        <v>35450</v>
      </c>
      <c r="H51" s="6" t="s">
        <v>164</v>
      </c>
      <c r="I51">
        <v>357</v>
      </c>
      <c r="J51">
        <v>2</v>
      </c>
      <c r="K51">
        <v>716</v>
      </c>
      <c r="L51" s="6" t="s">
        <v>54</v>
      </c>
      <c r="M51" s="6" t="s">
        <v>32</v>
      </c>
      <c r="N51" s="6" t="s">
        <v>21</v>
      </c>
    </row>
    <row r="52" spans="1:14" x14ac:dyDescent="0.25">
      <c r="A52" s="6" t="s">
        <v>170</v>
      </c>
      <c r="B52" s="4">
        <v>45793</v>
      </c>
      <c r="C52" s="6" t="s">
        <v>2792</v>
      </c>
      <c r="D52" s="7">
        <v>0.94290509259259259</v>
      </c>
      <c r="E52" s="6" t="s">
        <v>16</v>
      </c>
      <c r="F52" s="6" t="s">
        <v>59</v>
      </c>
      <c r="G52" s="4">
        <v>29905</v>
      </c>
      <c r="H52" s="6" t="s">
        <v>24</v>
      </c>
      <c r="I52">
        <v>219</v>
      </c>
      <c r="J52">
        <v>2</v>
      </c>
      <c r="K52">
        <v>440</v>
      </c>
      <c r="L52" s="6" t="s">
        <v>54</v>
      </c>
      <c r="M52" s="6" t="s">
        <v>89</v>
      </c>
      <c r="N52" s="6" t="s">
        <v>105</v>
      </c>
    </row>
    <row r="53" spans="1:14" x14ac:dyDescent="0.25">
      <c r="A53" s="6" t="s">
        <v>172</v>
      </c>
      <c r="B53" s="4">
        <v>45948</v>
      </c>
      <c r="C53" s="6" t="s">
        <v>2791</v>
      </c>
      <c r="D53" s="7">
        <v>0.99236111111111114</v>
      </c>
      <c r="E53" s="6" t="s">
        <v>16</v>
      </c>
      <c r="F53" s="6" t="s">
        <v>173</v>
      </c>
      <c r="G53" s="4">
        <v>35048</v>
      </c>
      <c r="H53" s="6" t="s">
        <v>40</v>
      </c>
      <c r="I53">
        <v>231</v>
      </c>
      <c r="J53">
        <v>3</v>
      </c>
      <c r="K53">
        <v>695</v>
      </c>
      <c r="L53" s="6" t="s">
        <v>19</v>
      </c>
      <c r="M53" s="6" t="s">
        <v>89</v>
      </c>
      <c r="N53" s="6" t="s">
        <v>48</v>
      </c>
    </row>
    <row r="54" spans="1:14" x14ac:dyDescent="0.25">
      <c r="A54" s="6" t="s">
        <v>174</v>
      </c>
      <c r="B54" s="4">
        <v>45845</v>
      </c>
      <c r="C54" s="6" t="s">
        <v>2795</v>
      </c>
      <c r="D54" s="7">
        <v>0.53087962962962965</v>
      </c>
      <c r="E54" s="6" t="s">
        <v>16</v>
      </c>
      <c r="F54" s="6" t="s">
        <v>88</v>
      </c>
      <c r="G54" s="4">
        <v>40003</v>
      </c>
      <c r="H54" s="6" t="s">
        <v>40</v>
      </c>
      <c r="I54">
        <v>196</v>
      </c>
      <c r="J54">
        <v>1</v>
      </c>
      <c r="K54">
        <v>246</v>
      </c>
      <c r="L54" s="6" t="s">
        <v>19</v>
      </c>
      <c r="M54" s="6" t="s">
        <v>20</v>
      </c>
      <c r="N54" s="6" t="s">
        <v>105</v>
      </c>
    </row>
    <row r="55" spans="1:14" x14ac:dyDescent="0.25">
      <c r="A55" s="6" t="s">
        <v>176</v>
      </c>
      <c r="B55" s="4">
        <v>45926</v>
      </c>
      <c r="C55" s="6" t="s">
        <v>2797</v>
      </c>
      <c r="D55" s="7">
        <v>0.64097222222222228</v>
      </c>
      <c r="E55" s="6" t="s">
        <v>16</v>
      </c>
      <c r="F55" s="6" t="s">
        <v>161</v>
      </c>
      <c r="G55" s="4">
        <v>40003</v>
      </c>
      <c r="H55" s="6" t="s">
        <v>178</v>
      </c>
      <c r="I55">
        <v>287</v>
      </c>
      <c r="J55">
        <v>2</v>
      </c>
      <c r="K55">
        <v>575</v>
      </c>
      <c r="L55" s="6" t="s">
        <v>67</v>
      </c>
      <c r="M55" s="6" t="s">
        <v>26</v>
      </c>
      <c r="N55" s="6" t="s">
        <v>27</v>
      </c>
    </row>
    <row r="56" spans="1:14" x14ac:dyDescent="0.25">
      <c r="A56" s="6" t="s">
        <v>179</v>
      </c>
      <c r="B56" s="4">
        <v>45654</v>
      </c>
      <c r="C56" s="6" t="s">
        <v>2796</v>
      </c>
      <c r="D56" s="7">
        <v>0.49424768518518519</v>
      </c>
      <c r="E56" s="6" t="s">
        <v>16</v>
      </c>
      <c r="F56" s="6" t="s">
        <v>181</v>
      </c>
      <c r="G56" s="4">
        <v>32291</v>
      </c>
      <c r="H56" s="6" t="s">
        <v>145</v>
      </c>
      <c r="I56">
        <v>230</v>
      </c>
      <c r="J56">
        <v>3</v>
      </c>
      <c r="K56">
        <v>692</v>
      </c>
      <c r="L56" s="6" t="s">
        <v>19</v>
      </c>
      <c r="M56" s="6" t="s">
        <v>89</v>
      </c>
      <c r="N56" s="6" t="s">
        <v>74</v>
      </c>
    </row>
    <row r="57" spans="1:14" x14ac:dyDescent="0.25">
      <c r="A57" s="6" t="s">
        <v>182</v>
      </c>
      <c r="B57" s="4">
        <v>45862</v>
      </c>
      <c r="C57" s="6" t="s">
        <v>2795</v>
      </c>
      <c r="D57" s="7">
        <v>0.98333333333333328</v>
      </c>
      <c r="E57" s="6" t="s">
        <v>16</v>
      </c>
      <c r="F57" s="6" t="s">
        <v>147</v>
      </c>
      <c r="G57" s="4">
        <v>33690</v>
      </c>
      <c r="H57" s="6" t="s">
        <v>145</v>
      </c>
      <c r="I57">
        <v>160</v>
      </c>
      <c r="J57">
        <v>3</v>
      </c>
      <c r="K57">
        <v>480</v>
      </c>
      <c r="L57" s="6" t="s">
        <v>2787</v>
      </c>
      <c r="M57" s="6" t="s">
        <v>47</v>
      </c>
      <c r="N57" s="6" t="s">
        <v>74</v>
      </c>
    </row>
    <row r="58" spans="1:14" x14ac:dyDescent="0.25">
      <c r="A58" s="6" t="s">
        <v>184</v>
      </c>
      <c r="B58" s="4">
        <v>45757</v>
      </c>
      <c r="C58" s="6" t="s">
        <v>2801</v>
      </c>
      <c r="D58" s="7">
        <v>0.81527777777777777</v>
      </c>
      <c r="E58" s="6" t="s">
        <v>16</v>
      </c>
      <c r="F58" s="6" t="s">
        <v>128</v>
      </c>
      <c r="G58" s="4">
        <v>29545</v>
      </c>
      <c r="H58" s="6" t="s">
        <v>164</v>
      </c>
      <c r="I58">
        <v>239</v>
      </c>
      <c r="J58">
        <v>2</v>
      </c>
      <c r="K58">
        <v>480</v>
      </c>
      <c r="L58" s="6" t="s">
        <v>2787</v>
      </c>
      <c r="M58" s="6" t="s">
        <v>61</v>
      </c>
      <c r="N58" s="6" t="s">
        <v>33</v>
      </c>
    </row>
    <row r="59" spans="1:14" x14ac:dyDescent="0.25">
      <c r="A59" s="6" t="s">
        <v>185</v>
      </c>
      <c r="B59" s="4">
        <v>45967</v>
      </c>
      <c r="C59" s="6" t="s">
        <v>2802</v>
      </c>
      <c r="D59" s="7">
        <v>0.48888888888888887</v>
      </c>
      <c r="E59" s="6" t="s">
        <v>16</v>
      </c>
      <c r="F59" s="6" t="s">
        <v>187</v>
      </c>
      <c r="G59" s="4">
        <v>39518</v>
      </c>
      <c r="H59" s="6" t="s">
        <v>93</v>
      </c>
      <c r="I59">
        <v>217</v>
      </c>
      <c r="J59">
        <v>1</v>
      </c>
      <c r="K59">
        <v>218</v>
      </c>
      <c r="L59" s="6" t="s">
        <v>41</v>
      </c>
      <c r="M59" s="6" t="s">
        <v>47</v>
      </c>
      <c r="N59" s="6" t="s">
        <v>27</v>
      </c>
    </row>
    <row r="60" spans="1:14" x14ac:dyDescent="0.25">
      <c r="A60" s="6" t="s">
        <v>188</v>
      </c>
      <c r="B60" s="4">
        <v>45784</v>
      </c>
      <c r="C60" s="6" t="s">
        <v>2792</v>
      </c>
      <c r="D60" s="7">
        <v>0.57511574074074079</v>
      </c>
      <c r="E60" s="6" t="s">
        <v>16</v>
      </c>
      <c r="F60" s="6" t="s">
        <v>189</v>
      </c>
      <c r="G60" s="4">
        <v>25977</v>
      </c>
      <c r="H60" s="6" t="s">
        <v>141</v>
      </c>
      <c r="I60">
        <v>137</v>
      </c>
      <c r="J60">
        <v>2</v>
      </c>
      <c r="K60">
        <v>275</v>
      </c>
      <c r="L60" s="6" t="s">
        <v>19</v>
      </c>
      <c r="M60" s="6" t="s">
        <v>55</v>
      </c>
      <c r="N60" s="6" t="s">
        <v>74</v>
      </c>
    </row>
    <row r="61" spans="1:14" x14ac:dyDescent="0.25">
      <c r="A61" s="6" t="s">
        <v>190</v>
      </c>
      <c r="B61" s="4">
        <v>45643</v>
      </c>
      <c r="C61" s="6" t="s">
        <v>2796</v>
      </c>
      <c r="D61" s="7">
        <v>0.64930555555555558</v>
      </c>
      <c r="E61" s="6" t="s">
        <v>16</v>
      </c>
      <c r="F61" s="6" t="s">
        <v>191</v>
      </c>
      <c r="G61" s="4">
        <v>40137</v>
      </c>
      <c r="H61" s="6" t="s">
        <v>45</v>
      </c>
      <c r="I61">
        <v>319</v>
      </c>
      <c r="J61">
        <v>2</v>
      </c>
      <c r="K61">
        <v>639</v>
      </c>
      <c r="L61" s="6" t="s">
        <v>41</v>
      </c>
      <c r="M61" s="6" t="s">
        <v>32</v>
      </c>
      <c r="N61" s="6" t="s">
        <v>56</v>
      </c>
    </row>
    <row r="62" spans="1:14" x14ac:dyDescent="0.25">
      <c r="A62" s="6" t="s">
        <v>192</v>
      </c>
      <c r="B62" s="4">
        <v>45700</v>
      </c>
      <c r="C62" s="6" t="s">
        <v>2799</v>
      </c>
      <c r="D62" s="7">
        <v>0.80625000000000002</v>
      </c>
      <c r="E62" s="6" t="s">
        <v>16</v>
      </c>
      <c r="F62" s="6" t="s">
        <v>189</v>
      </c>
      <c r="G62" s="4">
        <v>26095</v>
      </c>
      <c r="H62" s="6" t="s">
        <v>77</v>
      </c>
      <c r="I62">
        <v>82</v>
      </c>
      <c r="J62">
        <v>3</v>
      </c>
      <c r="K62">
        <v>248</v>
      </c>
      <c r="L62" s="6" t="s">
        <v>41</v>
      </c>
      <c r="M62" s="6" t="s">
        <v>37</v>
      </c>
      <c r="N62" s="6" t="s">
        <v>33</v>
      </c>
    </row>
    <row r="63" spans="1:14" x14ac:dyDescent="0.25">
      <c r="A63" s="6" t="s">
        <v>193</v>
      </c>
      <c r="B63" s="4">
        <v>45633</v>
      </c>
      <c r="C63" s="6" t="s">
        <v>2796</v>
      </c>
      <c r="D63" s="7">
        <v>0.54268518518518516</v>
      </c>
      <c r="E63" s="6" t="s">
        <v>16</v>
      </c>
      <c r="F63" s="6" t="s">
        <v>194</v>
      </c>
      <c r="G63" s="4">
        <v>37545</v>
      </c>
      <c r="H63" s="6" t="s">
        <v>45</v>
      </c>
      <c r="I63">
        <v>349</v>
      </c>
      <c r="J63">
        <v>2</v>
      </c>
      <c r="K63">
        <v>700</v>
      </c>
      <c r="L63" s="6" t="s">
        <v>67</v>
      </c>
      <c r="M63" s="6" t="s">
        <v>89</v>
      </c>
      <c r="N63" s="6" t="s">
        <v>33</v>
      </c>
    </row>
    <row r="64" spans="1:14" x14ac:dyDescent="0.25">
      <c r="A64" s="6" t="s">
        <v>195</v>
      </c>
      <c r="B64" s="4">
        <v>45769</v>
      </c>
      <c r="C64" s="6" t="s">
        <v>2801</v>
      </c>
      <c r="D64" s="7">
        <v>0.9291666666666667</v>
      </c>
      <c r="E64" s="6" t="s">
        <v>16</v>
      </c>
      <c r="F64" s="6" t="s">
        <v>101</v>
      </c>
      <c r="G64" s="4">
        <v>31901</v>
      </c>
      <c r="H64" s="6" t="s">
        <v>85</v>
      </c>
      <c r="I64">
        <v>87</v>
      </c>
      <c r="J64">
        <v>2</v>
      </c>
      <c r="K64">
        <v>175</v>
      </c>
      <c r="L64" s="6" t="s">
        <v>67</v>
      </c>
      <c r="M64" s="6" t="s">
        <v>47</v>
      </c>
      <c r="N64" s="6" t="s">
        <v>33</v>
      </c>
    </row>
    <row r="65" spans="1:14" x14ac:dyDescent="0.25">
      <c r="A65" s="6" t="s">
        <v>197</v>
      </c>
      <c r="B65" s="4">
        <v>45755</v>
      </c>
      <c r="C65" s="6" t="s">
        <v>2801</v>
      </c>
      <c r="D65" s="7">
        <v>0.50416666666666665</v>
      </c>
      <c r="E65" s="6" t="s">
        <v>16</v>
      </c>
      <c r="F65" s="6" t="s">
        <v>198</v>
      </c>
      <c r="G65" s="4">
        <v>37732</v>
      </c>
      <c r="H65" s="6" t="s">
        <v>199</v>
      </c>
      <c r="I65">
        <v>248</v>
      </c>
      <c r="J65">
        <v>2</v>
      </c>
      <c r="K65">
        <v>498</v>
      </c>
      <c r="L65" s="6" t="s">
        <v>19</v>
      </c>
      <c r="M65" s="6" t="s">
        <v>47</v>
      </c>
      <c r="N65" s="6" t="s">
        <v>33</v>
      </c>
    </row>
    <row r="66" spans="1:14" x14ac:dyDescent="0.25">
      <c r="A66" s="6" t="s">
        <v>200</v>
      </c>
      <c r="B66" s="4">
        <v>45636</v>
      </c>
      <c r="C66" s="6" t="s">
        <v>2796</v>
      </c>
      <c r="D66" s="7">
        <v>0.7055555555555556</v>
      </c>
      <c r="E66" s="6" t="s">
        <v>16</v>
      </c>
      <c r="F66" s="6" t="s">
        <v>201</v>
      </c>
      <c r="G66" s="4">
        <v>32143</v>
      </c>
      <c r="H66" s="6" t="s">
        <v>202</v>
      </c>
      <c r="I66">
        <v>116</v>
      </c>
      <c r="J66">
        <v>2</v>
      </c>
      <c r="K66">
        <v>232</v>
      </c>
      <c r="L66" s="6" t="s">
        <v>54</v>
      </c>
      <c r="M66" s="6" t="s">
        <v>32</v>
      </c>
      <c r="N66" s="6" t="s">
        <v>48</v>
      </c>
    </row>
    <row r="67" spans="1:14" x14ac:dyDescent="0.25">
      <c r="A67" s="6" t="s">
        <v>203</v>
      </c>
      <c r="B67" s="4">
        <v>45907</v>
      </c>
      <c r="C67" s="6" t="s">
        <v>2797</v>
      </c>
      <c r="D67" s="7">
        <v>0.52708333333333335</v>
      </c>
      <c r="E67" s="6" t="s">
        <v>16</v>
      </c>
      <c r="F67" s="6" t="s">
        <v>204</v>
      </c>
      <c r="G67" s="4">
        <v>33584</v>
      </c>
      <c r="H67" s="6" t="s">
        <v>53</v>
      </c>
      <c r="I67">
        <v>91</v>
      </c>
      <c r="J67">
        <v>1</v>
      </c>
      <c r="K67">
        <v>100</v>
      </c>
      <c r="L67" s="6" t="s">
        <v>54</v>
      </c>
      <c r="M67" s="6" t="s">
        <v>26</v>
      </c>
      <c r="N67" s="6" t="s">
        <v>48</v>
      </c>
    </row>
    <row r="68" spans="1:14" x14ac:dyDescent="0.25">
      <c r="A68" s="6" t="s">
        <v>205</v>
      </c>
      <c r="B68" s="4">
        <v>45774</v>
      </c>
      <c r="C68" s="6" t="s">
        <v>2801</v>
      </c>
      <c r="D68" s="7">
        <v>0.88032407407407409</v>
      </c>
      <c r="E68" s="6" t="s">
        <v>16</v>
      </c>
      <c r="F68" s="6" t="s">
        <v>206</v>
      </c>
      <c r="G68" s="4">
        <v>36600</v>
      </c>
      <c r="H68" s="6" t="s">
        <v>85</v>
      </c>
      <c r="I68">
        <v>130</v>
      </c>
      <c r="J68">
        <v>3</v>
      </c>
      <c r="K68">
        <v>390</v>
      </c>
      <c r="L68" s="6" t="s">
        <v>19</v>
      </c>
      <c r="M68" s="6" t="s">
        <v>55</v>
      </c>
      <c r="N68" s="6" t="s">
        <v>48</v>
      </c>
    </row>
    <row r="69" spans="1:14" x14ac:dyDescent="0.25">
      <c r="A69" s="6" t="s">
        <v>207</v>
      </c>
      <c r="B69" s="4">
        <v>45875</v>
      </c>
      <c r="C69" s="6" t="s">
        <v>2793</v>
      </c>
      <c r="D69" s="7">
        <v>0.51388888888888884</v>
      </c>
      <c r="E69" s="6" t="s">
        <v>16</v>
      </c>
      <c r="F69" s="6" t="s">
        <v>208</v>
      </c>
      <c r="G69" s="4">
        <v>36939</v>
      </c>
      <c r="H69" s="6" t="s">
        <v>45</v>
      </c>
      <c r="I69">
        <v>98</v>
      </c>
      <c r="J69">
        <v>1</v>
      </c>
      <c r="K69">
        <v>99</v>
      </c>
      <c r="L69" s="6" t="s">
        <v>41</v>
      </c>
      <c r="M69" s="6" t="s">
        <v>32</v>
      </c>
      <c r="N69" s="6" t="s">
        <v>21</v>
      </c>
    </row>
    <row r="70" spans="1:14" x14ac:dyDescent="0.25">
      <c r="A70" s="6" t="s">
        <v>209</v>
      </c>
      <c r="B70" s="4">
        <v>45894</v>
      </c>
      <c r="C70" s="6" t="s">
        <v>2793</v>
      </c>
      <c r="D70" s="7">
        <v>0.70993055555555551</v>
      </c>
      <c r="E70" s="6" t="s">
        <v>16</v>
      </c>
      <c r="F70" s="6" t="s">
        <v>35</v>
      </c>
      <c r="G70" s="4">
        <v>35229</v>
      </c>
      <c r="H70" s="6" t="s">
        <v>202</v>
      </c>
      <c r="I70">
        <v>42</v>
      </c>
      <c r="J70">
        <v>1</v>
      </c>
      <c r="K70">
        <v>55</v>
      </c>
      <c r="L70" s="6" t="s">
        <v>41</v>
      </c>
      <c r="M70" s="6" t="s">
        <v>20</v>
      </c>
      <c r="N70" s="6" t="s">
        <v>33</v>
      </c>
    </row>
    <row r="71" spans="1:14" x14ac:dyDescent="0.25">
      <c r="A71" s="6" t="s">
        <v>210</v>
      </c>
      <c r="B71" s="4">
        <v>45743</v>
      </c>
      <c r="C71" s="6" t="s">
        <v>2798</v>
      </c>
      <c r="D71" s="7">
        <v>0.59166666666666667</v>
      </c>
      <c r="E71" s="6" t="s">
        <v>16</v>
      </c>
      <c r="F71" s="6" t="s">
        <v>211</v>
      </c>
      <c r="G71" s="4">
        <v>26030</v>
      </c>
      <c r="H71" s="6" t="s">
        <v>18</v>
      </c>
      <c r="I71">
        <v>101</v>
      </c>
      <c r="J71">
        <v>2</v>
      </c>
      <c r="K71">
        <v>203</v>
      </c>
      <c r="L71" s="6" t="s">
        <v>19</v>
      </c>
      <c r="M71" s="6" t="s">
        <v>32</v>
      </c>
      <c r="N71" s="6" t="s">
        <v>33</v>
      </c>
    </row>
    <row r="72" spans="1:14" x14ac:dyDescent="0.25">
      <c r="A72" s="6" t="s">
        <v>212</v>
      </c>
      <c r="B72" s="4">
        <v>45771</v>
      </c>
      <c r="C72" s="6" t="s">
        <v>2801</v>
      </c>
      <c r="D72" s="7">
        <v>0.67986111111111114</v>
      </c>
      <c r="E72" s="6" t="s">
        <v>16</v>
      </c>
      <c r="F72" s="6" t="s">
        <v>169</v>
      </c>
      <c r="G72" s="4">
        <v>40496</v>
      </c>
      <c r="H72" s="6" t="s">
        <v>213</v>
      </c>
      <c r="I72">
        <v>105</v>
      </c>
      <c r="J72">
        <v>2</v>
      </c>
      <c r="K72">
        <v>212</v>
      </c>
      <c r="L72" s="6" t="s">
        <v>19</v>
      </c>
      <c r="M72" s="6" t="s">
        <v>55</v>
      </c>
      <c r="N72" s="6" t="s">
        <v>33</v>
      </c>
    </row>
    <row r="73" spans="1:14" x14ac:dyDescent="0.25">
      <c r="A73" s="6" t="s">
        <v>214</v>
      </c>
      <c r="B73" s="4">
        <v>45828</v>
      </c>
      <c r="C73" s="6" t="s">
        <v>2800</v>
      </c>
      <c r="D73" s="7">
        <v>0.67708333333333337</v>
      </c>
      <c r="E73" s="6" t="s">
        <v>16</v>
      </c>
      <c r="F73" s="6" t="s">
        <v>147</v>
      </c>
      <c r="G73" s="4">
        <v>27661</v>
      </c>
      <c r="H73" s="6" t="s">
        <v>164</v>
      </c>
      <c r="I73">
        <v>258</v>
      </c>
      <c r="J73">
        <v>1</v>
      </c>
      <c r="K73">
        <v>258</v>
      </c>
      <c r="L73" s="6" t="s">
        <v>19</v>
      </c>
      <c r="M73" s="6" t="s">
        <v>61</v>
      </c>
      <c r="N73" s="6" t="s">
        <v>33</v>
      </c>
    </row>
    <row r="74" spans="1:14" x14ac:dyDescent="0.25">
      <c r="A74" s="6" t="s">
        <v>215</v>
      </c>
      <c r="B74" s="4">
        <v>45973</v>
      </c>
      <c r="C74" s="6" t="s">
        <v>2802</v>
      </c>
      <c r="D74" s="7">
        <v>0.70694444444444449</v>
      </c>
      <c r="E74" s="6" t="s">
        <v>16</v>
      </c>
      <c r="F74" s="6" t="s">
        <v>173</v>
      </c>
      <c r="G74" s="4">
        <v>33733</v>
      </c>
      <c r="H74" s="6" t="s">
        <v>85</v>
      </c>
      <c r="I74">
        <v>42</v>
      </c>
      <c r="J74">
        <v>3</v>
      </c>
      <c r="K74">
        <v>127</v>
      </c>
      <c r="L74" s="6" t="s">
        <v>41</v>
      </c>
      <c r="M74" s="6" t="s">
        <v>89</v>
      </c>
      <c r="N74" s="6" t="s">
        <v>27</v>
      </c>
    </row>
    <row r="75" spans="1:14" x14ac:dyDescent="0.25">
      <c r="A75" s="6" t="s">
        <v>216</v>
      </c>
      <c r="B75" s="4">
        <v>45717</v>
      </c>
      <c r="C75" s="6" t="s">
        <v>2798</v>
      </c>
      <c r="D75" s="7">
        <v>0.8286458333333333</v>
      </c>
      <c r="E75" s="6" t="s">
        <v>16</v>
      </c>
      <c r="F75" s="6" t="s">
        <v>218</v>
      </c>
      <c r="G75" s="4">
        <v>37109</v>
      </c>
      <c r="H75" s="6" t="s">
        <v>45</v>
      </c>
      <c r="I75">
        <v>220</v>
      </c>
      <c r="J75">
        <v>1</v>
      </c>
      <c r="K75">
        <v>221</v>
      </c>
      <c r="L75" s="6" t="s">
        <v>19</v>
      </c>
      <c r="M75" s="6" t="s">
        <v>37</v>
      </c>
      <c r="N75" s="6" t="s">
        <v>105</v>
      </c>
    </row>
    <row r="76" spans="1:14" x14ac:dyDescent="0.25">
      <c r="A76" s="6" t="s">
        <v>219</v>
      </c>
      <c r="B76" s="4">
        <v>45728</v>
      </c>
      <c r="C76" s="6" t="s">
        <v>2798</v>
      </c>
      <c r="D76" s="7">
        <v>0.44374999999999998</v>
      </c>
      <c r="E76" s="6" t="s">
        <v>16</v>
      </c>
      <c r="F76" s="6" t="s">
        <v>220</v>
      </c>
      <c r="G76" s="4">
        <v>37109</v>
      </c>
      <c r="H76" s="6" t="s">
        <v>145</v>
      </c>
      <c r="I76">
        <v>176</v>
      </c>
      <c r="J76">
        <v>1</v>
      </c>
      <c r="K76">
        <v>176</v>
      </c>
      <c r="L76" s="6" t="s">
        <v>41</v>
      </c>
      <c r="M76" s="6" t="s">
        <v>47</v>
      </c>
      <c r="N76" s="6" t="s">
        <v>33</v>
      </c>
    </row>
    <row r="77" spans="1:14" x14ac:dyDescent="0.25">
      <c r="A77" s="6" t="s">
        <v>221</v>
      </c>
      <c r="B77" s="4">
        <v>45934</v>
      </c>
      <c r="C77" s="6" t="s">
        <v>2791</v>
      </c>
      <c r="D77" s="7">
        <v>0.61805555555555558</v>
      </c>
      <c r="E77" s="6" t="s">
        <v>16</v>
      </c>
      <c r="F77" s="6" t="s">
        <v>222</v>
      </c>
      <c r="G77" s="4">
        <v>30824</v>
      </c>
      <c r="H77" s="6" t="s">
        <v>164</v>
      </c>
      <c r="I77">
        <v>286</v>
      </c>
      <c r="J77">
        <v>2</v>
      </c>
      <c r="K77">
        <v>573</v>
      </c>
      <c r="L77" s="6" t="s">
        <v>19</v>
      </c>
      <c r="M77" s="6" t="s">
        <v>55</v>
      </c>
      <c r="N77" s="6" t="s">
        <v>33</v>
      </c>
    </row>
    <row r="78" spans="1:14" x14ac:dyDescent="0.25">
      <c r="A78" s="6" t="s">
        <v>223</v>
      </c>
      <c r="B78" s="4">
        <v>45725</v>
      </c>
      <c r="C78" s="6" t="s">
        <v>2798</v>
      </c>
      <c r="D78" s="7">
        <v>0.58472222222222225</v>
      </c>
      <c r="E78" s="6" t="s">
        <v>16</v>
      </c>
      <c r="F78" s="6" t="s">
        <v>225</v>
      </c>
      <c r="G78" s="4">
        <v>26386</v>
      </c>
      <c r="H78" s="6" t="s">
        <v>164</v>
      </c>
      <c r="I78">
        <v>272</v>
      </c>
      <c r="J78">
        <v>1</v>
      </c>
      <c r="K78">
        <v>273</v>
      </c>
      <c r="L78" s="6" t="s">
        <v>19</v>
      </c>
      <c r="M78" s="6" t="s">
        <v>32</v>
      </c>
      <c r="N78" s="6" t="s">
        <v>105</v>
      </c>
    </row>
    <row r="79" spans="1:14" x14ac:dyDescent="0.25">
      <c r="A79" s="6" t="s">
        <v>226</v>
      </c>
      <c r="B79" s="4">
        <v>45667</v>
      </c>
      <c r="C79" s="6" t="s">
        <v>2794</v>
      </c>
      <c r="D79" s="7">
        <v>0.65138888888888891</v>
      </c>
      <c r="E79" s="6" t="s">
        <v>16</v>
      </c>
      <c r="F79" s="6" t="s">
        <v>227</v>
      </c>
      <c r="G79" s="4">
        <v>40324</v>
      </c>
      <c r="H79" s="6" t="s">
        <v>178</v>
      </c>
      <c r="I79">
        <v>309</v>
      </c>
      <c r="J79">
        <v>1</v>
      </c>
      <c r="K79">
        <v>310</v>
      </c>
      <c r="L79" s="6" t="s">
        <v>41</v>
      </c>
      <c r="M79" s="6" t="s">
        <v>20</v>
      </c>
      <c r="N79" s="6" t="s">
        <v>56</v>
      </c>
    </row>
    <row r="80" spans="1:14" x14ac:dyDescent="0.25">
      <c r="A80" s="6" t="s">
        <v>228</v>
      </c>
      <c r="B80" s="4">
        <v>45801</v>
      </c>
      <c r="C80" s="6" t="s">
        <v>2792</v>
      </c>
      <c r="D80" s="7">
        <v>0.60304398148148153</v>
      </c>
      <c r="E80" s="6" t="s">
        <v>16</v>
      </c>
      <c r="F80" s="6" t="s">
        <v>229</v>
      </c>
      <c r="G80" s="4">
        <v>40324</v>
      </c>
      <c r="H80" s="6" t="s">
        <v>40</v>
      </c>
      <c r="I80">
        <v>200</v>
      </c>
      <c r="J80">
        <v>3</v>
      </c>
      <c r="K80">
        <v>600</v>
      </c>
      <c r="L80" s="6" t="s">
        <v>41</v>
      </c>
      <c r="M80" s="6" t="s">
        <v>20</v>
      </c>
      <c r="N80" s="6" t="s">
        <v>27</v>
      </c>
    </row>
    <row r="81" spans="1:14" x14ac:dyDescent="0.25">
      <c r="A81" s="6" t="s">
        <v>231</v>
      </c>
      <c r="B81" s="4">
        <v>45688</v>
      </c>
      <c r="C81" s="6" t="s">
        <v>2794</v>
      </c>
      <c r="D81" s="7">
        <v>0.71458333333333335</v>
      </c>
      <c r="E81" s="6" t="s">
        <v>16</v>
      </c>
      <c r="F81" s="6" t="s">
        <v>232</v>
      </c>
      <c r="G81" s="4">
        <v>27189</v>
      </c>
      <c r="H81" s="6" t="s">
        <v>104</v>
      </c>
      <c r="I81">
        <v>232</v>
      </c>
      <c r="J81">
        <v>2</v>
      </c>
      <c r="K81">
        <v>465</v>
      </c>
      <c r="L81" s="6" t="s">
        <v>19</v>
      </c>
      <c r="M81" s="6" t="s">
        <v>20</v>
      </c>
      <c r="N81" s="6" t="s">
        <v>27</v>
      </c>
    </row>
    <row r="82" spans="1:14" x14ac:dyDescent="0.25">
      <c r="A82" s="6" t="s">
        <v>234</v>
      </c>
      <c r="B82" s="4">
        <v>45770</v>
      </c>
      <c r="C82" s="6" t="s">
        <v>2801</v>
      </c>
      <c r="D82" s="7">
        <v>0.72234953703703708</v>
      </c>
      <c r="E82" s="6" t="s">
        <v>16</v>
      </c>
      <c r="F82" s="6" t="s">
        <v>173</v>
      </c>
      <c r="G82" s="4">
        <v>38818</v>
      </c>
      <c r="H82" s="6" t="s">
        <v>60</v>
      </c>
      <c r="I82">
        <v>99</v>
      </c>
      <c r="J82">
        <v>1</v>
      </c>
      <c r="K82">
        <v>99</v>
      </c>
      <c r="L82" s="6" t="s">
        <v>19</v>
      </c>
      <c r="M82" s="6" t="s">
        <v>20</v>
      </c>
      <c r="N82" s="6" t="s">
        <v>27</v>
      </c>
    </row>
    <row r="83" spans="1:14" x14ac:dyDescent="0.25">
      <c r="A83" s="6" t="s">
        <v>235</v>
      </c>
      <c r="B83" s="4">
        <v>45688</v>
      </c>
      <c r="C83" s="6" t="s">
        <v>2794</v>
      </c>
      <c r="D83" s="7">
        <v>0.61250000000000004</v>
      </c>
      <c r="E83" s="6" t="s">
        <v>16</v>
      </c>
      <c r="F83" s="6" t="s">
        <v>204</v>
      </c>
      <c r="G83" s="4">
        <v>36812</v>
      </c>
      <c r="H83" s="6" t="s">
        <v>213</v>
      </c>
      <c r="I83">
        <v>312</v>
      </c>
      <c r="J83">
        <v>1</v>
      </c>
      <c r="K83">
        <v>313</v>
      </c>
      <c r="L83" s="6" t="s">
        <v>41</v>
      </c>
      <c r="M83" s="6" t="s">
        <v>32</v>
      </c>
      <c r="N83" s="6" t="s">
        <v>74</v>
      </c>
    </row>
    <row r="84" spans="1:14" x14ac:dyDescent="0.25">
      <c r="A84" s="6" t="s">
        <v>236</v>
      </c>
      <c r="B84" s="4">
        <v>45688</v>
      </c>
      <c r="C84" s="6" t="s">
        <v>2794</v>
      </c>
      <c r="D84" s="7">
        <v>0.59305555555555556</v>
      </c>
      <c r="E84" s="6" t="s">
        <v>16</v>
      </c>
      <c r="F84" s="6" t="s">
        <v>237</v>
      </c>
      <c r="G84" s="4">
        <v>35959</v>
      </c>
      <c r="H84" s="6" t="s">
        <v>116</v>
      </c>
      <c r="I84">
        <v>220</v>
      </c>
      <c r="J84">
        <v>1</v>
      </c>
      <c r="K84">
        <v>220</v>
      </c>
      <c r="L84" s="6" t="s">
        <v>19</v>
      </c>
      <c r="M84" s="6" t="s">
        <v>61</v>
      </c>
      <c r="N84" s="6" t="s">
        <v>74</v>
      </c>
    </row>
    <row r="85" spans="1:14" x14ac:dyDescent="0.25">
      <c r="A85" s="6" t="s">
        <v>238</v>
      </c>
      <c r="B85" s="4">
        <v>45780</v>
      </c>
      <c r="C85" s="6" t="s">
        <v>2792</v>
      </c>
      <c r="D85" s="7">
        <v>0.94791666666666663</v>
      </c>
      <c r="E85" s="6" t="s">
        <v>16</v>
      </c>
      <c r="F85" s="6" t="s">
        <v>147</v>
      </c>
      <c r="G85" s="4">
        <v>31296</v>
      </c>
      <c r="H85" s="6" t="s">
        <v>202</v>
      </c>
      <c r="I85">
        <v>258</v>
      </c>
      <c r="J85">
        <v>1</v>
      </c>
      <c r="K85">
        <v>258</v>
      </c>
      <c r="L85" s="6" t="s">
        <v>19</v>
      </c>
      <c r="M85" s="6" t="s">
        <v>26</v>
      </c>
      <c r="N85" s="6" t="s">
        <v>74</v>
      </c>
    </row>
    <row r="86" spans="1:14" x14ac:dyDescent="0.25">
      <c r="A86" s="6" t="s">
        <v>239</v>
      </c>
      <c r="B86" s="4">
        <v>45712</v>
      </c>
      <c r="C86" s="6" t="s">
        <v>2799</v>
      </c>
      <c r="D86" s="7">
        <v>0.71319444444444446</v>
      </c>
      <c r="E86" s="6" t="s">
        <v>16</v>
      </c>
      <c r="F86" s="6" t="s">
        <v>240</v>
      </c>
      <c r="G86" s="4">
        <v>34620</v>
      </c>
      <c r="H86" s="6" t="s">
        <v>77</v>
      </c>
      <c r="I86">
        <v>113</v>
      </c>
      <c r="J86">
        <v>2</v>
      </c>
      <c r="K86">
        <v>226</v>
      </c>
      <c r="L86" s="6" t="s">
        <v>41</v>
      </c>
      <c r="M86" s="6" t="s">
        <v>37</v>
      </c>
      <c r="N86" s="6" t="s">
        <v>74</v>
      </c>
    </row>
    <row r="87" spans="1:14" x14ac:dyDescent="0.25">
      <c r="A87" s="6" t="s">
        <v>241</v>
      </c>
      <c r="B87" s="4">
        <v>45942</v>
      </c>
      <c r="C87" s="6" t="s">
        <v>2791</v>
      </c>
      <c r="D87" s="7">
        <v>0.75730324074074074</v>
      </c>
      <c r="E87" s="6" t="s">
        <v>16</v>
      </c>
      <c r="F87" s="6" t="s">
        <v>35</v>
      </c>
      <c r="G87" s="4">
        <v>26816</v>
      </c>
      <c r="H87" s="6" t="s">
        <v>73</v>
      </c>
      <c r="I87">
        <v>49</v>
      </c>
      <c r="J87">
        <v>2</v>
      </c>
      <c r="K87">
        <v>77</v>
      </c>
      <c r="L87" s="6" t="s">
        <v>41</v>
      </c>
      <c r="M87" s="6" t="s">
        <v>61</v>
      </c>
      <c r="N87" s="6" t="s">
        <v>74</v>
      </c>
    </row>
    <row r="88" spans="1:14" x14ac:dyDescent="0.25">
      <c r="A88" s="6" t="s">
        <v>242</v>
      </c>
      <c r="B88" s="4">
        <v>45898</v>
      </c>
      <c r="C88" s="6" t="s">
        <v>2793</v>
      </c>
      <c r="D88" s="7">
        <v>0.61775462962962968</v>
      </c>
      <c r="E88" s="6" t="s">
        <v>16</v>
      </c>
      <c r="F88" s="6" t="s">
        <v>140</v>
      </c>
      <c r="G88" s="4">
        <v>30501</v>
      </c>
      <c r="H88" s="6" t="s">
        <v>243</v>
      </c>
      <c r="I88">
        <v>123</v>
      </c>
      <c r="J88">
        <v>3</v>
      </c>
      <c r="K88">
        <v>371</v>
      </c>
      <c r="L88" s="6" t="s">
        <v>41</v>
      </c>
      <c r="M88" s="6" t="s">
        <v>37</v>
      </c>
      <c r="N88" s="6" t="s">
        <v>27</v>
      </c>
    </row>
    <row r="89" spans="1:14" x14ac:dyDescent="0.25">
      <c r="A89" s="6" t="s">
        <v>244</v>
      </c>
      <c r="B89" s="4">
        <v>45722</v>
      </c>
      <c r="C89" s="6" t="s">
        <v>2798</v>
      </c>
      <c r="D89" s="7">
        <v>0.80733796296296301</v>
      </c>
      <c r="E89" s="6" t="s">
        <v>16</v>
      </c>
      <c r="F89" s="6" t="s">
        <v>138</v>
      </c>
      <c r="G89" s="4">
        <v>32282</v>
      </c>
      <c r="H89" s="6" t="s">
        <v>93</v>
      </c>
      <c r="I89">
        <v>234</v>
      </c>
      <c r="J89">
        <v>1</v>
      </c>
      <c r="K89">
        <v>235</v>
      </c>
      <c r="L89" s="6" t="s">
        <v>67</v>
      </c>
      <c r="M89" s="6" t="s">
        <v>20</v>
      </c>
      <c r="N89" s="6" t="s">
        <v>27</v>
      </c>
    </row>
    <row r="90" spans="1:14" x14ac:dyDescent="0.25">
      <c r="A90" s="6" t="s">
        <v>245</v>
      </c>
      <c r="B90" s="4">
        <v>45689</v>
      </c>
      <c r="C90" s="6" t="s">
        <v>2799</v>
      </c>
      <c r="D90" s="7">
        <v>0.85166666666666668</v>
      </c>
      <c r="E90" s="6" t="s">
        <v>16</v>
      </c>
      <c r="F90" s="6" t="s">
        <v>246</v>
      </c>
      <c r="G90" s="4">
        <v>32282</v>
      </c>
      <c r="H90" s="6" t="s">
        <v>85</v>
      </c>
      <c r="I90">
        <v>50</v>
      </c>
      <c r="J90">
        <v>1</v>
      </c>
      <c r="K90">
        <v>51</v>
      </c>
      <c r="L90" s="6" t="s">
        <v>67</v>
      </c>
      <c r="M90" s="6" t="s">
        <v>89</v>
      </c>
      <c r="N90" s="6" t="s">
        <v>56</v>
      </c>
    </row>
    <row r="91" spans="1:14" x14ac:dyDescent="0.25">
      <c r="A91" s="6" t="s">
        <v>247</v>
      </c>
      <c r="B91" s="4">
        <v>45762</v>
      </c>
      <c r="C91" s="6" t="s">
        <v>2801</v>
      </c>
      <c r="D91" s="7">
        <v>0.82952546296296292</v>
      </c>
      <c r="E91" s="6" t="s">
        <v>16</v>
      </c>
      <c r="F91" s="6" t="s">
        <v>248</v>
      </c>
      <c r="G91" s="4">
        <v>36164</v>
      </c>
      <c r="H91" s="6" t="s">
        <v>30</v>
      </c>
      <c r="I91">
        <v>321</v>
      </c>
      <c r="J91">
        <v>2</v>
      </c>
      <c r="K91">
        <v>643</v>
      </c>
      <c r="L91" s="6" t="s">
        <v>41</v>
      </c>
      <c r="M91" s="6" t="s">
        <v>55</v>
      </c>
      <c r="N91" s="6" t="s">
        <v>74</v>
      </c>
    </row>
    <row r="92" spans="1:14" x14ac:dyDescent="0.25">
      <c r="A92" s="6" t="s">
        <v>249</v>
      </c>
      <c r="B92" s="4">
        <v>45937</v>
      </c>
      <c r="C92" s="6" t="s">
        <v>2791</v>
      </c>
      <c r="D92" s="7">
        <v>0.69513888888888886</v>
      </c>
      <c r="E92" s="6" t="s">
        <v>16</v>
      </c>
      <c r="F92" s="6" t="s">
        <v>211</v>
      </c>
      <c r="G92" s="4">
        <v>36164</v>
      </c>
      <c r="H92" s="6" t="s">
        <v>126</v>
      </c>
      <c r="I92">
        <v>327</v>
      </c>
      <c r="J92">
        <v>1</v>
      </c>
      <c r="K92">
        <v>327</v>
      </c>
      <c r="L92" s="6" t="s">
        <v>2787</v>
      </c>
      <c r="M92" s="6" t="s">
        <v>37</v>
      </c>
      <c r="N92" s="6" t="s">
        <v>74</v>
      </c>
    </row>
    <row r="93" spans="1:14" x14ac:dyDescent="0.25">
      <c r="A93" s="6" t="s">
        <v>250</v>
      </c>
      <c r="B93" s="4">
        <v>45685</v>
      </c>
      <c r="C93" s="6" t="s">
        <v>2794</v>
      </c>
      <c r="D93" s="7">
        <v>0.48125000000000001</v>
      </c>
      <c r="E93" s="6" t="s">
        <v>16</v>
      </c>
      <c r="F93" s="6" t="s">
        <v>161</v>
      </c>
      <c r="G93" s="4">
        <v>40517</v>
      </c>
      <c r="H93" s="6" t="s">
        <v>93</v>
      </c>
      <c r="I93">
        <v>216</v>
      </c>
      <c r="J93">
        <v>1</v>
      </c>
      <c r="K93">
        <v>217</v>
      </c>
      <c r="L93" s="6" t="s">
        <v>2787</v>
      </c>
      <c r="M93" s="6" t="s">
        <v>55</v>
      </c>
      <c r="N93" s="6" t="s">
        <v>48</v>
      </c>
    </row>
    <row r="94" spans="1:14" x14ac:dyDescent="0.25">
      <c r="A94" s="6" t="s">
        <v>251</v>
      </c>
      <c r="B94" s="4">
        <v>45722</v>
      </c>
      <c r="C94" s="6" t="s">
        <v>2798</v>
      </c>
      <c r="D94" s="7">
        <v>0.89236111111111116</v>
      </c>
      <c r="E94" s="6" t="s">
        <v>16</v>
      </c>
      <c r="F94" s="6" t="s">
        <v>252</v>
      </c>
      <c r="G94" s="4">
        <v>33584</v>
      </c>
      <c r="H94" s="6" t="s">
        <v>40</v>
      </c>
      <c r="I94">
        <v>232</v>
      </c>
      <c r="J94">
        <v>1</v>
      </c>
      <c r="L94" s="6" t="s">
        <v>67</v>
      </c>
      <c r="M94" s="6" t="s">
        <v>55</v>
      </c>
      <c r="N94" s="6" t="s">
        <v>105</v>
      </c>
    </row>
    <row r="95" spans="1:14" x14ac:dyDescent="0.25">
      <c r="A95" s="6" t="s">
        <v>254</v>
      </c>
      <c r="B95" s="4">
        <v>45820</v>
      </c>
      <c r="C95" s="6" t="s">
        <v>2800</v>
      </c>
      <c r="D95" s="7">
        <v>0.69722222222222219</v>
      </c>
      <c r="E95" s="6" t="s">
        <v>16</v>
      </c>
      <c r="F95" s="6" t="s">
        <v>256</v>
      </c>
      <c r="G95" s="4">
        <v>27517</v>
      </c>
      <c r="H95" s="6" t="s">
        <v>60</v>
      </c>
      <c r="I95">
        <v>205</v>
      </c>
      <c r="J95">
        <v>1</v>
      </c>
      <c r="K95">
        <v>205</v>
      </c>
      <c r="L95" s="6" t="s">
        <v>67</v>
      </c>
      <c r="M95" s="6" t="s">
        <v>55</v>
      </c>
      <c r="N95" s="6" t="s">
        <v>48</v>
      </c>
    </row>
    <row r="96" spans="1:14" x14ac:dyDescent="0.25">
      <c r="A96" s="6" t="s">
        <v>257</v>
      </c>
      <c r="B96" s="4">
        <v>45958</v>
      </c>
      <c r="C96" s="6" t="s">
        <v>2791</v>
      </c>
      <c r="D96" s="7">
        <v>0.45833333333333331</v>
      </c>
      <c r="E96" s="6" t="s">
        <v>16</v>
      </c>
      <c r="F96" s="6" t="s">
        <v>258</v>
      </c>
      <c r="G96" s="4">
        <v>37890</v>
      </c>
      <c r="H96" s="6" t="s">
        <v>259</v>
      </c>
      <c r="I96">
        <v>115</v>
      </c>
      <c r="J96">
        <v>1</v>
      </c>
      <c r="K96">
        <v>115</v>
      </c>
      <c r="L96" s="6" t="s">
        <v>54</v>
      </c>
      <c r="M96" s="6" t="s">
        <v>61</v>
      </c>
      <c r="N96" s="6" t="s">
        <v>27</v>
      </c>
    </row>
    <row r="97" spans="1:14" x14ac:dyDescent="0.25">
      <c r="A97" s="6" t="s">
        <v>260</v>
      </c>
      <c r="B97" s="4">
        <v>45805</v>
      </c>
      <c r="C97" s="6" t="s">
        <v>2792</v>
      </c>
      <c r="D97" s="7">
        <v>0.82152777777777775</v>
      </c>
      <c r="E97" s="6" t="s">
        <v>16</v>
      </c>
      <c r="F97" s="6" t="s">
        <v>261</v>
      </c>
      <c r="G97" s="4">
        <v>25660</v>
      </c>
      <c r="H97" s="6" t="s">
        <v>45</v>
      </c>
      <c r="I97">
        <v>122</v>
      </c>
      <c r="J97">
        <v>1</v>
      </c>
      <c r="K97">
        <v>122</v>
      </c>
      <c r="L97" s="6" t="s">
        <v>54</v>
      </c>
      <c r="M97" s="6" t="s">
        <v>37</v>
      </c>
      <c r="N97" s="6" t="s">
        <v>33</v>
      </c>
    </row>
    <row r="98" spans="1:14" x14ac:dyDescent="0.25">
      <c r="A98" s="6" t="s">
        <v>262</v>
      </c>
      <c r="B98" s="4">
        <v>45881</v>
      </c>
      <c r="C98" s="6" t="s">
        <v>2793</v>
      </c>
      <c r="D98" s="7">
        <v>0.49755787037037036</v>
      </c>
      <c r="E98" s="6" t="s">
        <v>16</v>
      </c>
      <c r="F98" s="6" t="s">
        <v>264</v>
      </c>
      <c r="G98" s="4">
        <v>34069</v>
      </c>
      <c r="H98" s="6" t="s">
        <v>85</v>
      </c>
      <c r="I98">
        <v>89</v>
      </c>
      <c r="J98">
        <v>2</v>
      </c>
      <c r="K98">
        <v>180</v>
      </c>
      <c r="L98" s="6" t="s">
        <v>54</v>
      </c>
      <c r="M98" s="6" t="s">
        <v>32</v>
      </c>
      <c r="N98" s="6" t="s">
        <v>105</v>
      </c>
    </row>
    <row r="99" spans="1:14" x14ac:dyDescent="0.25">
      <c r="A99" s="6" t="s">
        <v>266</v>
      </c>
      <c r="B99" s="4">
        <v>45953</v>
      </c>
      <c r="C99" s="6" t="s">
        <v>2791</v>
      </c>
      <c r="D99" s="7">
        <v>0.46736111111111112</v>
      </c>
      <c r="E99" s="6" t="s">
        <v>16</v>
      </c>
      <c r="F99" s="6" t="s">
        <v>267</v>
      </c>
      <c r="G99" s="4">
        <v>29198</v>
      </c>
      <c r="H99" s="6" t="s">
        <v>243</v>
      </c>
      <c r="I99">
        <v>166</v>
      </c>
      <c r="J99">
        <v>2</v>
      </c>
      <c r="K99">
        <v>333</v>
      </c>
      <c r="L99" s="6" t="s">
        <v>2787</v>
      </c>
      <c r="M99" s="6" t="s">
        <v>89</v>
      </c>
      <c r="N99" s="6" t="s">
        <v>56</v>
      </c>
    </row>
    <row r="100" spans="1:14" x14ac:dyDescent="0.25">
      <c r="A100" s="6" t="s">
        <v>268</v>
      </c>
      <c r="B100" s="4">
        <v>45818</v>
      </c>
      <c r="C100" s="6" t="s">
        <v>2800</v>
      </c>
      <c r="D100" s="7">
        <v>0.64444444444444449</v>
      </c>
      <c r="E100" s="6" t="s">
        <v>16</v>
      </c>
      <c r="F100" s="6" t="s">
        <v>52</v>
      </c>
      <c r="G100" s="4">
        <v>27823</v>
      </c>
      <c r="H100" s="6" t="s">
        <v>243</v>
      </c>
      <c r="I100">
        <v>126</v>
      </c>
      <c r="J100">
        <v>1</v>
      </c>
      <c r="K100">
        <v>126</v>
      </c>
      <c r="L100" s="6" t="s">
        <v>41</v>
      </c>
      <c r="M100" s="6" t="s">
        <v>26</v>
      </c>
      <c r="N100" s="6" t="s">
        <v>33</v>
      </c>
    </row>
    <row r="101" spans="1:14" x14ac:dyDescent="0.25">
      <c r="A101" s="6" t="s">
        <v>269</v>
      </c>
      <c r="B101" s="4">
        <v>45799</v>
      </c>
      <c r="C101" s="6" t="s">
        <v>2792</v>
      </c>
      <c r="D101" s="7">
        <v>0.84652777777777777</v>
      </c>
      <c r="E101" s="6" t="s">
        <v>16</v>
      </c>
      <c r="F101" s="6" t="s">
        <v>201</v>
      </c>
      <c r="G101" s="4">
        <v>27823</v>
      </c>
      <c r="H101" s="6" t="s">
        <v>85</v>
      </c>
      <c r="I101">
        <v>231</v>
      </c>
      <c r="J101">
        <v>1</v>
      </c>
      <c r="K101">
        <v>190</v>
      </c>
      <c r="L101" s="6" t="s">
        <v>41</v>
      </c>
      <c r="M101" s="6" t="s">
        <v>37</v>
      </c>
      <c r="N101" s="6" t="s">
        <v>21</v>
      </c>
    </row>
    <row r="102" spans="1:14" x14ac:dyDescent="0.25">
      <c r="A102" s="6" t="s">
        <v>270</v>
      </c>
      <c r="B102" s="4">
        <v>45786</v>
      </c>
      <c r="C102" s="6" t="s">
        <v>2792</v>
      </c>
      <c r="D102" s="7">
        <v>0.4236111111111111</v>
      </c>
      <c r="E102" s="6" t="s">
        <v>16</v>
      </c>
      <c r="F102" s="6" t="s">
        <v>204</v>
      </c>
      <c r="G102" s="4">
        <v>35501</v>
      </c>
      <c r="H102" s="6" t="s">
        <v>77</v>
      </c>
      <c r="I102">
        <v>145</v>
      </c>
      <c r="J102">
        <v>2</v>
      </c>
      <c r="K102">
        <v>290</v>
      </c>
      <c r="L102" s="6" t="s">
        <v>67</v>
      </c>
      <c r="M102" s="6" t="s">
        <v>55</v>
      </c>
      <c r="N102" s="6" t="s">
        <v>74</v>
      </c>
    </row>
    <row r="103" spans="1:14" x14ac:dyDescent="0.25">
      <c r="A103" s="6" t="s">
        <v>272</v>
      </c>
      <c r="B103" s="4">
        <v>45982</v>
      </c>
      <c r="C103" s="6" t="s">
        <v>2802</v>
      </c>
      <c r="D103" s="7">
        <v>0.66527777777777775</v>
      </c>
      <c r="E103" s="6" t="s">
        <v>16</v>
      </c>
      <c r="F103" s="6" t="s">
        <v>274</v>
      </c>
      <c r="G103" s="4">
        <v>39539</v>
      </c>
      <c r="H103" s="6" t="s">
        <v>85</v>
      </c>
      <c r="I103">
        <v>167</v>
      </c>
      <c r="J103">
        <v>1</v>
      </c>
      <c r="K103">
        <v>168</v>
      </c>
      <c r="L103" s="6" t="s">
        <v>41</v>
      </c>
      <c r="M103" s="6" t="s">
        <v>32</v>
      </c>
      <c r="N103" s="6" t="s">
        <v>27</v>
      </c>
    </row>
    <row r="104" spans="1:14" x14ac:dyDescent="0.25">
      <c r="A104" s="6" t="s">
        <v>275</v>
      </c>
      <c r="B104" s="4">
        <v>45707</v>
      </c>
      <c r="C104" s="6" t="s">
        <v>2799</v>
      </c>
      <c r="D104" s="7">
        <v>0.94981481481481478</v>
      </c>
      <c r="E104" s="6" t="s">
        <v>16</v>
      </c>
      <c r="F104" s="6" t="s">
        <v>154</v>
      </c>
      <c r="G104" s="4">
        <v>38995</v>
      </c>
      <c r="H104" s="6" t="s">
        <v>45</v>
      </c>
      <c r="I104">
        <v>167</v>
      </c>
      <c r="J104">
        <v>1</v>
      </c>
      <c r="L104" s="6" t="s">
        <v>67</v>
      </c>
      <c r="M104" s="6" t="s">
        <v>37</v>
      </c>
      <c r="N104" s="6" t="s">
        <v>56</v>
      </c>
    </row>
    <row r="105" spans="1:14" x14ac:dyDescent="0.25">
      <c r="A105" s="6" t="s">
        <v>278</v>
      </c>
      <c r="B105" s="4">
        <v>45707</v>
      </c>
      <c r="C105" s="6" t="s">
        <v>2799</v>
      </c>
      <c r="D105" s="7">
        <v>0.41736111111111113</v>
      </c>
      <c r="E105" s="6" t="s">
        <v>16</v>
      </c>
      <c r="F105" s="6" t="s">
        <v>279</v>
      </c>
      <c r="G105" s="4">
        <v>34012</v>
      </c>
      <c r="H105" s="6" t="s">
        <v>93</v>
      </c>
      <c r="I105">
        <v>235</v>
      </c>
      <c r="J105">
        <v>3</v>
      </c>
      <c r="K105">
        <v>708</v>
      </c>
      <c r="L105" s="6" t="s">
        <v>19</v>
      </c>
      <c r="M105" s="6" t="s">
        <v>47</v>
      </c>
      <c r="N105" s="6" t="s">
        <v>27</v>
      </c>
    </row>
    <row r="106" spans="1:14" x14ac:dyDescent="0.25">
      <c r="A106" s="6" t="s">
        <v>280</v>
      </c>
      <c r="B106" s="4">
        <v>45810</v>
      </c>
      <c r="C106" s="6" t="s">
        <v>2800</v>
      </c>
      <c r="D106" s="7">
        <v>0.50763888888888886</v>
      </c>
      <c r="E106" s="6" t="s">
        <v>16</v>
      </c>
      <c r="F106" s="6" t="s">
        <v>281</v>
      </c>
      <c r="G106" s="4">
        <v>38723</v>
      </c>
      <c r="H106" s="6" t="s">
        <v>116</v>
      </c>
      <c r="I106">
        <v>277</v>
      </c>
      <c r="J106">
        <v>2</v>
      </c>
      <c r="K106">
        <v>554</v>
      </c>
      <c r="L106" s="6" t="s">
        <v>67</v>
      </c>
      <c r="M106" s="6" t="s">
        <v>26</v>
      </c>
      <c r="N106" s="6" t="s">
        <v>56</v>
      </c>
    </row>
    <row r="107" spans="1:14" x14ac:dyDescent="0.25">
      <c r="A107" s="6" t="s">
        <v>282</v>
      </c>
      <c r="B107" s="4">
        <v>45748</v>
      </c>
      <c r="C107" s="6" t="s">
        <v>2801</v>
      </c>
      <c r="D107" s="7">
        <v>0.43333333333333335</v>
      </c>
      <c r="E107" s="6" t="s">
        <v>16</v>
      </c>
      <c r="F107" s="6" t="s">
        <v>194</v>
      </c>
      <c r="G107" s="4">
        <v>34503</v>
      </c>
      <c r="H107" s="6" t="s">
        <v>178</v>
      </c>
      <c r="I107">
        <v>277</v>
      </c>
      <c r="J107">
        <v>2</v>
      </c>
      <c r="K107">
        <v>554</v>
      </c>
      <c r="L107" s="6" t="s">
        <v>41</v>
      </c>
      <c r="M107" s="6" t="s">
        <v>20</v>
      </c>
      <c r="N107" s="6" t="s">
        <v>27</v>
      </c>
    </row>
    <row r="108" spans="1:14" x14ac:dyDescent="0.25">
      <c r="A108" s="6" t="s">
        <v>283</v>
      </c>
      <c r="B108" s="4">
        <v>45655</v>
      </c>
      <c r="C108" s="6" t="s">
        <v>2796</v>
      </c>
      <c r="D108" s="7">
        <v>0.65184027777777775</v>
      </c>
      <c r="E108" s="6" t="s">
        <v>16</v>
      </c>
      <c r="F108" s="6" t="s">
        <v>258</v>
      </c>
      <c r="G108" s="4">
        <v>39635</v>
      </c>
      <c r="H108" s="6" t="s">
        <v>36</v>
      </c>
      <c r="I108">
        <v>178</v>
      </c>
      <c r="J108">
        <v>1</v>
      </c>
      <c r="K108">
        <v>178</v>
      </c>
      <c r="L108" s="6" t="s">
        <v>41</v>
      </c>
      <c r="M108" s="6" t="s">
        <v>47</v>
      </c>
      <c r="N108" s="6" t="s">
        <v>21</v>
      </c>
    </row>
    <row r="109" spans="1:14" x14ac:dyDescent="0.25">
      <c r="A109" s="6" t="s">
        <v>284</v>
      </c>
      <c r="B109" s="4">
        <v>45630</v>
      </c>
      <c r="C109" s="6" t="s">
        <v>2796</v>
      </c>
      <c r="D109" s="7">
        <v>0.47916666666666669</v>
      </c>
      <c r="E109" s="6" t="s">
        <v>16</v>
      </c>
      <c r="F109" s="6" t="s">
        <v>125</v>
      </c>
      <c r="G109" s="4">
        <v>31464</v>
      </c>
      <c r="H109" s="6" t="s">
        <v>24</v>
      </c>
      <c r="I109">
        <v>216</v>
      </c>
      <c r="J109">
        <v>1</v>
      </c>
      <c r="K109">
        <v>217</v>
      </c>
      <c r="L109" s="6" t="s">
        <v>41</v>
      </c>
      <c r="M109" s="6" t="s">
        <v>47</v>
      </c>
      <c r="N109" s="6" t="s">
        <v>21</v>
      </c>
    </row>
    <row r="110" spans="1:14" x14ac:dyDescent="0.25">
      <c r="A110" s="6" t="s">
        <v>285</v>
      </c>
      <c r="B110" s="4">
        <v>45648</v>
      </c>
      <c r="C110" s="6" t="s">
        <v>2796</v>
      </c>
      <c r="D110" s="7">
        <v>0.78049768518518514</v>
      </c>
      <c r="E110" s="6" t="s">
        <v>16</v>
      </c>
      <c r="F110" s="6" t="s">
        <v>198</v>
      </c>
      <c r="G110" s="4">
        <v>26561</v>
      </c>
      <c r="H110" s="6" t="s">
        <v>85</v>
      </c>
      <c r="I110">
        <v>78</v>
      </c>
      <c r="J110">
        <v>2</v>
      </c>
      <c r="K110">
        <v>158</v>
      </c>
      <c r="L110" s="6" t="s">
        <v>41</v>
      </c>
      <c r="M110" s="6" t="s">
        <v>89</v>
      </c>
      <c r="N110" s="6" t="s">
        <v>56</v>
      </c>
    </row>
    <row r="111" spans="1:14" x14ac:dyDescent="0.25">
      <c r="A111" s="6" t="s">
        <v>287</v>
      </c>
      <c r="B111" s="4">
        <v>45651</v>
      </c>
      <c r="C111" s="6" t="s">
        <v>2796</v>
      </c>
      <c r="D111" s="7">
        <v>0.76451388888888894</v>
      </c>
      <c r="E111" s="6" t="s">
        <v>16</v>
      </c>
      <c r="F111" s="6" t="s">
        <v>289</v>
      </c>
      <c r="G111" s="4">
        <v>40103</v>
      </c>
      <c r="H111" s="6" t="s">
        <v>104</v>
      </c>
      <c r="I111">
        <v>283</v>
      </c>
      <c r="J111">
        <v>2</v>
      </c>
      <c r="K111">
        <v>567</v>
      </c>
      <c r="L111" s="6" t="s">
        <v>41</v>
      </c>
      <c r="M111" s="6" t="s">
        <v>89</v>
      </c>
      <c r="N111" s="6" t="s">
        <v>74</v>
      </c>
    </row>
    <row r="112" spans="1:14" x14ac:dyDescent="0.25">
      <c r="A112" s="6" t="s">
        <v>290</v>
      </c>
      <c r="B112" s="4">
        <v>45690</v>
      </c>
      <c r="C112" s="6" t="s">
        <v>2799</v>
      </c>
      <c r="D112" s="7">
        <v>0.43467592592592591</v>
      </c>
      <c r="E112" s="6" t="s">
        <v>16</v>
      </c>
      <c r="F112" s="6" t="s">
        <v>292</v>
      </c>
      <c r="G112" s="4">
        <v>31929</v>
      </c>
      <c r="H112" s="6" t="s">
        <v>18</v>
      </c>
      <c r="I112">
        <v>77</v>
      </c>
      <c r="J112">
        <v>1</v>
      </c>
      <c r="K112">
        <v>77</v>
      </c>
      <c r="L112" s="6" t="s">
        <v>41</v>
      </c>
      <c r="M112" s="6" t="s">
        <v>61</v>
      </c>
      <c r="N112" s="6" t="s">
        <v>74</v>
      </c>
    </row>
    <row r="113" spans="1:14" x14ac:dyDescent="0.25">
      <c r="A113" s="6" t="s">
        <v>293</v>
      </c>
      <c r="B113" s="4">
        <v>45808</v>
      </c>
      <c r="C113" s="6" t="s">
        <v>2792</v>
      </c>
      <c r="D113" s="7">
        <v>0.47152777777777777</v>
      </c>
      <c r="E113" s="6" t="s">
        <v>16</v>
      </c>
      <c r="F113" s="6" t="s">
        <v>194</v>
      </c>
      <c r="G113" s="4">
        <v>38723</v>
      </c>
      <c r="H113" s="6" t="s">
        <v>24</v>
      </c>
      <c r="I113">
        <v>285</v>
      </c>
      <c r="J113">
        <v>1</v>
      </c>
      <c r="K113">
        <v>285</v>
      </c>
      <c r="L113" s="6" t="s">
        <v>41</v>
      </c>
      <c r="M113" s="6" t="s">
        <v>37</v>
      </c>
      <c r="N113" s="6" t="s">
        <v>74</v>
      </c>
    </row>
    <row r="114" spans="1:14" x14ac:dyDescent="0.25">
      <c r="A114" s="6" t="s">
        <v>294</v>
      </c>
      <c r="B114" s="4">
        <v>45917</v>
      </c>
      <c r="C114" s="6" t="s">
        <v>2797</v>
      </c>
      <c r="D114" s="7">
        <v>0.53746527777777775</v>
      </c>
      <c r="E114" s="6" t="s">
        <v>16</v>
      </c>
      <c r="F114" s="6" t="s">
        <v>295</v>
      </c>
      <c r="G114" s="4">
        <v>29519</v>
      </c>
      <c r="H114" s="6" t="s">
        <v>202</v>
      </c>
      <c r="I114">
        <v>266</v>
      </c>
      <c r="J114">
        <v>1</v>
      </c>
      <c r="K114">
        <v>266</v>
      </c>
      <c r="L114" s="6" t="s">
        <v>2787</v>
      </c>
      <c r="M114" s="6" t="s">
        <v>89</v>
      </c>
      <c r="N114" s="6" t="s">
        <v>74</v>
      </c>
    </row>
    <row r="115" spans="1:14" x14ac:dyDescent="0.25">
      <c r="A115" s="6" t="s">
        <v>296</v>
      </c>
      <c r="B115" s="4">
        <v>45809</v>
      </c>
      <c r="C115" s="6" t="s">
        <v>2800</v>
      </c>
      <c r="D115" s="7">
        <v>0.59269675925925924</v>
      </c>
      <c r="E115" s="6" t="s">
        <v>16</v>
      </c>
      <c r="F115" s="6" t="s">
        <v>256</v>
      </c>
      <c r="G115" s="4">
        <v>27776</v>
      </c>
      <c r="H115" s="6" t="s">
        <v>141</v>
      </c>
      <c r="I115">
        <v>149</v>
      </c>
      <c r="J115">
        <v>2</v>
      </c>
      <c r="K115">
        <v>298</v>
      </c>
      <c r="L115" s="6" t="s">
        <v>67</v>
      </c>
      <c r="M115" s="6" t="s">
        <v>55</v>
      </c>
      <c r="N115" s="6" t="s">
        <v>74</v>
      </c>
    </row>
    <row r="116" spans="1:14" x14ac:dyDescent="0.25">
      <c r="A116" s="6" t="s">
        <v>298</v>
      </c>
      <c r="B116" s="4">
        <v>45955</v>
      </c>
      <c r="C116" s="6" t="s">
        <v>2791</v>
      </c>
      <c r="D116" s="7">
        <v>0.87616898148148148</v>
      </c>
      <c r="E116" s="6" t="s">
        <v>16</v>
      </c>
      <c r="F116" s="6" t="s">
        <v>299</v>
      </c>
      <c r="G116" s="4">
        <v>26595</v>
      </c>
      <c r="H116" s="6" t="s">
        <v>36</v>
      </c>
      <c r="I116">
        <v>288</v>
      </c>
      <c r="J116">
        <v>2</v>
      </c>
      <c r="K116">
        <v>577</v>
      </c>
      <c r="L116" s="6" t="s">
        <v>41</v>
      </c>
      <c r="M116" s="6" t="s">
        <v>32</v>
      </c>
      <c r="N116" s="6" t="s">
        <v>21</v>
      </c>
    </row>
    <row r="117" spans="1:14" x14ac:dyDescent="0.25">
      <c r="A117" s="6" t="s">
        <v>300</v>
      </c>
      <c r="B117" s="4">
        <v>45730</v>
      </c>
      <c r="C117" s="6" t="s">
        <v>2798</v>
      </c>
      <c r="D117" s="7">
        <v>0.70203703703703701</v>
      </c>
      <c r="E117" s="6" t="s">
        <v>16</v>
      </c>
      <c r="F117" s="6" t="s">
        <v>173</v>
      </c>
      <c r="G117" s="4">
        <v>28339</v>
      </c>
      <c r="H117" s="6" t="s">
        <v>145</v>
      </c>
      <c r="I117">
        <v>280</v>
      </c>
      <c r="J117">
        <v>2</v>
      </c>
      <c r="K117">
        <v>560</v>
      </c>
      <c r="L117" s="6" t="s">
        <v>41</v>
      </c>
      <c r="M117" s="6" t="s">
        <v>37</v>
      </c>
      <c r="N117" s="6" t="s">
        <v>56</v>
      </c>
    </row>
    <row r="118" spans="1:14" x14ac:dyDescent="0.25">
      <c r="A118" s="6" t="s">
        <v>301</v>
      </c>
      <c r="B118" s="4">
        <v>45709</v>
      </c>
      <c r="C118" s="6" t="s">
        <v>2799</v>
      </c>
      <c r="D118" s="7">
        <v>0.65290509259259255</v>
      </c>
      <c r="E118" s="6" t="s">
        <v>16</v>
      </c>
      <c r="F118" s="6" t="s">
        <v>248</v>
      </c>
      <c r="G118" s="4">
        <v>29519</v>
      </c>
      <c r="H118" s="6" t="s">
        <v>202</v>
      </c>
      <c r="I118">
        <v>253</v>
      </c>
      <c r="J118">
        <v>2</v>
      </c>
      <c r="K118">
        <v>507</v>
      </c>
      <c r="L118" s="6" t="s">
        <v>54</v>
      </c>
      <c r="M118" s="6" t="s">
        <v>55</v>
      </c>
      <c r="N118" s="6" t="s">
        <v>33</v>
      </c>
    </row>
    <row r="119" spans="1:14" x14ac:dyDescent="0.25">
      <c r="A119" s="6" t="s">
        <v>303</v>
      </c>
      <c r="B119" s="4">
        <v>45732</v>
      </c>
      <c r="C119" s="6" t="s">
        <v>2798</v>
      </c>
      <c r="D119" s="7">
        <v>0.58895833333333336</v>
      </c>
      <c r="E119" s="6" t="s">
        <v>16</v>
      </c>
      <c r="F119" s="6" t="s">
        <v>169</v>
      </c>
      <c r="G119" s="4">
        <v>26429</v>
      </c>
      <c r="H119" s="6" t="s">
        <v>129</v>
      </c>
      <c r="I119">
        <v>223</v>
      </c>
      <c r="J119">
        <v>1</v>
      </c>
      <c r="K119">
        <v>224</v>
      </c>
      <c r="L119" s="6" t="s">
        <v>54</v>
      </c>
      <c r="M119" s="6" t="s">
        <v>37</v>
      </c>
      <c r="N119" s="6" t="s">
        <v>21</v>
      </c>
    </row>
    <row r="120" spans="1:14" x14ac:dyDescent="0.25">
      <c r="A120" s="6" t="s">
        <v>304</v>
      </c>
      <c r="B120" s="4">
        <v>45804</v>
      </c>
      <c r="C120" s="6" t="s">
        <v>2792</v>
      </c>
      <c r="D120" s="7">
        <v>0.70601851851851849</v>
      </c>
      <c r="E120" s="6" t="s">
        <v>16</v>
      </c>
      <c r="F120" s="6" t="s">
        <v>305</v>
      </c>
      <c r="G120" s="4">
        <v>26429</v>
      </c>
      <c r="H120" s="6" t="s">
        <v>126</v>
      </c>
      <c r="I120">
        <v>232</v>
      </c>
      <c r="J120">
        <v>2</v>
      </c>
      <c r="K120">
        <v>466</v>
      </c>
      <c r="L120" s="6" t="s">
        <v>2787</v>
      </c>
      <c r="M120" s="6" t="s">
        <v>37</v>
      </c>
      <c r="N120" s="6" t="s">
        <v>74</v>
      </c>
    </row>
    <row r="121" spans="1:14" x14ac:dyDescent="0.25">
      <c r="A121" s="6" t="s">
        <v>306</v>
      </c>
      <c r="B121" s="4">
        <v>45670</v>
      </c>
      <c r="C121" s="6" t="s">
        <v>2794</v>
      </c>
      <c r="D121" s="7">
        <v>0.58819444444444446</v>
      </c>
      <c r="E121" s="6" t="s">
        <v>16</v>
      </c>
      <c r="F121" s="6" t="s">
        <v>307</v>
      </c>
      <c r="G121" s="4">
        <v>37723</v>
      </c>
      <c r="H121" s="6" t="s">
        <v>126</v>
      </c>
      <c r="I121">
        <v>136</v>
      </c>
      <c r="J121">
        <v>3</v>
      </c>
      <c r="K121">
        <v>411</v>
      </c>
      <c r="L121" s="6" t="s">
        <v>19</v>
      </c>
      <c r="M121" s="6" t="s">
        <v>26</v>
      </c>
      <c r="N121" s="6" t="s">
        <v>21</v>
      </c>
    </row>
    <row r="122" spans="1:14" x14ac:dyDescent="0.25">
      <c r="A122" s="6" t="s">
        <v>308</v>
      </c>
      <c r="B122" s="4">
        <v>45748</v>
      </c>
      <c r="C122" s="6" t="s">
        <v>2801</v>
      </c>
      <c r="D122" s="7">
        <v>0.59444444444444444</v>
      </c>
      <c r="E122" s="6" t="s">
        <v>16</v>
      </c>
      <c r="F122" s="6" t="s">
        <v>229</v>
      </c>
      <c r="G122" s="4">
        <v>34284</v>
      </c>
      <c r="H122" s="6" t="s">
        <v>93</v>
      </c>
      <c r="I122">
        <v>209</v>
      </c>
      <c r="J122">
        <v>2</v>
      </c>
      <c r="K122">
        <v>419</v>
      </c>
      <c r="L122" s="6" t="s">
        <v>19</v>
      </c>
      <c r="M122" s="6" t="s">
        <v>89</v>
      </c>
      <c r="N122" s="6" t="s">
        <v>74</v>
      </c>
    </row>
    <row r="123" spans="1:14" x14ac:dyDescent="0.25">
      <c r="A123" s="6" t="s">
        <v>310</v>
      </c>
      <c r="B123" s="4">
        <v>45970</v>
      </c>
      <c r="C123" s="6" t="s">
        <v>2802</v>
      </c>
      <c r="D123" s="7">
        <v>0.87222222222222223</v>
      </c>
      <c r="E123" s="6" t="s">
        <v>16</v>
      </c>
      <c r="F123" s="6" t="s">
        <v>229</v>
      </c>
      <c r="G123" s="4">
        <v>29265</v>
      </c>
      <c r="H123" s="6" t="s">
        <v>85</v>
      </c>
      <c r="I123">
        <v>301</v>
      </c>
      <c r="J123">
        <v>2</v>
      </c>
      <c r="K123">
        <v>603</v>
      </c>
      <c r="L123" s="6" t="s">
        <v>19</v>
      </c>
      <c r="M123" s="6" t="s">
        <v>55</v>
      </c>
      <c r="N123" s="6" t="s">
        <v>74</v>
      </c>
    </row>
    <row r="124" spans="1:14" x14ac:dyDescent="0.25">
      <c r="A124" s="6" t="s">
        <v>312</v>
      </c>
      <c r="B124" s="4">
        <v>45912</v>
      </c>
      <c r="C124" s="6" t="s">
        <v>2797</v>
      </c>
      <c r="D124" s="7">
        <v>0.87152777777777779</v>
      </c>
      <c r="E124" s="6" t="s">
        <v>16</v>
      </c>
      <c r="F124" s="6" t="s">
        <v>169</v>
      </c>
      <c r="G124" s="4">
        <v>31271</v>
      </c>
      <c r="H124" s="6" t="s">
        <v>199</v>
      </c>
      <c r="I124">
        <v>219</v>
      </c>
      <c r="J124">
        <v>1</v>
      </c>
      <c r="K124">
        <v>220</v>
      </c>
      <c r="L124" s="6" t="s">
        <v>67</v>
      </c>
      <c r="M124" s="6" t="s">
        <v>20</v>
      </c>
      <c r="N124" s="6" t="s">
        <v>74</v>
      </c>
    </row>
    <row r="125" spans="1:14" x14ac:dyDescent="0.25">
      <c r="A125" s="6" t="s">
        <v>313</v>
      </c>
      <c r="B125" s="4">
        <v>45737</v>
      </c>
      <c r="C125" s="6" t="s">
        <v>2798</v>
      </c>
      <c r="D125" s="7">
        <v>0.94166666666666665</v>
      </c>
      <c r="E125" s="6" t="s">
        <v>16</v>
      </c>
      <c r="F125" s="6" t="s">
        <v>98</v>
      </c>
      <c r="G125" s="4">
        <v>33584</v>
      </c>
      <c r="H125" s="6" t="s">
        <v>164</v>
      </c>
      <c r="I125">
        <v>336</v>
      </c>
      <c r="J125">
        <v>2</v>
      </c>
      <c r="K125">
        <v>674</v>
      </c>
      <c r="L125" s="6" t="s">
        <v>67</v>
      </c>
      <c r="M125" s="6" t="s">
        <v>61</v>
      </c>
      <c r="N125" s="6" t="s">
        <v>56</v>
      </c>
    </row>
    <row r="126" spans="1:14" x14ac:dyDescent="0.25">
      <c r="A126" s="6" t="s">
        <v>315</v>
      </c>
      <c r="B126" s="4">
        <v>45903</v>
      </c>
      <c r="C126" s="6" t="s">
        <v>2797</v>
      </c>
      <c r="D126" s="7">
        <v>0.90416666666666667</v>
      </c>
      <c r="E126" s="6" t="s">
        <v>16</v>
      </c>
      <c r="F126" s="6" t="s">
        <v>208</v>
      </c>
      <c r="G126" s="4">
        <v>25731</v>
      </c>
      <c r="H126" s="6" t="s">
        <v>24</v>
      </c>
      <c r="I126">
        <v>283</v>
      </c>
      <c r="J126">
        <v>1</v>
      </c>
      <c r="K126">
        <v>283</v>
      </c>
      <c r="L126" s="6" t="s">
        <v>67</v>
      </c>
      <c r="M126" s="6" t="s">
        <v>47</v>
      </c>
      <c r="N126" s="6" t="s">
        <v>56</v>
      </c>
    </row>
    <row r="127" spans="1:14" x14ac:dyDescent="0.25">
      <c r="A127" s="6" t="s">
        <v>316</v>
      </c>
      <c r="B127" s="4">
        <v>45672</v>
      </c>
      <c r="C127" s="6" t="s">
        <v>2794</v>
      </c>
      <c r="D127" s="7">
        <v>0.87013888888888891</v>
      </c>
      <c r="E127" s="6" t="s">
        <v>16</v>
      </c>
      <c r="F127" s="6" t="s">
        <v>123</v>
      </c>
      <c r="G127" s="4">
        <v>25731</v>
      </c>
      <c r="H127" s="6" t="s">
        <v>259</v>
      </c>
      <c r="I127">
        <v>211</v>
      </c>
      <c r="J127">
        <v>1</v>
      </c>
      <c r="K127">
        <v>212</v>
      </c>
      <c r="L127" s="6" t="s">
        <v>41</v>
      </c>
      <c r="M127" s="6" t="s">
        <v>32</v>
      </c>
      <c r="N127" s="6" t="s">
        <v>56</v>
      </c>
    </row>
    <row r="128" spans="1:14" x14ac:dyDescent="0.25">
      <c r="A128" s="6" t="s">
        <v>317</v>
      </c>
      <c r="B128" s="4">
        <v>45813</v>
      </c>
      <c r="C128" s="6" t="s">
        <v>2800</v>
      </c>
      <c r="D128" s="7">
        <v>0.60093750000000001</v>
      </c>
      <c r="E128" s="6" t="s">
        <v>16</v>
      </c>
      <c r="F128" s="6" t="s">
        <v>82</v>
      </c>
      <c r="G128" s="4">
        <v>37403</v>
      </c>
      <c r="H128" s="6" t="s">
        <v>30</v>
      </c>
      <c r="I128">
        <v>231</v>
      </c>
      <c r="J128">
        <v>1</v>
      </c>
      <c r="K128">
        <v>231</v>
      </c>
      <c r="L128" s="6" t="s">
        <v>19</v>
      </c>
      <c r="M128" s="6" t="s">
        <v>26</v>
      </c>
      <c r="N128" s="6" t="s">
        <v>56</v>
      </c>
    </row>
    <row r="129" spans="1:14" x14ac:dyDescent="0.25">
      <c r="A129" s="6" t="s">
        <v>318</v>
      </c>
      <c r="B129" s="4">
        <v>45904</v>
      </c>
      <c r="C129" s="6" t="s">
        <v>2797</v>
      </c>
      <c r="D129" s="7">
        <v>0.86597222222222225</v>
      </c>
      <c r="E129" s="6" t="s">
        <v>16</v>
      </c>
      <c r="F129" s="6" t="s">
        <v>125</v>
      </c>
      <c r="G129" s="4">
        <v>26119</v>
      </c>
      <c r="H129" s="6" t="s">
        <v>36</v>
      </c>
      <c r="I129">
        <v>165</v>
      </c>
      <c r="J129">
        <v>3</v>
      </c>
      <c r="K129">
        <v>496</v>
      </c>
      <c r="L129" s="6" t="s">
        <v>67</v>
      </c>
      <c r="M129" s="6" t="s">
        <v>20</v>
      </c>
      <c r="N129" s="6" t="s">
        <v>33</v>
      </c>
    </row>
    <row r="130" spans="1:14" x14ac:dyDescent="0.25">
      <c r="A130" s="6" t="s">
        <v>320</v>
      </c>
      <c r="B130" s="4">
        <v>45878</v>
      </c>
      <c r="C130" s="6" t="s">
        <v>2793</v>
      </c>
      <c r="D130" s="7">
        <v>0.9042013888888889</v>
      </c>
      <c r="E130" s="6" t="s">
        <v>16</v>
      </c>
      <c r="F130" s="6" t="s">
        <v>204</v>
      </c>
      <c r="G130" s="4">
        <v>26119</v>
      </c>
      <c r="H130" s="6" t="s">
        <v>110</v>
      </c>
      <c r="I130">
        <v>100</v>
      </c>
      <c r="J130">
        <v>2</v>
      </c>
      <c r="K130">
        <v>200</v>
      </c>
      <c r="L130" s="6" t="s">
        <v>67</v>
      </c>
      <c r="M130" s="6" t="s">
        <v>47</v>
      </c>
      <c r="N130" s="6" t="s">
        <v>48</v>
      </c>
    </row>
    <row r="131" spans="1:14" x14ac:dyDescent="0.25">
      <c r="A131" s="6" t="s">
        <v>321</v>
      </c>
      <c r="B131" s="4">
        <v>45846</v>
      </c>
      <c r="C131" s="6" t="s">
        <v>2795</v>
      </c>
      <c r="D131" s="7">
        <v>0.50763888888888886</v>
      </c>
      <c r="E131" s="6" t="s">
        <v>16</v>
      </c>
      <c r="F131" s="6" t="s">
        <v>322</v>
      </c>
      <c r="G131" s="4">
        <v>31477</v>
      </c>
      <c r="H131" s="6" t="s">
        <v>24</v>
      </c>
      <c r="I131">
        <v>205</v>
      </c>
      <c r="J131">
        <v>3</v>
      </c>
      <c r="K131">
        <v>615</v>
      </c>
      <c r="L131" s="6" t="s">
        <v>19</v>
      </c>
      <c r="M131" s="6" t="s">
        <v>47</v>
      </c>
      <c r="N131" s="6" t="s">
        <v>27</v>
      </c>
    </row>
    <row r="132" spans="1:14" x14ac:dyDescent="0.25">
      <c r="A132" s="6" t="s">
        <v>323</v>
      </c>
      <c r="B132" s="4">
        <v>45883</v>
      </c>
      <c r="C132" s="6" t="s">
        <v>2793</v>
      </c>
      <c r="D132" s="7">
        <v>0.69067129629629631</v>
      </c>
      <c r="E132" s="6" t="s">
        <v>16</v>
      </c>
      <c r="F132" s="6" t="s">
        <v>324</v>
      </c>
      <c r="G132" s="4">
        <v>33401</v>
      </c>
      <c r="H132" s="6" t="s">
        <v>104</v>
      </c>
      <c r="I132">
        <v>296</v>
      </c>
      <c r="J132">
        <v>2</v>
      </c>
      <c r="K132">
        <v>593</v>
      </c>
      <c r="L132" s="6" t="s">
        <v>19</v>
      </c>
      <c r="M132" s="6" t="s">
        <v>20</v>
      </c>
      <c r="N132" s="6" t="s">
        <v>48</v>
      </c>
    </row>
    <row r="133" spans="1:14" x14ac:dyDescent="0.25">
      <c r="A133" s="6" t="s">
        <v>325</v>
      </c>
      <c r="B133" s="4">
        <v>45893</v>
      </c>
      <c r="C133" s="6" t="s">
        <v>2793</v>
      </c>
      <c r="D133" s="7">
        <v>0.78667824074074078</v>
      </c>
      <c r="E133" s="6" t="s">
        <v>16</v>
      </c>
      <c r="F133" s="6" t="s">
        <v>237</v>
      </c>
      <c r="G133" s="4">
        <v>30119</v>
      </c>
      <c r="H133" s="6" t="s">
        <v>202</v>
      </c>
      <c r="I133">
        <v>211</v>
      </c>
      <c r="J133">
        <v>2</v>
      </c>
      <c r="K133">
        <v>422</v>
      </c>
      <c r="L133" s="6" t="s">
        <v>41</v>
      </c>
      <c r="M133" s="6" t="s">
        <v>55</v>
      </c>
      <c r="N133" s="6" t="s">
        <v>48</v>
      </c>
    </row>
    <row r="134" spans="1:14" x14ac:dyDescent="0.25">
      <c r="A134" s="6" t="s">
        <v>326</v>
      </c>
      <c r="B134" s="4">
        <v>45786</v>
      </c>
      <c r="C134" s="6" t="s">
        <v>2792</v>
      </c>
      <c r="D134" s="7">
        <v>0.42488425925925927</v>
      </c>
      <c r="E134" s="6" t="s">
        <v>16</v>
      </c>
      <c r="F134" s="6" t="s">
        <v>23</v>
      </c>
      <c r="G134" s="4">
        <v>31606</v>
      </c>
      <c r="H134" s="6" t="s">
        <v>45</v>
      </c>
      <c r="I134">
        <v>219</v>
      </c>
      <c r="J134">
        <v>1</v>
      </c>
      <c r="K134">
        <v>220</v>
      </c>
      <c r="L134" s="6" t="s">
        <v>19</v>
      </c>
      <c r="M134" s="6" t="s">
        <v>89</v>
      </c>
      <c r="N134" s="6" t="s">
        <v>48</v>
      </c>
    </row>
    <row r="135" spans="1:14" x14ac:dyDescent="0.25">
      <c r="A135" s="6" t="s">
        <v>327</v>
      </c>
      <c r="B135" s="4">
        <v>45812</v>
      </c>
      <c r="C135" s="6" t="s">
        <v>2800</v>
      </c>
      <c r="D135" s="7">
        <v>0.71527777777777779</v>
      </c>
      <c r="E135" s="6" t="s">
        <v>16</v>
      </c>
      <c r="F135" s="6" t="s">
        <v>328</v>
      </c>
      <c r="G135" s="4">
        <v>32452</v>
      </c>
      <c r="H135" s="6" t="s">
        <v>199</v>
      </c>
      <c r="I135">
        <v>219</v>
      </c>
      <c r="J135">
        <v>1</v>
      </c>
      <c r="K135">
        <v>220</v>
      </c>
      <c r="L135" s="6" t="s">
        <v>2787</v>
      </c>
      <c r="M135" s="6" t="s">
        <v>47</v>
      </c>
      <c r="N135" s="6" t="s">
        <v>56</v>
      </c>
    </row>
    <row r="136" spans="1:14" x14ac:dyDescent="0.25">
      <c r="A136" s="6" t="s">
        <v>329</v>
      </c>
      <c r="B136" s="4">
        <v>45725</v>
      </c>
      <c r="C136" s="6" t="s">
        <v>2798</v>
      </c>
      <c r="D136" s="7">
        <v>0.50763888888888886</v>
      </c>
      <c r="E136" s="6" t="s">
        <v>16</v>
      </c>
      <c r="F136" s="6" t="s">
        <v>330</v>
      </c>
      <c r="G136" s="4">
        <v>38745</v>
      </c>
      <c r="H136" s="6" t="s">
        <v>141</v>
      </c>
      <c r="I136">
        <v>148</v>
      </c>
      <c r="J136">
        <v>1</v>
      </c>
      <c r="K136">
        <v>148</v>
      </c>
      <c r="L136" s="6" t="s">
        <v>67</v>
      </c>
      <c r="M136" s="6" t="s">
        <v>32</v>
      </c>
      <c r="N136" s="6" t="s">
        <v>56</v>
      </c>
    </row>
    <row r="137" spans="1:14" x14ac:dyDescent="0.25">
      <c r="A137" s="6" t="s">
        <v>331</v>
      </c>
      <c r="B137" s="4">
        <v>45847</v>
      </c>
      <c r="C137" s="6" t="s">
        <v>2795</v>
      </c>
      <c r="D137" s="7">
        <v>0.90069444444444446</v>
      </c>
      <c r="E137" s="6" t="s">
        <v>16</v>
      </c>
      <c r="F137" s="6" t="s">
        <v>332</v>
      </c>
      <c r="G137" s="4">
        <v>29231</v>
      </c>
      <c r="H137" s="6" t="s">
        <v>93</v>
      </c>
      <c r="I137">
        <v>210</v>
      </c>
      <c r="J137">
        <v>3</v>
      </c>
      <c r="K137">
        <v>632</v>
      </c>
      <c r="L137" s="6" t="s">
        <v>41</v>
      </c>
      <c r="M137" s="6" t="s">
        <v>47</v>
      </c>
      <c r="N137" s="6" t="s">
        <v>48</v>
      </c>
    </row>
    <row r="138" spans="1:14" x14ac:dyDescent="0.25">
      <c r="A138" s="6" t="s">
        <v>333</v>
      </c>
      <c r="B138" s="4">
        <v>45937</v>
      </c>
      <c r="C138" s="6" t="s">
        <v>2791</v>
      </c>
      <c r="D138" s="7">
        <v>0.45416666666666666</v>
      </c>
      <c r="E138" s="6" t="s">
        <v>16</v>
      </c>
      <c r="F138" s="6" t="s">
        <v>334</v>
      </c>
      <c r="G138" s="4">
        <v>30334</v>
      </c>
      <c r="H138" s="6" t="s">
        <v>40</v>
      </c>
      <c r="I138">
        <v>186</v>
      </c>
      <c r="J138">
        <v>2</v>
      </c>
      <c r="K138">
        <v>373</v>
      </c>
      <c r="L138" s="6" t="s">
        <v>41</v>
      </c>
      <c r="M138" s="6" t="s">
        <v>37</v>
      </c>
      <c r="N138" s="6" t="s">
        <v>48</v>
      </c>
    </row>
    <row r="139" spans="1:14" x14ac:dyDescent="0.25">
      <c r="A139" s="6" t="s">
        <v>335</v>
      </c>
      <c r="B139" s="4">
        <v>45698</v>
      </c>
      <c r="C139" s="6" t="s">
        <v>2799</v>
      </c>
      <c r="D139" s="7">
        <v>0.90729166666666672</v>
      </c>
      <c r="E139" s="6" t="s">
        <v>16</v>
      </c>
      <c r="F139" s="6" t="s">
        <v>252</v>
      </c>
      <c r="G139" s="4">
        <v>31571</v>
      </c>
      <c r="H139" s="6" t="s">
        <v>243</v>
      </c>
      <c r="I139">
        <v>160</v>
      </c>
      <c r="J139">
        <v>3</v>
      </c>
      <c r="K139">
        <v>483</v>
      </c>
      <c r="L139" s="6" t="s">
        <v>2787</v>
      </c>
      <c r="M139" s="6" t="s">
        <v>37</v>
      </c>
      <c r="N139" s="6" t="s">
        <v>74</v>
      </c>
    </row>
    <row r="140" spans="1:14" x14ac:dyDescent="0.25">
      <c r="A140" s="6" t="s">
        <v>337</v>
      </c>
      <c r="B140" s="4">
        <v>45951</v>
      </c>
      <c r="C140" s="6" t="s">
        <v>2791</v>
      </c>
      <c r="D140" s="7">
        <v>0.76111111111111107</v>
      </c>
      <c r="E140" s="6" t="s">
        <v>16</v>
      </c>
      <c r="F140" s="6" t="s">
        <v>338</v>
      </c>
      <c r="G140" s="4">
        <v>31571</v>
      </c>
      <c r="H140" s="6" t="s">
        <v>93</v>
      </c>
      <c r="I140">
        <v>190</v>
      </c>
      <c r="J140">
        <v>1</v>
      </c>
      <c r="K140">
        <v>190</v>
      </c>
      <c r="L140" s="6" t="s">
        <v>19</v>
      </c>
      <c r="M140" s="6" t="s">
        <v>26</v>
      </c>
      <c r="N140" s="6" t="s">
        <v>74</v>
      </c>
    </row>
    <row r="141" spans="1:14" x14ac:dyDescent="0.25">
      <c r="A141" s="6" t="s">
        <v>339</v>
      </c>
      <c r="B141" s="4">
        <v>45962</v>
      </c>
      <c r="C141" s="6" t="s">
        <v>2802</v>
      </c>
      <c r="D141" s="7">
        <v>0.7990856481481482</v>
      </c>
      <c r="E141" s="6" t="s">
        <v>16</v>
      </c>
      <c r="F141" s="6" t="s">
        <v>340</v>
      </c>
      <c r="G141" s="4">
        <v>29301</v>
      </c>
      <c r="H141" s="6" t="s">
        <v>145</v>
      </c>
      <c r="I141">
        <v>275</v>
      </c>
      <c r="J141">
        <v>2</v>
      </c>
      <c r="K141">
        <v>552</v>
      </c>
      <c r="L141" s="6" t="s">
        <v>19</v>
      </c>
      <c r="M141" s="6" t="s">
        <v>61</v>
      </c>
      <c r="N141" s="6" t="s">
        <v>27</v>
      </c>
    </row>
    <row r="142" spans="1:14" x14ac:dyDescent="0.25">
      <c r="A142" s="6" t="s">
        <v>341</v>
      </c>
      <c r="B142" s="4">
        <v>45729</v>
      </c>
      <c r="C142" s="6" t="s">
        <v>2798</v>
      </c>
      <c r="D142" s="7">
        <v>0.94236111111111109</v>
      </c>
      <c r="E142" s="6" t="s">
        <v>16</v>
      </c>
      <c r="F142" s="6" t="s">
        <v>138</v>
      </c>
      <c r="G142" s="4">
        <v>33470</v>
      </c>
      <c r="H142" s="6" t="s">
        <v>145</v>
      </c>
      <c r="I142">
        <v>54</v>
      </c>
      <c r="J142">
        <v>3</v>
      </c>
      <c r="K142">
        <v>163</v>
      </c>
      <c r="L142" s="6" t="s">
        <v>19</v>
      </c>
      <c r="M142" s="6" t="s">
        <v>37</v>
      </c>
      <c r="N142" s="6" t="s">
        <v>27</v>
      </c>
    </row>
    <row r="143" spans="1:14" x14ac:dyDescent="0.25">
      <c r="A143" s="6" t="s">
        <v>342</v>
      </c>
      <c r="B143" s="4">
        <v>45617</v>
      </c>
      <c r="C143" s="6" t="s">
        <v>2802</v>
      </c>
      <c r="D143" s="7">
        <v>0.7680555555555556</v>
      </c>
      <c r="E143" s="6" t="s">
        <v>16</v>
      </c>
      <c r="F143" s="6" t="s">
        <v>29</v>
      </c>
      <c r="G143" s="4">
        <v>36719</v>
      </c>
      <c r="H143" s="6" t="s">
        <v>73</v>
      </c>
      <c r="I143">
        <v>38</v>
      </c>
      <c r="J143">
        <v>1</v>
      </c>
      <c r="K143">
        <v>84</v>
      </c>
      <c r="L143" s="6" t="s">
        <v>19</v>
      </c>
      <c r="M143" s="6" t="s">
        <v>55</v>
      </c>
      <c r="N143" s="6" t="s">
        <v>74</v>
      </c>
    </row>
    <row r="144" spans="1:14" x14ac:dyDescent="0.25">
      <c r="A144" s="6" t="s">
        <v>344</v>
      </c>
      <c r="B144" s="4">
        <v>45952</v>
      </c>
      <c r="C144" s="6" t="s">
        <v>2791</v>
      </c>
      <c r="D144" s="7">
        <v>0.68263888888888891</v>
      </c>
      <c r="E144" s="6" t="s">
        <v>16</v>
      </c>
      <c r="F144" s="6" t="s">
        <v>107</v>
      </c>
      <c r="G144" s="4">
        <v>35715</v>
      </c>
      <c r="H144" s="6" t="s">
        <v>178</v>
      </c>
      <c r="I144">
        <v>271</v>
      </c>
      <c r="J144">
        <v>1</v>
      </c>
      <c r="K144">
        <v>271</v>
      </c>
      <c r="L144" s="6" t="s">
        <v>41</v>
      </c>
      <c r="M144" s="6" t="s">
        <v>26</v>
      </c>
      <c r="N144" s="6" t="s">
        <v>33</v>
      </c>
    </row>
    <row r="145" spans="1:14" x14ac:dyDescent="0.25">
      <c r="A145" s="6" t="s">
        <v>345</v>
      </c>
      <c r="B145" s="4">
        <v>45877</v>
      </c>
      <c r="C145" s="6" t="s">
        <v>2793</v>
      </c>
      <c r="D145" s="7">
        <v>0.94097222222222221</v>
      </c>
      <c r="E145" s="6" t="s">
        <v>16</v>
      </c>
      <c r="F145" s="6" t="s">
        <v>346</v>
      </c>
      <c r="G145" s="4">
        <v>25626</v>
      </c>
      <c r="H145" s="6" t="s">
        <v>40</v>
      </c>
      <c r="I145">
        <v>159</v>
      </c>
      <c r="J145">
        <v>3</v>
      </c>
      <c r="K145">
        <v>479</v>
      </c>
      <c r="L145" s="6" t="s">
        <v>54</v>
      </c>
      <c r="M145" s="6" t="s">
        <v>37</v>
      </c>
      <c r="N145" s="6" t="s">
        <v>33</v>
      </c>
    </row>
    <row r="146" spans="1:14" x14ac:dyDescent="0.25">
      <c r="A146" s="6" t="s">
        <v>348</v>
      </c>
      <c r="B146" s="4">
        <v>45877</v>
      </c>
      <c r="C146" s="6" t="s">
        <v>2793</v>
      </c>
      <c r="D146" s="7">
        <v>0.98750000000000004</v>
      </c>
      <c r="E146" s="6" t="s">
        <v>16</v>
      </c>
      <c r="F146" s="6" t="s">
        <v>349</v>
      </c>
      <c r="G146" s="4">
        <v>37963</v>
      </c>
      <c r="H146" s="6" t="s">
        <v>164</v>
      </c>
      <c r="I146">
        <v>363</v>
      </c>
      <c r="J146">
        <v>1</v>
      </c>
      <c r="K146">
        <v>364</v>
      </c>
      <c r="L146" s="6" t="s">
        <v>19</v>
      </c>
      <c r="M146" s="6" t="s">
        <v>32</v>
      </c>
      <c r="N146" s="6" t="s">
        <v>48</v>
      </c>
    </row>
    <row r="147" spans="1:14" x14ac:dyDescent="0.25">
      <c r="A147" s="6" t="s">
        <v>350</v>
      </c>
      <c r="B147" s="4">
        <v>45732</v>
      </c>
      <c r="C147" s="6" t="s">
        <v>2798</v>
      </c>
      <c r="D147" s="7">
        <v>0.74930555555555556</v>
      </c>
      <c r="E147" s="6" t="s">
        <v>16</v>
      </c>
      <c r="F147" s="6" t="s">
        <v>351</v>
      </c>
      <c r="G147" s="4">
        <v>38400</v>
      </c>
      <c r="H147" s="6" t="s">
        <v>126</v>
      </c>
      <c r="I147">
        <v>110</v>
      </c>
      <c r="J147">
        <v>3</v>
      </c>
      <c r="K147">
        <v>332</v>
      </c>
      <c r="L147" s="6" t="s">
        <v>2787</v>
      </c>
      <c r="M147" s="6" t="s">
        <v>26</v>
      </c>
      <c r="N147" s="6" t="s">
        <v>74</v>
      </c>
    </row>
    <row r="148" spans="1:14" x14ac:dyDescent="0.25">
      <c r="A148" s="6" t="s">
        <v>352</v>
      </c>
      <c r="B148" s="4">
        <v>45941</v>
      </c>
      <c r="C148" s="6" t="s">
        <v>2791</v>
      </c>
      <c r="D148" s="7">
        <v>0.86405092592592592</v>
      </c>
      <c r="E148" s="6" t="s">
        <v>16</v>
      </c>
      <c r="F148" s="6" t="s">
        <v>353</v>
      </c>
      <c r="G148" s="4">
        <v>31512</v>
      </c>
      <c r="H148" s="6" t="s">
        <v>116</v>
      </c>
      <c r="I148">
        <v>269</v>
      </c>
      <c r="J148">
        <v>1</v>
      </c>
      <c r="K148">
        <v>269</v>
      </c>
      <c r="L148" s="6" t="s">
        <v>2787</v>
      </c>
      <c r="M148" s="6" t="s">
        <v>47</v>
      </c>
      <c r="N148" s="6" t="s">
        <v>33</v>
      </c>
    </row>
    <row r="149" spans="1:14" x14ac:dyDescent="0.25">
      <c r="A149" s="6" t="s">
        <v>354</v>
      </c>
      <c r="B149" s="4">
        <v>45720</v>
      </c>
      <c r="C149" s="6" t="s">
        <v>2798</v>
      </c>
      <c r="D149" s="7">
        <v>0.53402777777777777</v>
      </c>
      <c r="E149" s="6" t="s">
        <v>16</v>
      </c>
      <c r="F149" s="6" t="s">
        <v>123</v>
      </c>
      <c r="G149" s="4">
        <v>38014</v>
      </c>
      <c r="H149" s="6" t="s">
        <v>116</v>
      </c>
      <c r="I149">
        <v>361</v>
      </c>
      <c r="J149">
        <v>2</v>
      </c>
      <c r="K149">
        <v>724</v>
      </c>
      <c r="L149" s="6" t="s">
        <v>19</v>
      </c>
      <c r="M149" s="6" t="s">
        <v>20</v>
      </c>
      <c r="N149" s="6" t="s">
        <v>27</v>
      </c>
    </row>
    <row r="150" spans="1:14" x14ac:dyDescent="0.25">
      <c r="A150" s="6" t="s">
        <v>355</v>
      </c>
      <c r="B150" s="4">
        <v>45851</v>
      </c>
      <c r="C150" s="6" t="s">
        <v>2795</v>
      </c>
      <c r="D150" s="7">
        <v>0.65555555555555556</v>
      </c>
      <c r="E150" s="6" t="s">
        <v>16</v>
      </c>
      <c r="F150" s="6" t="s">
        <v>109</v>
      </c>
      <c r="G150" s="4">
        <v>34270</v>
      </c>
      <c r="H150" s="6" t="s">
        <v>40</v>
      </c>
      <c r="I150">
        <v>168</v>
      </c>
      <c r="J150">
        <v>3</v>
      </c>
      <c r="K150">
        <v>506</v>
      </c>
      <c r="L150" s="6" t="s">
        <v>67</v>
      </c>
      <c r="M150" s="6" t="s">
        <v>26</v>
      </c>
      <c r="N150" s="6" t="s">
        <v>48</v>
      </c>
    </row>
    <row r="151" spans="1:14" x14ac:dyDescent="0.25">
      <c r="A151" s="6" t="s">
        <v>357</v>
      </c>
      <c r="B151" s="4">
        <v>45737</v>
      </c>
      <c r="C151" s="6" t="s">
        <v>2798</v>
      </c>
      <c r="D151" s="7">
        <v>0.54791666666666672</v>
      </c>
      <c r="E151" s="6" t="s">
        <v>16</v>
      </c>
      <c r="F151" s="6" t="s">
        <v>358</v>
      </c>
      <c r="G151" s="4">
        <v>36978</v>
      </c>
      <c r="H151" s="6" t="s">
        <v>45</v>
      </c>
      <c r="I151">
        <v>47</v>
      </c>
      <c r="J151">
        <v>2</v>
      </c>
      <c r="K151">
        <v>95</v>
      </c>
      <c r="L151" s="6" t="s">
        <v>19</v>
      </c>
      <c r="M151" s="6" t="s">
        <v>89</v>
      </c>
      <c r="N151" s="6" t="s">
        <v>56</v>
      </c>
    </row>
    <row r="152" spans="1:14" x14ac:dyDescent="0.25">
      <c r="A152" s="6" t="s">
        <v>359</v>
      </c>
      <c r="B152" s="4">
        <v>45627</v>
      </c>
      <c r="C152" s="6" t="s">
        <v>2796</v>
      </c>
      <c r="D152" s="7">
        <v>0.98819444444444449</v>
      </c>
      <c r="E152" s="6" t="s">
        <v>16</v>
      </c>
      <c r="F152" s="6" t="s">
        <v>360</v>
      </c>
      <c r="G152" s="4">
        <v>32305</v>
      </c>
      <c r="H152" s="6" t="s">
        <v>77</v>
      </c>
      <c r="I152">
        <v>192</v>
      </c>
      <c r="J152">
        <v>2</v>
      </c>
      <c r="K152">
        <v>385</v>
      </c>
      <c r="L152" s="6" t="s">
        <v>41</v>
      </c>
      <c r="M152" s="6" t="s">
        <v>32</v>
      </c>
      <c r="N152" s="6" t="s">
        <v>33</v>
      </c>
    </row>
    <row r="153" spans="1:14" x14ac:dyDescent="0.25">
      <c r="A153" s="6" t="s">
        <v>361</v>
      </c>
      <c r="B153" s="4">
        <v>45777</v>
      </c>
      <c r="C153" s="6" t="s">
        <v>2801</v>
      </c>
      <c r="D153" s="7">
        <v>0.88680555555555551</v>
      </c>
      <c r="E153" s="6" t="s">
        <v>16</v>
      </c>
      <c r="F153" s="6" t="s">
        <v>232</v>
      </c>
      <c r="G153" s="4">
        <v>34322</v>
      </c>
      <c r="H153" s="6" t="s">
        <v>259</v>
      </c>
      <c r="I153">
        <v>295</v>
      </c>
      <c r="J153">
        <v>2</v>
      </c>
      <c r="L153" s="6" t="s">
        <v>41</v>
      </c>
      <c r="M153" s="6" t="s">
        <v>26</v>
      </c>
      <c r="N153" s="6" t="s">
        <v>21</v>
      </c>
    </row>
    <row r="154" spans="1:14" x14ac:dyDescent="0.25">
      <c r="A154" s="6" t="s">
        <v>363</v>
      </c>
      <c r="B154" s="4">
        <v>45751</v>
      </c>
      <c r="C154" s="6" t="s">
        <v>2801</v>
      </c>
      <c r="D154" s="7">
        <v>0.87495370370370373</v>
      </c>
      <c r="E154" s="6" t="s">
        <v>16</v>
      </c>
      <c r="F154" s="6" t="s">
        <v>330</v>
      </c>
      <c r="G154" s="4">
        <v>40242</v>
      </c>
      <c r="H154" s="6" t="s">
        <v>116</v>
      </c>
      <c r="I154">
        <v>111</v>
      </c>
      <c r="J154">
        <v>3</v>
      </c>
      <c r="K154">
        <v>333</v>
      </c>
      <c r="L154" s="6" t="s">
        <v>41</v>
      </c>
      <c r="M154" s="6" t="s">
        <v>89</v>
      </c>
      <c r="N154" s="6" t="s">
        <v>56</v>
      </c>
    </row>
    <row r="155" spans="1:14" x14ac:dyDescent="0.25">
      <c r="A155" s="6" t="s">
        <v>364</v>
      </c>
      <c r="B155" s="4">
        <v>45863</v>
      </c>
      <c r="C155" s="6" t="s">
        <v>2795</v>
      </c>
      <c r="D155" s="7">
        <v>0.72179398148148144</v>
      </c>
      <c r="E155" s="6" t="s">
        <v>16</v>
      </c>
      <c r="F155" s="6" t="s">
        <v>365</v>
      </c>
      <c r="G155" s="4">
        <v>40242</v>
      </c>
      <c r="H155" s="6" t="s">
        <v>116</v>
      </c>
      <c r="I155">
        <v>102</v>
      </c>
      <c r="J155">
        <v>1</v>
      </c>
      <c r="K155">
        <v>102</v>
      </c>
      <c r="L155" s="6" t="s">
        <v>67</v>
      </c>
      <c r="M155" s="6" t="s">
        <v>20</v>
      </c>
      <c r="N155" s="6" t="s">
        <v>56</v>
      </c>
    </row>
    <row r="156" spans="1:14" x14ac:dyDescent="0.25">
      <c r="A156" s="6" t="s">
        <v>367</v>
      </c>
      <c r="B156" s="4">
        <v>45840</v>
      </c>
      <c r="C156" s="6" t="s">
        <v>2795</v>
      </c>
      <c r="D156" s="7">
        <v>0.90811342592592592</v>
      </c>
      <c r="E156" s="6" t="s">
        <v>16</v>
      </c>
      <c r="F156" s="6" t="s">
        <v>95</v>
      </c>
      <c r="G156" s="4">
        <v>31315</v>
      </c>
      <c r="H156" s="6" t="s">
        <v>73</v>
      </c>
      <c r="I156">
        <v>39</v>
      </c>
      <c r="J156">
        <v>2</v>
      </c>
      <c r="L156" s="6" t="s">
        <v>54</v>
      </c>
      <c r="M156" s="6" t="s">
        <v>55</v>
      </c>
      <c r="N156" s="6" t="s">
        <v>27</v>
      </c>
    </row>
    <row r="157" spans="1:14" x14ac:dyDescent="0.25">
      <c r="A157" s="6" t="s">
        <v>369</v>
      </c>
      <c r="B157" s="4">
        <v>45669</v>
      </c>
      <c r="C157" s="6" t="s">
        <v>2794</v>
      </c>
      <c r="D157" s="7">
        <v>0.89444444444444449</v>
      </c>
      <c r="E157" s="6" t="s">
        <v>16</v>
      </c>
      <c r="F157" s="6" t="s">
        <v>370</v>
      </c>
      <c r="G157" s="4">
        <v>33429</v>
      </c>
      <c r="H157" s="6" t="s">
        <v>129</v>
      </c>
      <c r="I157">
        <v>150</v>
      </c>
      <c r="J157">
        <v>2</v>
      </c>
      <c r="K157">
        <v>301</v>
      </c>
      <c r="L157" s="6" t="s">
        <v>19</v>
      </c>
      <c r="M157" s="6" t="s">
        <v>47</v>
      </c>
      <c r="N157" s="6" t="s">
        <v>74</v>
      </c>
    </row>
    <row r="158" spans="1:14" x14ac:dyDescent="0.25">
      <c r="A158" s="6" t="s">
        <v>371</v>
      </c>
      <c r="B158" s="4">
        <v>45843</v>
      </c>
      <c r="C158" s="6" t="s">
        <v>2795</v>
      </c>
      <c r="D158" s="7">
        <v>0.56180555555555556</v>
      </c>
      <c r="E158" s="6" t="s">
        <v>16</v>
      </c>
      <c r="F158" s="6" t="s">
        <v>63</v>
      </c>
      <c r="G158" s="4">
        <v>32665</v>
      </c>
      <c r="H158" s="6" t="s">
        <v>116</v>
      </c>
      <c r="I158">
        <v>167</v>
      </c>
      <c r="J158">
        <v>1</v>
      </c>
      <c r="K158">
        <v>168</v>
      </c>
      <c r="L158" s="6" t="s">
        <v>19</v>
      </c>
      <c r="M158" s="6" t="s">
        <v>20</v>
      </c>
      <c r="N158" s="6" t="s">
        <v>33</v>
      </c>
    </row>
    <row r="159" spans="1:14" x14ac:dyDescent="0.25">
      <c r="A159" s="6" t="s">
        <v>372</v>
      </c>
      <c r="B159" s="4">
        <v>45621</v>
      </c>
      <c r="C159" s="6" t="s">
        <v>2802</v>
      </c>
      <c r="D159" s="7">
        <v>0.90149305555555559</v>
      </c>
      <c r="E159" s="6" t="s">
        <v>16</v>
      </c>
      <c r="F159" s="6" t="s">
        <v>52</v>
      </c>
      <c r="G159" s="4">
        <v>39989</v>
      </c>
      <c r="H159" s="6" t="s">
        <v>93</v>
      </c>
      <c r="I159">
        <v>194</v>
      </c>
      <c r="J159">
        <v>1</v>
      </c>
      <c r="K159">
        <v>194</v>
      </c>
      <c r="L159" s="6" t="s">
        <v>41</v>
      </c>
      <c r="M159" s="6" t="s">
        <v>89</v>
      </c>
      <c r="N159" s="6" t="s">
        <v>105</v>
      </c>
    </row>
    <row r="160" spans="1:14" x14ac:dyDescent="0.25">
      <c r="A160" s="6" t="s">
        <v>374</v>
      </c>
      <c r="B160" s="4">
        <v>45865</v>
      </c>
      <c r="C160" s="6" t="s">
        <v>2795</v>
      </c>
      <c r="D160" s="7">
        <v>0.78055555555555556</v>
      </c>
      <c r="E160" s="6" t="s">
        <v>16</v>
      </c>
      <c r="F160" s="6" t="s">
        <v>161</v>
      </c>
      <c r="G160" s="4">
        <v>36308</v>
      </c>
      <c r="H160" s="6" t="s">
        <v>243</v>
      </c>
      <c r="I160">
        <v>194</v>
      </c>
      <c r="J160">
        <v>1</v>
      </c>
      <c r="K160">
        <v>194</v>
      </c>
      <c r="L160" s="6" t="s">
        <v>54</v>
      </c>
      <c r="M160" s="6" t="s">
        <v>32</v>
      </c>
      <c r="N160" s="6" t="s">
        <v>33</v>
      </c>
    </row>
    <row r="161" spans="1:14" x14ac:dyDescent="0.25">
      <c r="A161" s="6" t="s">
        <v>375</v>
      </c>
      <c r="B161" s="4">
        <v>45781</v>
      </c>
      <c r="C161" s="6" t="s">
        <v>2792</v>
      </c>
      <c r="D161" s="7">
        <v>0.56508101851851855</v>
      </c>
      <c r="E161" s="6" t="s">
        <v>16</v>
      </c>
      <c r="F161" s="6" t="s">
        <v>377</v>
      </c>
      <c r="G161" s="4">
        <v>32908</v>
      </c>
      <c r="H161" s="6" t="s">
        <v>30</v>
      </c>
      <c r="I161">
        <v>219</v>
      </c>
      <c r="J161">
        <v>3</v>
      </c>
      <c r="K161">
        <v>658</v>
      </c>
      <c r="L161" s="6" t="s">
        <v>19</v>
      </c>
      <c r="M161" s="6" t="s">
        <v>55</v>
      </c>
      <c r="N161" s="6" t="s">
        <v>33</v>
      </c>
    </row>
    <row r="162" spans="1:14" x14ac:dyDescent="0.25">
      <c r="A162" s="6" t="s">
        <v>378</v>
      </c>
      <c r="B162" s="4">
        <v>45952</v>
      </c>
      <c r="C162" s="6" t="s">
        <v>2791</v>
      </c>
      <c r="D162" s="7">
        <v>0.74375000000000002</v>
      </c>
      <c r="E162" s="6" t="s">
        <v>16</v>
      </c>
      <c r="F162" s="6" t="s">
        <v>379</v>
      </c>
      <c r="G162" s="4">
        <v>34305</v>
      </c>
      <c r="H162" s="6" t="s">
        <v>164</v>
      </c>
      <c r="I162">
        <v>356</v>
      </c>
      <c r="J162">
        <v>1</v>
      </c>
      <c r="K162">
        <v>357</v>
      </c>
      <c r="L162" s="6" t="s">
        <v>41</v>
      </c>
      <c r="M162" s="6" t="s">
        <v>26</v>
      </c>
      <c r="N162" s="6" t="s">
        <v>56</v>
      </c>
    </row>
    <row r="163" spans="1:14" x14ac:dyDescent="0.25">
      <c r="A163" s="6" t="s">
        <v>380</v>
      </c>
      <c r="B163" s="4">
        <v>45962</v>
      </c>
      <c r="C163" s="6" t="s">
        <v>2802</v>
      </c>
      <c r="D163" s="7">
        <v>0.46527777777777779</v>
      </c>
      <c r="E163" s="6" t="s">
        <v>16</v>
      </c>
      <c r="F163" s="6" t="s">
        <v>338</v>
      </c>
      <c r="G163" s="4">
        <v>38275</v>
      </c>
      <c r="H163" s="6" t="s">
        <v>73</v>
      </c>
      <c r="I163">
        <v>51</v>
      </c>
      <c r="J163">
        <v>2</v>
      </c>
      <c r="K163">
        <v>103</v>
      </c>
      <c r="L163" s="6" t="s">
        <v>41</v>
      </c>
      <c r="M163" s="6" t="s">
        <v>55</v>
      </c>
      <c r="N163" s="6" t="s">
        <v>105</v>
      </c>
    </row>
    <row r="164" spans="1:14" x14ac:dyDescent="0.25">
      <c r="A164" s="6" t="s">
        <v>382</v>
      </c>
      <c r="B164" s="4">
        <v>45762</v>
      </c>
      <c r="C164" s="6" t="s">
        <v>2801</v>
      </c>
      <c r="D164" s="7">
        <v>0.58333333333333337</v>
      </c>
      <c r="E164" s="6" t="s">
        <v>16</v>
      </c>
      <c r="F164" s="6" t="s">
        <v>383</v>
      </c>
      <c r="G164" s="4">
        <v>32037</v>
      </c>
      <c r="H164" s="6" t="s">
        <v>93</v>
      </c>
      <c r="I164">
        <v>164</v>
      </c>
      <c r="J164">
        <v>1</v>
      </c>
      <c r="K164">
        <v>165</v>
      </c>
      <c r="L164" s="6" t="s">
        <v>41</v>
      </c>
      <c r="M164" s="6" t="s">
        <v>37</v>
      </c>
      <c r="N164" s="6" t="s">
        <v>105</v>
      </c>
    </row>
    <row r="165" spans="1:14" x14ac:dyDescent="0.25">
      <c r="A165" s="6" t="s">
        <v>384</v>
      </c>
      <c r="B165" s="4">
        <v>45970</v>
      </c>
      <c r="C165" s="6" t="s">
        <v>2802</v>
      </c>
      <c r="D165" s="7">
        <v>0.82013888888888886</v>
      </c>
      <c r="E165" s="6" t="s">
        <v>16</v>
      </c>
      <c r="F165" s="6" t="s">
        <v>281</v>
      </c>
      <c r="G165" s="4">
        <v>33416</v>
      </c>
      <c r="H165" s="6" t="s">
        <v>202</v>
      </c>
      <c r="I165">
        <v>109</v>
      </c>
      <c r="J165">
        <v>1</v>
      </c>
      <c r="K165">
        <v>152</v>
      </c>
      <c r="L165" s="6" t="s">
        <v>41</v>
      </c>
      <c r="M165" s="6" t="s">
        <v>26</v>
      </c>
      <c r="N165" s="6" t="s">
        <v>33</v>
      </c>
    </row>
    <row r="166" spans="1:14" x14ac:dyDescent="0.25">
      <c r="A166" s="6" t="s">
        <v>385</v>
      </c>
      <c r="B166" s="4">
        <v>45838</v>
      </c>
      <c r="C166" s="6" t="s">
        <v>2800</v>
      </c>
      <c r="D166" s="7">
        <v>0.50555555555555554</v>
      </c>
      <c r="E166" s="6" t="s">
        <v>16</v>
      </c>
      <c r="F166" s="6" t="s">
        <v>387</v>
      </c>
      <c r="G166" s="4">
        <v>31456</v>
      </c>
      <c r="H166" s="6" t="s">
        <v>116</v>
      </c>
      <c r="I166">
        <v>282</v>
      </c>
      <c r="J166">
        <v>2</v>
      </c>
      <c r="K166">
        <v>564</v>
      </c>
      <c r="L166" s="6" t="s">
        <v>19</v>
      </c>
      <c r="M166" s="6" t="s">
        <v>20</v>
      </c>
      <c r="N166" s="6" t="s">
        <v>74</v>
      </c>
    </row>
    <row r="167" spans="1:14" x14ac:dyDescent="0.25">
      <c r="A167" s="6" t="s">
        <v>388</v>
      </c>
      <c r="B167" s="4">
        <v>45804</v>
      </c>
      <c r="C167" s="6" t="s">
        <v>2792</v>
      </c>
      <c r="D167" s="7">
        <v>0.65138888888888891</v>
      </c>
      <c r="E167" s="6" t="s">
        <v>16</v>
      </c>
      <c r="F167" s="6" t="s">
        <v>389</v>
      </c>
      <c r="G167" s="4">
        <v>36073</v>
      </c>
      <c r="H167" s="6" t="s">
        <v>85</v>
      </c>
      <c r="I167">
        <v>225</v>
      </c>
      <c r="J167">
        <v>1</v>
      </c>
      <c r="K167">
        <v>225</v>
      </c>
      <c r="L167" s="6" t="s">
        <v>2787</v>
      </c>
      <c r="M167" s="6" t="s">
        <v>61</v>
      </c>
      <c r="N167" s="6" t="s">
        <v>74</v>
      </c>
    </row>
    <row r="168" spans="1:14" x14ac:dyDescent="0.25">
      <c r="A168" s="6" t="s">
        <v>390</v>
      </c>
      <c r="B168" s="4">
        <v>45628</v>
      </c>
      <c r="C168" s="6" t="s">
        <v>2796</v>
      </c>
      <c r="D168" s="7">
        <v>0.56565972222222227</v>
      </c>
      <c r="E168" s="6" t="s">
        <v>16</v>
      </c>
      <c r="F168" s="6" t="s">
        <v>189</v>
      </c>
      <c r="G168" s="4">
        <v>26133</v>
      </c>
      <c r="H168" s="6" t="s">
        <v>213</v>
      </c>
      <c r="I168">
        <v>225</v>
      </c>
      <c r="J168">
        <v>2</v>
      </c>
      <c r="K168">
        <v>225</v>
      </c>
      <c r="L168" s="6" t="s">
        <v>19</v>
      </c>
      <c r="M168" s="6" t="s">
        <v>55</v>
      </c>
      <c r="N168" s="6" t="s">
        <v>48</v>
      </c>
    </row>
    <row r="169" spans="1:14" x14ac:dyDescent="0.25">
      <c r="A169" s="6" t="s">
        <v>391</v>
      </c>
      <c r="B169" s="4">
        <v>45949</v>
      </c>
      <c r="C169" s="6" t="s">
        <v>2791</v>
      </c>
      <c r="D169" s="7">
        <v>0.78131944444444446</v>
      </c>
      <c r="E169" s="6" t="s">
        <v>16</v>
      </c>
      <c r="F169" s="6" t="s">
        <v>387</v>
      </c>
      <c r="G169" s="4">
        <v>26133</v>
      </c>
      <c r="H169" s="6" t="s">
        <v>18</v>
      </c>
      <c r="I169">
        <v>108</v>
      </c>
      <c r="J169">
        <v>2</v>
      </c>
      <c r="K169">
        <v>218</v>
      </c>
      <c r="L169" s="6" t="s">
        <v>2787</v>
      </c>
      <c r="M169" s="6" t="s">
        <v>55</v>
      </c>
      <c r="N169" s="6" t="s">
        <v>48</v>
      </c>
    </row>
    <row r="170" spans="1:14" x14ac:dyDescent="0.25">
      <c r="A170" s="6" t="s">
        <v>394</v>
      </c>
      <c r="B170" s="4">
        <v>45815</v>
      </c>
      <c r="C170" s="6" t="s">
        <v>2800</v>
      </c>
      <c r="D170" s="7">
        <v>0.76180555555555551</v>
      </c>
      <c r="E170" s="6" t="s">
        <v>16</v>
      </c>
      <c r="F170" s="6" t="s">
        <v>222</v>
      </c>
      <c r="G170" s="4">
        <v>34599</v>
      </c>
      <c r="H170" s="6" t="s">
        <v>73</v>
      </c>
      <c r="I170">
        <v>55</v>
      </c>
      <c r="J170">
        <v>1</v>
      </c>
      <c r="K170">
        <v>55</v>
      </c>
      <c r="L170" s="6" t="s">
        <v>41</v>
      </c>
      <c r="M170" s="6" t="s">
        <v>20</v>
      </c>
      <c r="N170" s="6" t="s">
        <v>27</v>
      </c>
    </row>
    <row r="171" spans="1:14" x14ac:dyDescent="0.25">
      <c r="A171" s="6" t="s">
        <v>395</v>
      </c>
      <c r="B171" s="4">
        <v>45952</v>
      </c>
      <c r="C171" s="6" t="s">
        <v>2791</v>
      </c>
      <c r="D171" s="7">
        <v>0.62777777777777777</v>
      </c>
      <c r="E171" s="6" t="s">
        <v>16</v>
      </c>
      <c r="F171" s="6" t="s">
        <v>295</v>
      </c>
      <c r="G171" s="4">
        <v>29190</v>
      </c>
      <c r="H171" s="6" t="s">
        <v>259</v>
      </c>
      <c r="I171">
        <v>157</v>
      </c>
      <c r="J171">
        <v>3</v>
      </c>
      <c r="K171">
        <v>472</v>
      </c>
      <c r="L171" s="6" t="s">
        <v>67</v>
      </c>
      <c r="M171" s="6" t="s">
        <v>47</v>
      </c>
      <c r="N171" s="6" t="s">
        <v>33</v>
      </c>
    </row>
    <row r="172" spans="1:14" x14ac:dyDescent="0.25">
      <c r="A172" s="6" t="s">
        <v>396</v>
      </c>
      <c r="B172" s="4">
        <v>45952</v>
      </c>
      <c r="C172" s="6" t="s">
        <v>2791</v>
      </c>
      <c r="D172" s="7">
        <v>0.4894560185185185</v>
      </c>
      <c r="E172" s="6" t="s">
        <v>16</v>
      </c>
      <c r="F172" s="6" t="s">
        <v>397</v>
      </c>
      <c r="G172" s="4">
        <v>34056</v>
      </c>
      <c r="H172" s="6" t="s">
        <v>85</v>
      </c>
      <c r="I172">
        <v>245</v>
      </c>
      <c r="J172">
        <v>2</v>
      </c>
      <c r="K172">
        <v>491</v>
      </c>
      <c r="L172" s="6" t="s">
        <v>19</v>
      </c>
      <c r="M172" s="6" t="s">
        <v>61</v>
      </c>
      <c r="N172" s="6" t="s">
        <v>33</v>
      </c>
    </row>
    <row r="173" spans="1:14" x14ac:dyDescent="0.25">
      <c r="A173" s="6" t="s">
        <v>398</v>
      </c>
      <c r="B173" s="4">
        <v>45835</v>
      </c>
      <c r="C173" s="6" t="s">
        <v>2800</v>
      </c>
      <c r="D173" s="7">
        <v>0.82490740740740742</v>
      </c>
      <c r="E173" s="6" t="s">
        <v>16</v>
      </c>
      <c r="F173" s="6" t="s">
        <v>151</v>
      </c>
      <c r="G173" s="4">
        <v>39008</v>
      </c>
      <c r="H173" s="6" t="s">
        <v>243</v>
      </c>
      <c r="I173">
        <v>157</v>
      </c>
      <c r="J173">
        <v>2</v>
      </c>
      <c r="K173">
        <v>315</v>
      </c>
      <c r="L173" s="6" t="s">
        <v>41</v>
      </c>
      <c r="M173" s="6" t="s">
        <v>55</v>
      </c>
      <c r="N173" s="6" t="s">
        <v>33</v>
      </c>
    </row>
    <row r="174" spans="1:14" x14ac:dyDescent="0.25">
      <c r="A174" s="6" t="s">
        <v>400</v>
      </c>
      <c r="B174" s="4">
        <v>45766</v>
      </c>
      <c r="C174" s="6" t="s">
        <v>2801</v>
      </c>
      <c r="D174" s="7">
        <v>0.95298611111111109</v>
      </c>
      <c r="E174" s="6" t="s">
        <v>16</v>
      </c>
      <c r="F174" s="6" t="s">
        <v>328</v>
      </c>
      <c r="G174" s="4">
        <v>37695</v>
      </c>
      <c r="H174" s="6" t="s">
        <v>53</v>
      </c>
      <c r="I174">
        <v>99</v>
      </c>
      <c r="J174">
        <v>2</v>
      </c>
      <c r="K174">
        <v>199</v>
      </c>
      <c r="L174" s="6" t="s">
        <v>41</v>
      </c>
      <c r="M174" s="6" t="s">
        <v>26</v>
      </c>
      <c r="N174" s="6" t="s">
        <v>21</v>
      </c>
    </row>
    <row r="175" spans="1:14" x14ac:dyDescent="0.25">
      <c r="A175" s="6" t="s">
        <v>401</v>
      </c>
      <c r="B175" s="4">
        <v>45675</v>
      </c>
      <c r="C175" s="6" t="s">
        <v>2794</v>
      </c>
      <c r="D175" s="7">
        <v>0.48177083333333331</v>
      </c>
      <c r="E175" s="6" t="s">
        <v>16</v>
      </c>
      <c r="F175" s="6" t="s">
        <v>29</v>
      </c>
      <c r="G175" s="4">
        <v>38535</v>
      </c>
      <c r="H175" s="6" t="s">
        <v>178</v>
      </c>
      <c r="I175">
        <v>333</v>
      </c>
      <c r="J175">
        <v>1</v>
      </c>
      <c r="K175">
        <v>334</v>
      </c>
      <c r="L175" s="6" t="s">
        <v>67</v>
      </c>
      <c r="M175" s="6" t="s">
        <v>55</v>
      </c>
      <c r="N175" s="6" t="s">
        <v>48</v>
      </c>
    </row>
    <row r="176" spans="1:14" x14ac:dyDescent="0.25">
      <c r="A176" s="6" t="s">
        <v>402</v>
      </c>
      <c r="B176" s="4">
        <v>45623</v>
      </c>
      <c r="C176" s="6" t="s">
        <v>2802</v>
      </c>
      <c r="D176" s="7">
        <v>0.78541666666666665</v>
      </c>
      <c r="E176" s="6" t="s">
        <v>16</v>
      </c>
      <c r="F176" s="6" t="s">
        <v>307</v>
      </c>
      <c r="G176" s="4">
        <v>36356</v>
      </c>
      <c r="H176" s="6" t="s">
        <v>24</v>
      </c>
      <c r="I176">
        <v>208</v>
      </c>
      <c r="J176">
        <v>2</v>
      </c>
      <c r="K176">
        <v>417</v>
      </c>
      <c r="L176" s="6" t="s">
        <v>41</v>
      </c>
      <c r="M176" s="6" t="s">
        <v>37</v>
      </c>
      <c r="N176" s="6" t="s">
        <v>27</v>
      </c>
    </row>
    <row r="177" spans="1:14" x14ac:dyDescent="0.25">
      <c r="A177" s="6" t="s">
        <v>404</v>
      </c>
      <c r="B177" s="4">
        <v>45961</v>
      </c>
      <c r="C177" s="6" t="s">
        <v>2791</v>
      </c>
      <c r="D177" s="7">
        <v>0.74140046296296291</v>
      </c>
      <c r="E177" s="6" t="s">
        <v>16</v>
      </c>
      <c r="F177" s="6" t="s">
        <v>405</v>
      </c>
      <c r="G177" s="4">
        <v>34390</v>
      </c>
      <c r="H177" s="6" t="s">
        <v>129</v>
      </c>
      <c r="I177">
        <v>186</v>
      </c>
      <c r="J177">
        <v>1</v>
      </c>
      <c r="K177">
        <v>186</v>
      </c>
      <c r="L177" s="6" t="s">
        <v>2787</v>
      </c>
      <c r="M177" s="6" t="s">
        <v>20</v>
      </c>
      <c r="N177" s="6" t="s">
        <v>56</v>
      </c>
    </row>
    <row r="178" spans="1:14" x14ac:dyDescent="0.25">
      <c r="A178" s="6" t="s">
        <v>406</v>
      </c>
      <c r="B178" s="4">
        <v>45749</v>
      </c>
      <c r="C178" s="6" t="s">
        <v>2801</v>
      </c>
      <c r="D178" s="7">
        <v>0.52749999999999997</v>
      </c>
      <c r="E178" s="6" t="s">
        <v>16</v>
      </c>
      <c r="F178" s="6" t="s">
        <v>189</v>
      </c>
      <c r="G178" s="4">
        <v>39926</v>
      </c>
      <c r="H178" s="6" t="s">
        <v>259</v>
      </c>
      <c r="I178">
        <v>40</v>
      </c>
      <c r="J178">
        <v>1</v>
      </c>
      <c r="K178">
        <v>40</v>
      </c>
      <c r="L178" s="6" t="s">
        <v>19</v>
      </c>
      <c r="M178" s="6" t="s">
        <v>89</v>
      </c>
      <c r="N178" s="6" t="s">
        <v>48</v>
      </c>
    </row>
    <row r="179" spans="1:14" x14ac:dyDescent="0.25">
      <c r="A179" s="6" t="s">
        <v>407</v>
      </c>
      <c r="B179" s="4">
        <v>45876</v>
      </c>
      <c r="C179" s="6" t="s">
        <v>2793</v>
      </c>
      <c r="D179" s="7">
        <v>0.48843750000000002</v>
      </c>
      <c r="E179" s="6" t="s">
        <v>16</v>
      </c>
      <c r="F179" s="6" t="s">
        <v>408</v>
      </c>
      <c r="G179" s="4">
        <v>29687</v>
      </c>
      <c r="H179" s="6" t="s">
        <v>202</v>
      </c>
      <c r="I179">
        <v>296</v>
      </c>
      <c r="J179">
        <v>1</v>
      </c>
      <c r="K179">
        <v>297</v>
      </c>
      <c r="L179" s="6" t="s">
        <v>19</v>
      </c>
      <c r="M179" s="6" t="s">
        <v>55</v>
      </c>
      <c r="N179" s="6" t="s">
        <v>33</v>
      </c>
    </row>
    <row r="180" spans="1:14" x14ac:dyDescent="0.25">
      <c r="A180" s="6" t="s">
        <v>409</v>
      </c>
      <c r="B180" s="4">
        <v>45912</v>
      </c>
      <c r="C180" s="6" t="s">
        <v>2797</v>
      </c>
      <c r="D180" s="7">
        <v>0.46458333333333335</v>
      </c>
      <c r="E180" s="6" t="s">
        <v>16</v>
      </c>
      <c r="F180" s="6" t="s">
        <v>222</v>
      </c>
      <c r="G180" s="4">
        <v>39003</v>
      </c>
      <c r="H180" s="6" t="s">
        <v>126</v>
      </c>
      <c r="I180">
        <v>186</v>
      </c>
      <c r="J180">
        <v>1</v>
      </c>
      <c r="K180">
        <v>186</v>
      </c>
      <c r="L180" s="6" t="s">
        <v>67</v>
      </c>
      <c r="M180" s="6" t="s">
        <v>26</v>
      </c>
      <c r="N180" s="6" t="s">
        <v>33</v>
      </c>
    </row>
    <row r="181" spans="1:14" x14ac:dyDescent="0.25">
      <c r="A181" s="6" t="s">
        <v>410</v>
      </c>
      <c r="B181" s="4">
        <v>45912</v>
      </c>
      <c r="C181" s="6" t="s">
        <v>2797</v>
      </c>
      <c r="D181" s="7">
        <v>0.74791666666666667</v>
      </c>
      <c r="E181" s="6" t="s">
        <v>16</v>
      </c>
      <c r="F181" s="6" t="s">
        <v>411</v>
      </c>
      <c r="G181" s="4">
        <v>37766</v>
      </c>
      <c r="H181" s="6" t="s">
        <v>30</v>
      </c>
      <c r="I181">
        <v>290</v>
      </c>
      <c r="J181">
        <v>3</v>
      </c>
      <c r="K181">
        <v>871</v>
      </c>
      <c r="L181" s="6" t="s">
        <v>54</v>
      </c>
      <c r="M181" s="6" t="s">
        <v>26</v>
      </c>
      <c r="N181" s="6" t="s">
        <v>33</v>
      </c>
    </row>
    <row r="182" spans="1:14" x14ac:dyDescent="0.25">
      <c r="A182" s="6" t="s">
        <v>413</v>
      </c>
      <c r="B182" s="4">
        <v>45954</v>
      </c>
      <c r="C182" s="6" t="s">
        <v>2791</v>
      </c>
      <c r="D182" s="7">
        <v>0.82499999999999996</v>
      </c>
      <c r="E182" s="6" t="s">
        <v>16</v>
      </c>
      <c r="F182" s="6" t="s">
        <v>411</v>
      </c>
      <c r="G182" s="4">
        <v>38163</v>
      </c>
      <c r="H182" s="6" t="s">
        <v>77</v>
      </c>
      <c r="I182">
        <v>115</v>
      </c>
      <c r="J182">
        <v>1</v>
      </c>
      <c r="K182">
        <v>116</v>
      </c>
      <c r="L182" s="6" t="s">
        <v>19</v>
      </c>
      <c r="M182" s="6" t="s">
        <v>61</v>
      </c>
      <c r="N182" s="6" t="s">
        <v>105</v>
      </c>
    </row>
    <row r="183" spans="1:14" x14ac:dyDescent="0.25">
      <c r="A183" s="6" t="s">
        <v>414</v>
      </c>
      <c r="B183" s="4">
        <v>45954</v>
      </c>
      <c r="C183" s="6" t="s">
        <v>2791</v>
      </c>
      <c r="D183" s="7">
        <v>0.83548611111111115</v>
      </c>
      <c r="E183" s="6" t="s">
        <v>16</v>
      </c>
      <c r="F183" s="6" t="s">
        <v>405</v>
      </c>
      <c r="G183" s="4">
        <v>39742</v>
      </c>
      <c r="H183" s="6" t="s">
        <v>126</v>
      </c>
      <c r="I183">
        <v>111</v>
      </c>
      <c r="J183">
        <v>2</v>
      </c>
      <c r="K183">
        <v>222</v>
      </c>
      <c r="L183" s="6" t="s">
        <v>19</v>
      </c>
      <c r="M183" s="6" t="s">
        <v>61</v>
      </c>
      <c r="N183" s="6" t="s">
        <v>33</v>
      </c>
    </row>
    <row r="184" spans="1:14" x14ac:dyDescent="0.25">
      <c r="A184" s="6" t="s">
        <v>415</v>
      </c>
      <c r="B184" s="4">
        <v>45731</v>
      </c>
      <c r="C184" s="6" t="s">
        <v>2798</v>
      </c>
      <c r="D184" s="7">
        <v>0.64236111111111116</v>
      </c>
      <c r="E184" s="6" t="s">
        <v>16</v>
      </c>
      <c r="F184" s="6" t="s">
        <v>181</v>
      </c>
      <c r="G184" s="4">
        <v>36373</v>
      </c>
      <c r="H184" s="6" t="s">
        <v>85</v>
      </c>
      <c r="I184">
        <v>300</v>
      </c>
      <c r="J184">
        <v>2</v>
      </c>
      <c r="K184">
        <v>601</v>
      </c>
      <c r="L184" s="6" t="s">
        <v>41</v>
      </c>
      <c r="M184" s="6" t="s">
        <v>47</v>
      </c>
      <c r="N184" s="6" t="s">
        <v>33</v>
      </c>
    </row>
    <row r="185" spans="1:14" x14ac:dyDescent="0.25">
      <c r="A185" s="6" t="s">
        <v>416</v>
      </c>
      <c r="B185" s="4">
        <v>45897</v>
      </c>
      <c r="C185" s="6" t="s">
        <v>2793</v>
      </c>
      <c r="D185" s="7">
        <v>0.6694444444444444</v>
      </c>
      <c r="E185" s="6" t="s">
        <v>16</v>
      </c>
      <c r="F185" s="6" t="s">
        <v>281</v>
      </c>
      <c r="G185" s="4">
        <v>38886</v>
      </c>
      <c r="H185" s="6" t="s">
        <v>104</v>
      </c>
      <c r="I185">
        <v>287</v>
      </c>
      <c r="J185">
        <v>1</v>
      </c>
      <c r="K185">
        <v>287</v>
      </c>
      <c r="L185" s="6" t="s">
        <v>41</v>
      </c>
      <c r="M185" s="6" t="s">
        <v>32</v>
      </c>
      <c r="N185" s="6" t="s">
        <v>33</v>
      </c>
    </row>
    <row r="186" spans="1:14" x14ac:dyDescent="0.25">
      <c r="A186" s="6" t="s">
        <v>418</v>
      </c>
      <c r="B186" s="4">
        <v>45947</v>
      </c>
      <c r="C186" s="6" t="s">
        <v>2791</v>
      </c>
      <c r="D186" s="7">
        <v>0.57777777777777772</v>
      </c>
      <c r="E186" s="6" t="s">
        <v>16</v>
      </c>
      <c r="F186" s="6" t="s">
        <v>346</v>
      </c>
      <c r="G186" s="4">
        <v>36048</v>
      </c>
      <c r="H186" s="6" t="s">
        <v>141</v>
      </c>
      <c r="I186">
        <v>142</v>
      </c>
      <c r="J186">
        <v>1</v>
      </c>
      <c r="K186">
        <v>142</v>
      </c>
      <c r="L186" s="6" t="s">
        <v>41</v>
      </c>
      <c r="M186" s="6" t="s">
        <v>37</v>
      </c>
      <c r="N186" s="6" t="s">
        <v>48</v>
      </c>
    </row>
    <row r="187" spans="1:14" x14ac:dyDescent="0.25">
      <c r="A187" s="6" t="s">
        <v>419</v>
      </c>
      <c r="B187" s="4">
        <v>45648</v>
      </c>
      <c r="C187" s="6" t="s">
        <v>2796</v>
      </c>
      <c r="D187" s="7">
        <v>0.44832175925925927</v>
      </c>
      <c r="E187" s="6" t="s">
        <v>16</v>
      </c>
      <c r="F187" s="6" t="s">
        <v>420</v>
      </c>
      <c r="G187" s="4">
        <v>39284</v>
      </c>
      <c r="H187" s="6" t="s">
        <v>116</v>
      </c>
      <c r="I187">
        <v>258</v>
      </c>
      <c r="J187">
        <v>1</v>
      </c>
      <c r="L187" s="6" t="s">
        <v>41</v>
      </c>
      <c r="M187" s="6" t="s">
        <v>20</v>
      </c>
      <c r="N187" s="6" t="s">
        <v>27</v>
      </c>
    </row>
    <row r="188" spans="1:14" x14ac:dyDescent="0.25">
      <c r="A188" s="6" t="s">
        <v>422</v>
      </c>
      <c r="B188" s="4">
        <v>45660</v>
      </c>
      <c r="C188" s="6" t="s">
        <v>2794</v>
      </c>
      <c r="D188" s="7">
        <v>0.97847222222222219</v>
      </c>
      <c r="E188" s="6" t="s">
        <v>16</v>
      </c>
      <c r="F188" s="6" t="s">
        <v>227</v>
      </c>
      <c r="G188" s="4">
        <v>35700</v>
      </c>
      <c r="H188" s="6" t="s">
        <v>259</v>
      </c>
      <c r="I188">
        <v>301</v>
      </c>
      <c r="J188">
        <v>2</v>
      </c>
      <c r="K188">
        <v>603</v>
      </c>
      <c r="L188" s="6" t="s">
        <v>19</v>
      </c>
      <c r="M188" s="6" t="s">
        <v>37</v>
      </c>
      <c r="N188" s="6" t="s">
        <v>27</v>
      </c>
    </row>
    <row r="189" spans="1:14" x14ac:dyDescent="0.25">
      <c r="A189" s="6" t="s">
        <v>424</v>
      </c>
      <c r="B189" s="4">
        <v>45760</v>
      </c>
      <c r="C189" s="6" t="s">
        <v>2801</v>
      </c>
      <c r="D189" s="7">
        <v>0.78888888888888886</v>
      </c>
      <c r="E189" s="6" t="s">
        <v>16</v>
      </c>
      <c r="F189" s="6" t="s">
        <v>425</v>
      </c>
      <c r="G189" s="4">
        <v>27354</v>
      </c>
      <c r="H189" s="6" t="s">
        <v>116</v>
      </c>
      <c r="I189">
        <v>92</v>
      </c>
      <c r="J189">
        <v>1</v>
      </c>
      <c r="K189">
        <v>93</v>
      </c>
      <c r="L189" s="6" t="s">
        <v>2787</v>
      </c>
      <c r="M189" s="6" t="s">
        <v>89</v>
      </c>
      <c r="N189" s="6" t="s">
        <v>105</v>
      </c>
    </row>
    <row r="190" spans="1:14" x14ac:dyDescent="0.25">
      <c r="A190" s="6" t="s">
        <v>426</v>
      </c>
      <c r="B190" s="4">
        <v>45939</v>
      </c>
      <c r="C190" s="6" t="s">
        <v>2791</v>
      </c>
      <c r="D190" s="7">
        <v>0.79423611111111114</v>
      </c>
      <c r="E190" s="6" t="s">
        <v>16</v>
      </c>
      <c r="F190" s="6" t="s">
        <v>427</v>
      </c>
      <c r="G190" s="4">
        <v>28736</v>
      </c>
      <c r="H190" s="6" t="s">
        <v>199</v>
      </c>
      <c r="I190">
        <v>228</v>
      </c>
      <c r="J190">
        <v>1</v>
      </c>
      <c r="K190">
        <v>229</v>
      </c>
      <c r="L190" s="6" t="s">
        <v>54</v>
      </c>
      <c r="M190" s="6" t="s">
        <v>32</v>
      </c>
      <c r="N190" s="6" t="s">
        <v>21</v>
      </c>
    </row>
    <row r="191" spans="1:14" x14ac:dyDescent="0.25">
      <c r="A191" s="6" t="s">
        <v>428</v>
      </c>
      <c r="B191" s="4">
        <v>45691</v>
      </c>
      <c r="C191" s="6" t="s">
        <v>2799</v>
      </c>
      <c r="D191" s="7">
        <v>0.98041666666666671</v>
      </c>
      <c r="E191" s="6" t="s">
        <v>16</v>
      </c>
      <c r="F191" s="6" t="s">
        <v>95</v>
      </c>
      <c r="G191" s="4">
        <v>29330</v>
      </c>
      <c r="H191" s="6" t="s">
        <v>24</v>
      </c>
      <c r="I191">
        <v>206</v>
      </c>
      <c r="J191">
        <v>2</v>
      </c>
      <c r="K191">
        <v>413</v>
      </c>
      <c r="L191" s="6" t="s">
        <v>41</v>
      </c>
      <c r="M191" s="6" t="s">
        <v>55</v>
      </c>
      <c r="N191" s="6" t="s">
        <v>48</v>
      </c>
    </row>
    <row r="192" spans="1:14" x14ac:dyDescent="0.25">
      <c r="A192" s="6" t="s">
        <v>429</v>
      </c>
      <c r="B192" s="4">
        <v>45846</v>
      </c>
      <c r="C192" s="6" t="s">
        <v>2795</v>
      </c>
      <c r="D192" s="7">
        <v>0.77986111111111112</v>
      </c>
      <c r="E192" s="6" t="s">
        <v>16</v>
      </c>
      <c r="F192" s="6" t="s">
        <v>218</v>
      </c>
      <c r="G192" s="4">
        <v>31937</v>
      </c>
      <c r="H192" s="6" t="s">
        <v>259</v>
      </c>
      <c r="I192">
        <v>191</v>
      </c>
      <c r="J192">
        <v>1</v>
      </c>
      <c r="K192">
        <v>153</v>
      </c>
      <c r="L192" s="6" t="s">
        <v>41</v>
      </c>
      <c r="M192" s="6" t="s">
        <v>32</v>
      </c>
      <c r="N192" s="6" t="s">
        <v>33</v>
      </c>
    </row>
    <row r="193" spans="1:14" x14ac:dyDescent="0.25">
      <c r="A193" s="6" t="s">
        <v>430</v>
      </c>
      <c r="B193" s="4">
        <v>45762</v>
      </c>
      <c r="C193" s="6" t="s">
        <v>2801</v>
      </c>
      <c r="D193" s="7">
        <v>0.44374999999999998</v>
      </c>
      <c r="E193" s="6" t="s">
        <v>16</v>
      </c>
      <c r="F193" s="6" t="s">
        <v>198</v>
      </c>
      <c r="G193" s="4">
        <v>28184</v>
      </c>
      <c r="H193" s="6" t="s">
        <v>104</v>
      </c>
      <c r="I193">
        <v>299</v>
      </c>
      <c r="J193">
        <v>2</v>
      </c>
      <c r="K193">
        <v>599</v>
      </c>
      <c r="L193" s="6" t="s">
        <v>19</v>
      </c>
      <c r="M193" s="6" t="s">
        <v>89</v>
      </c>
      <c r="N193" s="6" t="s">
        <v>27</v>
      </c>
    </row>
    <row r="194" spans="1:14" x14ac:dyDescent="0.25">
      <c r="A194" s="6" t="s">
        <v>431</v>
      </c>
      <c r="B194" s="4">
        <v>45654</v>
      </c>
      <c r="C194" s="6" t="s">
        <v>2796</v>
      </c>
      <c r="D194" s="7">
        <v>0.68333333333333335</v>
      </c>
      <c r="E194" s="6" t="s">
        <v>16</v>
      </c>
      <c r="F194" s="6" t="s">
        <v>299</v>
      </c>
      <c r="G194" s="4">
        <v>30237</v>
      </c>
      <c r="H194" s="6" t="s">
        <v>77</v>
      </c>
      <c r="I194">
        <v>152</v>
      </c>
      <c r="J194">
        <v>1</v>
      </c>
      <c r="K194">
        <v>152</v>
      </c>
      <c r="L194" s="6" t="s">
        <v>54</v>
      </c>
      <c r="M194" s="6" t="s">
        <v>55</v>
      </c>
      <c r="N194" s="6" t="s">
        <v>74</v>
      </c>
    </row>
    <row r="195" spans="1:14" x14ac:dyDescent="0.25">
      <c r="A195" s="6" t="s">
        <v>432</v>
      </c>
      <c r="B195" s="4">
        <v>45753</v>
      </c>
      <c r="C195" s="6" t="s">
        <v>2801</v>
      </c>
      <c r="D195" s="7">
        <v>0.69166666666666665</v>
      </c>
      <c r="E195" s="6" t="s">
        <v>16</v>
      </c>
      <c r="F195" s="6" t="s">
        <v>101</v>
      </c>
      <c r="G195" s="4">
        <v>30237</v>
      </c>
      <c r="H195" s="6" t="s">
        <v>126</v>
      </c>
      <c r="I195">
        <v>51</v>
      </c>
      <c r="J195">
        <v>1</v>
      </c>
      <c r="K195">
        <v>52</v>
      </c>
      <c r="L195" s="6" t="s">
        <v>19</v>
      </c>
      <c r="M195" s="6" t="s">
        <v>26</v>
      </c>
      <c r="N195" s="6" t="s">
        <v>74</v>
      </c>
    </row>
    <row r="196" spans="1:14" x14ac:dyDescent="0.25">
      <c r="A196" s="6" t="s">
        <v>433</v>
      </c>
      <c r="B196" s="4">
        <v>45765</v>
      </c>
      <c r="C196" s="6" t="s">
        <v>2801</v>
      </c>
      <c r="D196" s="7">
        <v>0.75138888888888888</v>
      </c>
      <c r="E196" s="6" t="s">
        <v>16</v>
      </c>
      <c r="F196" s="6" t="s">
        <v>434</v>
      </c>
      <c r="G196" s="4">
        <v>40524</v>
      </c>
      <c r="H196" s="6" t="s">
        <v>30</v>
      </c>
      <c r="I196">
        <v>209</v>
      </c>
      <c r="J196">
        <v>2</v>
      </c>
      <c r="L196" s="6" t="s">
        <v>19</v>
      </c>
      <c r="M196" s="6" t="s">
        <v>55</v>
      </c>
      <c r="N196" s="6" t="s">
        <v>56</v>
      </c>
    </row>
    <row r="197" spans="1:14" x14ac:dyDescent="0.25">
      <c r="A197" s="6" t="s">
        <v>436</v>
      </c>
      <c r="B197" s="4">
        <v>45638</v>
      </c>
      <c r="C197" s="6" t="s">
        <v>2796</v>
      </c>
      <c r="D197" s="7">
        <v>0.94513888888888886</v>
      </c>
      <c r="E197" s="6" t="s">
        <v>16</v>
      </c>
      <c r="F197" s="6" t="s">
        <v>240</v>
      </c>
      <c r="G197" s="4">
        <v>27053</v>
      </c>
      <c r="H197" s="6" t="s">
        <v>18</v>
      </c>
      <c r="I197">
        <v>100</v>
      </c>
      <c r="J197">
        <v>1</v>
      </c>
      <c r="K197">
        <v>100</v>
      </c>
      <c r="L197" s="6" t="s">
        <v>19</v>
      </c>
      <c r="M197" s="6" t="s">
        <v>26</v>
      </c>
      <c r="N197" s="6" t="s">
        <v>56</v>
      </c>
    </row>
    <row r="198" spans="1:14" x14ac:dyDescent="0.25">
      <c r="A198" s="6" t="s">
        <v>437</v>
      </c>
      <c r="B198" s="4">
        <v>45921</v>
      </c>
      <c r="C198" s="6" t="s">
        <v>2797</v>
      </c>
      <c r="D198" s="7">
        <v>0.49388888888888888</v>
      </c>
      <c r="E198" s="6" t="s">
        <v>16</v>
      </c>
      <c r="F198" s="6" t="s">
        <v>222</v>
      </c>
      <c r="G198" s="4">
        <v>38965</v>
      </c>
      <c r="H198" s="6" t="s">
        <v>129</v>
      </c>
      <c r="I198">
        <v>149</v>
      </c>
      <c r="J198">
        <v>3</v>
      </c>
      <c r="K198">
        <v>409</v>
      </c>
      <c r="L198" s="6" t="s">
        <v>41</v>
      </c>
      <c r="M198" s="6" t="s">
        <v>37</v>
      </c>
      <c r="N198" s="6" t="s">
        <v>105</v>
      </c>
    </row>
    <row r="199" spans="1:14" x14ac:dyDescent="0.25">
      <c r="A199" s="6" t="s">
        <v>438</v>
      </c>
      <c r="B199" s="4">
        <v>45866</v>
      </c>
      <c r="C199" s="6" t="s">
        <v>2795</v>
      </c>
      <c r="D199" s="7">
        <v>0.54097222222222219</v>
      </c>
      <c r="E199" s="6" t="s">
        <v>16</v>
      </c>
      <c r="F199" s="6" t="s">
        <v>79</v>
      </c>
      <c r="G199" s="4">
        <v>36865</v>
      </c>
      <c r="H199" s="6" t="s">
        <v>77</v>
      </c>
      <c r="I199">
        <v>156</v>
      </c>
      <c r="J199">
        <v>1</v>
      </c>
      <c r="K199">
        <v>156</v>
      </c>
      <c r="L199" s="6" t="s">
        <v>19</v>
      </c>
      <c r="M199" s="6" t="s">
        <v>32</v>
      </c>
      <c r="N199" s="6" t="s">
        <v>105</v>
      </c>
    </row>
    <row r="200" spans="1:14" x14ac:dyDescent="0.25">
      <c r="A200" s="6" t="s">
        <v>439</v>
      </c>
      <c r="B200" s="4">
        <v>45876</v>
      </c>
      <c r="C200" s="6" t="s">
        <v>2793</v>
      </c>
      <c r="D200" s="7">
        <v>0.5854166666666667</v>
      </c>
      <c r="E200" s="6" t="s">
        <v>16</v>
      </c>
      <c r="F200" s="6" t="s">
        <v>358</v>
      </c>
      <c r="G200" s="4">
        <v>26319</v>
      </c>
      <c r="H200" s="6" t="s">
        <v>24</v>
      </c>
      <c r="I200">
        <v>199</v>
      </c>
      <c r="J200">
        <v>1</v>
      </c>
      <c r="K200">
        <v>200</v>
      </c>
      <c r="L200" s="6" t="s">
        <v>19</v>
      </c>
      <c r="M200" s="6" t="s">
        <v>20</v>
      </c>
      <c r="N200" s="6" t="s">
        <v>33</v>
      </c>
    </row>
    <row r="201" spans="1:14" x14ac:dyDescent="0.25">
      <c r="A201" s="6" t="s">
        <v>440</v>
      </c>
      <c r="B201" s="4">
        <v>45963</v>
      </c>
      <c r="C201" s="6" t="s">
        <v>2802</v>
      </c>
      <c r="D201" s="7">
        <v>0.92152777777777772</v>
      </c>
      <c r="E201" s="6" t="s">
        <v>16</v>
      </c>
      <c r="F201" s="6" t="s">
        <v>52</v>
      </c>
      <c r="G201" s="4">
        <v>34427</v>
      </c>
      <c r="H201" s="6" t="s">
        <v>178</v>
      </c>
      <c r="I201">
        <v>273</v>
      </c>
      <c r="J201">
        <v>3</v>
      </c>
      <c r="K201">
        <v>787</v>
      </c>
      <c r="L201" s="6" t="s">
        <v>19</v>
      </c>
      <c r="M201" s="6" t="s">
        <v>61</v>
      </c>
      <c r="N201" s="6" t="s">
        <v>74</v>
      </c>
    </row>
    <row r="202" spans="1:14" x14ac:dyDescent="0.25">
      <c r="A202" s="6" t="s">
        <v>441</v>
      </c>
      <c r="B202" s="4">
        <v>45704</v>
      </c>
      <c r="C202" s="6" t="s">
        <v>2799</v>
      </c>
      <c r="D202" s="7">
        <v>0.60972222222222228</v>
      </c>
      <c r="E202" s="6" t="s">
        <v>16</v>
      </c>
      <c r="F202" s="6" t="s">
        <v>161</v>
      </c>
      <c r="G202" s="4">
        <v>30726</v>
      </c>
      <c r="H202" s="6" t="s">
        <v>110</v>
      </c>
      <c r="I202">
        <v>90</v>
      </c>
      <c r="J202">
        <v>1</v>
      </c>
      <c r="K202">
        <v>91</v>
      </c>
      <c r="L202" s="6" t="s">
        <v>41</v>
      </c>
      <c r="M202" s="6" t="s">
        <v>55</v>
      </c>
      <c r="N202" s="6" t="s">
        <v>105</v>
      </c>
    </row>
    <row r="203" spans="1:14" x14ac:dyDescent="0.25">
      <c r="A203" s="6" t="s">
        <v>442</v>
      </c>
      <c r="B203" s="4">
        <v>45857</v>
      </c>
      <c r="C203" s="6" t="s">
        <v>2795</v>
      </c>
      <c r="D203" s="7">
        <v>0.68987268518518519</v>
      </c>
      <c r="E203" s="6" t="s">
        <v>16</v>
      </c>
      <c r="F203" s="6" t="s">
        <v>295</v>
      </c>
      <c r="G203" s="4">
        <v>38375</v>
      </c>
      <c r="H203" s="6" t="s">
        <v>199</v>
      </c>
      <c r="I203">
        <v>205</v>
      </c>
      <c r="J203">
        <v>1</v>
      </c>
      <c r="K203">
        <v>205</v>
      </c>
      <c r="L203" s="6" t="s">
        <v>19</v>
      </c>
      <c r="M203" s="6" t="s">
        <v>61</v>
      </c>
      <c r="N203" s="6" t="s">
        <v>105</v>
      </c>
    </row>
    <row r="204" spans="1:14" x14ac:dyDescent="0.25">
      <c r="A204" s="6" t="s">
        <v>443</v>
      </c>
      <c r="B204" s="4">
        <v>45938</v>
      </c>
      <c r="C204" s="6" t="s">
        <v>2791</v>
      </c>
      <c r="D204" s="7">
        <v>0.75159722222222225</v>
      </c>
      <c r="E204" s="6" t="s">
        <v>16</v>
      </c>
      <c r="F204" s="6" t="s">
        <v>118</v>
      </c>
      <c r="G204" s="4">
        <v>27678</v>
      </c>
      <c r="H204" s="6" t="s">
        <v>104</v>
      </c>
      <c r="I204">
        <v>261</v>
      </c>
      <c r="J204">
        <v>1</v>
      </c>
      <c r="K204">
        <v>262</v>
      </c>
      <c r="L204" s="6" t="s">
        <v>19</v>
      </c>
      <c r="M204" s="6" t="s">
        <v>61</v>
      </c>
      <c r="N204" s="6" t="s">
        <v>33</v>
      </c>
    </row>
    <row r="205" spans="1:14" x14ac:dyDescent="0.25">
      <c r="A205" s="6" t="s">
        <v>444</v>
      </c>
      <c r="B205" s="4">
        <v>45732</v>
      </c>
      <c r="C205" s="6" t="s">
        <v>2798</v>
      </c>
      <c r="D205" s="7">
        <v>0.78017361111111116</v>
      </c>
      <c r="E205" s="6" t="s">
        <v>16</v>
      </c>
      <c r="F205" s="6" t="s">
        <v>405</v>
      </c>
      <c r="G205" s="4">
        <v>37526</v>
      </c>
      <c r="H205" s="6" t="s">
        <v>243</v>
      </c>
      <c r="I205">
        <v>145</v>
      </c>
      <c r="J205">
        <v>2</v>
      </c>
      <c r="K205">
        <v>291</v>
      </c>
      <c r="L205" s="6" t="s">
        <v>41</v>
      </c>
      <c r="M205" s="6" t="s">
        <v>89</v>
      </c>
      <c r="N205" s="6" t="s">
        <v>21</v>
      </c>
    </row>
    <row r="206" spans="1:14" x14ac:dyDescent="0.25">
      <c r="A206" s="6" t="s">
        <v>445</v>
      </c>
      <c r="B206" s="4">
        <v>45672</v>
      </c>
      <c r="C206" s="6" t="s">
        <v>2794</v>
      </c>
      <c r="D206" s="7">
        <v>0.88124999999999998</v>
      </c>
      <c r="E206" s="6" t="s">
        <v>16</v>
      </c>
      <c r="F206" s="6" t="s">
        <v>446</v>
      </c>
      <c r="G206" s="4">
        <v>35387</v>
      </c>
      <c r="H206" s="6" t="s">
        <v>141</v>
      </c>
      <c r="I206">
        <v>119</v>
      </c>
      <c r="J206">
        <v>3</v>
      </c>
      <c r="K206">
        <v>358</v>
      </c>
      <c r="L206" s="6" t="s">
        <v>19</v>
      </c>
      <c r="M206" s="6" t="s">
        <v>32</v>
      </c>
      <c r="N206" s="6" t="s">
        <v>21</v>
      </c>
    </row>
    <row r="207" spans="1:14" x14ac:dyDescent="0.25">
      <c r="A207" s="6" t="s">
        <v>448</v>
      </c>
      <c r="B207" s="4">
        <v>45920</v>
      </c>
      <c r="C207" s="6" t="s">
        <v>2797</v>
      </c>
      <c r="D207" s="7">
        <v>0.72152777777777777</v>
      </c>
      <c r="E207" s="6" t="s">
        <v>16</v>
      </c>
      <c r="F207" s="6" t="s">
        <v>389</v>
      </c>
      <c r="G207" s="4">
        <v>34114</v>
      </c>
      <c r="H207" s="6" t="s">
        <v>126</v>
      </c>
      <c r="I207">
        <v>104</v>
      </c>
      <c r="J207">
        <v>1</v>
      </c>
      <c r="K207">
        <v>104</v>
      </c>
      <c r="L207" s="6" t="s">
        <v>19</v>
      </c>
      <c r="M207" s="6" t="s">
        <v>89</v>
      </c>
      <c r="N207" s="6" t="s">
        <v>56</v>
      </c>
    </row>
    <row r="208" spans="1:14" x14ac:dyDescent="0.25">
      <c r="A208" s="6" t="s">
        <v>450</v>
      </c>
      <c r="B208" s="4">
        <v>45711</v>
      </c>
      <c r="C208" s="6" t="s">
        <v>2799</v>
      </c>
      <c r="D208" s="7">
        <v>0.84722222222222221</v>
      </c>
      <c r="E208" s="6" t="s">
        <v>16</v>
      </c>
      <c r="F208" s="6" t="s">
        <v>451</v>
      </c>
      <c r="G208" s="4">
        <v>32540</v>
      </c>
      <c r="H208" s="6" t="s">
        <v>93</v>
      </c>
      <c r="I208">
        <v>153</v>
      </c>
      <c r="J208">
        <v>3</v>
      </c>
      <c r="K208">
        <v>460</v>
      </c>
      <c r="L208" s="6" t="s">
        <v>19</v>
      </c>
      <c r="M208" s="6" t="s">
        <v>32</v>
      </c>
      <c r="N208" s="6" t="s">
        <v>21</v>
      </c>
    </row>
    <row r="209" spans="1:14" x14ac:dyDescent="0.25">
      <c r="A209" s="6" t="s">
        <v>452</v>
      </c>
      <c r="B209" s="4">
        <v>45862</v>
      </c>
      <c r="C209" s="6" t="s">
        <v>2795</v>
      </c>
      <c r="D209" s="7">
        <v>0.85771990740740744</v>
      </c>
      <c r="E209" s="6" t="s">
        <v>16</v>
      </c>
      <c r="F209" s="6" t="s">
        <v>201</v>
      </c>
      <c r="G209" s="4">
        <v>33645</v>
      </c>
      <c r="H209" s="6" t="s">
        <v>30</v>
      </c>
      <c r="I209">
        <v>209</v>
      </c>
      <c r="J209">
        <v>2</v>
      </c>
      <c r="K209">
        <v>419</v>
      </c>
      <c r="L209" s="6" t="s">
        <v>54</v>
      </c>
      <c r="M209" s="6" t="s">
        <v>32</v>
      </c>
      <c r="N209" s="6" t="s">
        <v>74</v>
      </c>
    </row>
    <row r="210" spans="1:14" x14ac:dyDescent="0.25">
      <c r="A210" s="6" t="s">
        <v>453</v>
      </c>
      <c r="B210" s="4">
        <v>45692</v>
      </c>
      <c r="C210" s="6" t="s">
        <v>2799</v>
      </c>
      <c r="D210" s="7">
        <v>0.64166666666666672</v>
      </c>
      <c r="E210" s="6" t="s">
        <v>16</v>
      </c>
      <c r="F210" s="6" t="s">
        <v>264</v>
      </c>
      <c r="G210" s="4">
        <v>38390</v>
      </c>
      <c r="H210" s="6" t="s">
        <v>178</v>
      </c>
      <c r="I210">
        <v>325</v>
      </c>
      <c r="J210">
        <v>1</v>
      </c>
      <c r="K210">
        <v>326</v>
      </c>
      <c r="L210" s="6" t="s">
        <v>19</v>
      </c>
      <c r="M210" s="6" t="s">
        <v>26</v>
      </c>
      <c r="N210" s="6" t="s">
        <v>74</v>
      </c>
    </row>
    <row r="211" spans="1:14" x14ac:dyDescent="0.25">
      <c r="A211" s="6" t="s">
        <v>455</v>
      </c>
      <c r="B211" s="4">
        <v>45692</v>
      </c>
      <c r="C211" s="6" t="s">
        <v>2799</v>
      </c>
      <c r="D211" s="7">
        <v>0.87380787037037033</v>
      </c>
      <c r="E211" s="6" t="s">
        <v>16</v>
      </c>
      <c r="F211" s="6" t="s">
        <v>397</v>
      </c>
      <c r="G211" s="4">
        <v>28586</v>
      </c>
      <c r="H211" s="6" t="s">
        <v>60</v>
      </c>
      <c r="I211">
        <v>195</v>
      </c>
      <c r="J211">
        <v>2</v>
      </c>
      <c r="K211">
        <v>390</v>
      </c>
      <c r="L211" s="6" t="s">
        <v>2787</v>
      </c>
      <c r="M211" s="6" t="s">
        <v>20</v>
      </c>
      <c r="N211" s="6" t="s">
        <v>27</v>
      </c>
    </row>
    <row r="212" spans="1:14" x14ac:dyDescent="0.25">
      <c r="A212" s="6" t="s">
        <v>456</v>
      </c>
      <c r="B212" s="4">
        <v>45868</v>
      </c>
      <c r="C212" s="6" t="s">
        <v>2795</v>
      </c>
      <c r="D212" s="7">
        <v>0.42208333333333331</v>
      </c>
      <c r="E212" s="6" t="s">
        <v>16</v>
      </c>
      <c r="F212" s="6" t="s">
        <v>208</v>
      </c>
      <c r="G212" s="4">
        <v>36813</v>
      </c>
      <c r="H212" s="6" t="s">
        <v>40</v>
      </c>
      <c r="I212">
        <v>196</v>
      </c>
      <c r="J212">
        <v>1</v>
      </c>
      <c r="K212">
        <v>197</v>
      </c>
      <c r="L212" s="6" t="s">
        <v>19</v>
      </c>
      <c r="M212" s="6" t="s">
        <v>20</v>
      </c>
      <c r="N212" s="6" t="s">
        <v>56</v>
      </c>
    </row>
    <row r="213" spans="1:14" x14ac:dyDescent="0.25">
      <c r="A213" s="6" t="s">
        <v>457</v>
      </c>
      <c r="B213" s="4">
        <v>45641</v>
      </c>
      <c r="C213" s="6" t="s">
        <v>2796</v>
      </c>
      <c r="D213" s="7">
        <v>0.7583333333333333</v>
      </c>
      <c r="E213" s="6" t="s">
        <v>16</v>
      </c>
      <c r="F213" s="6" t="s">
        <v>458</v>
      </c>
      <c r="G213" s="4">
        <v>33051</v>
      </c>
      <c r="H213" s="6" t="s">
        <v>104</v>
      </c>
      <c r="I213">
        <v>280</v>
      </c>
      <c r="J213">
        <v>1</v>
      </c>
      <c r="K213">
        <v>280</v>
      </c>
      <c r="L213" s="6" t="s">
        <v>67</v>
      </c>
      <c r="M213" s="6" t="s">
        <v>47</v>
      </c>
      <c r="N213" s="6" t="s">
        <v>56</v>
      </c>
    </row>
    <row r="214" spans="1:14" x14ac:dyDescent="0.25">
      <c r="A214" s="6" t="s">
        <v>459</v>
      </c>
      <c r="B214" s="4">
        <v>45931</v>
      </c>
      <c r="C214" s="6" t="s">
        <v>2791</v>
      </c>
      <c r="D214" s="7">
        <v>0.68680555555555556</v>
      </c>
      <c r="E214" s="6" t="s">
        <v>16</v>
      </c>
      <c r="F214" s="6" t="s">
        <v>229</v>
      </c>
      <c r="G214" s="4">
        <v>32854</v>
      </c>
      <c r="H214" s="6" t="s">
        <v>178</v>
      </c>
      <c r="I214">
        <v>313</v>
      </c>
      <c r="J214">
        <v>1</v>
      </c>
      <c r="K214">
        <v>314</v>
      </c>
      <c r="L214" s="6" t="s">
        <v>67</v>
      </c>
      <c r="M214" s="6" t="s">
        <v>37</v>
      </c>
      <c r="N214" s="6" t="s">
        <v>21</v>
      </c>
    </row>
    <row r="215" spans="1:14" x14ac:dyDescent="0.25">
      <c r="A215" s="6" t="s">
        <v>461</v>
      </c>
      <c r="B215" s="4">
        <v>45834</v>
      </c>
      <c r="C215" s="6" t="s">
        <v>2800</v>
      </c>
      <c r="D215" s="7">
        <v>0.45959490740740738</v>
      </c>
      <c r="E215" s="6" t="s">
        <v>16</v>
      </c>
      <c r="F215" s="6" t="s">
        <v>462</v>
      </c>
      <c r="G215" s="4">
        <v>37531</v>
      </c>
      <c r="H215" s="6" t="s">
        <v>85</v>
      </c>
      <c r="I215">
        <v>271</v>
      </c>
      <c r="J215">
        <v>2</v>
      </c>
      <c r="K215">
        <v>542</v>
      </c>
      <c r="L215" s="6" t="s">
        <v>41</v>
      </c>
      <c r="M215" s="6" t="s">
        <v>47</v>
      </c>
      <c r="N215" s="6" t="s">
        <v>21</v>
      </c>
    </row>
    <row r="216" spans="1:14" x14ac:dyDescent="0.25">
      <c r="A216" s="6" t="s">
        <v>463</v>
      </c>
      <c r="B216" s="4">
        <v>45908</v>
      </c>
      <c r="C216" s="6" t="s">
        <v>2797</v>
      </c>
      <c r="D216" s="7">
        <v>0.75902777777777775</v>
      </c>
      <c r="E216" s="6" t="s">
        <v>16</v>
      </c>
      <c r="F216" s="6" t="s">
        <v>389</v>
      </c>
      <c r="G216" s="4">
        <v>27867</v>
      </c>
      <c r="H216" s="6" t="s">
        <v>178</v>
      </c>
      <c r="I216">
        <v>329</v>
      </c>
      <c r="J216">
        <v>2</v>
      </c>
      <c r="K216">
        <v>659</v>
      </c>
      <c r="L216" s="6" t="s">
        <v>19</v>
      </c>
      <c r="M216" s="6" t="s">
        <v>89</v>
      </c>
      <c r="N216" s="6" t="s">
        <v>21</v>
      </c>
    </row>
    <row r="217" spans="1:14" x14ac:dyDescent="0.25">
      <c r="A217" s="6" t="s">
        <v>464</v>
      </c>
      <c r="B217" s="4">
        <v>45637</v>
      </c>
      <c r="C217" s="6" t="s">
        <v>2796</v>
      </c>
      <c r="D217" s="7">
        <v>0.47520833333333334</v>
      </c>
      <c r="E217" s="6" t="s">
        <v>16</v>
      </c>
      <c r="F217" s="6" t="s">
        <v>466</v>
      </c>
      <c r="G217" s="4">
        <v>30939</v>
      </c>
      <c r="H217" s="6" t="s">
        <v>36</v>
      </c>
      <c r="I217">
        <v>247</v>
      </c>
      <c r="J217">
        <v>1</v>
      </c>
      <c r="K217">
        <v>247</v>
      </c>
      <c r="L217" s="6" t="s">
        <v>19</v>
      </c>
      <c r="M217" s="6" t="s">
        <v>37</v>
      </c>
      <c r="N217" s="6" t="s">
        <v>21</v>
      </c>
    </row>
    <row r="218" spans="1:14" x14ac:dyDescent="0.25">
      <c r="A218" s="6" t="s">
        <v>467</v>
      </c>
      <c r="B218" s="4">
        <v>45803</v>
      </c>
      <c r="C218" s="6" t="s">
        <v>2792</v>
      </c>
      <c r="D218" s="7">
        <v>0.56868055555555552</v>
      </c>
      <c r="E218" s="6" t="s">
        <v>16</v>
      </c>
      <c r="F218" s="6" t="s">
        <v>52</v>
      </c>
      <c r="G218" s="4">
        <v>32136</v>
      </c>
      <c r="H218" s="6" t="s">
        <v>40</v>
      </c>
      <c r="I218">
        <v>193</v>
      </c>
      <c r="J218">
        <v>2</v>
      </c>
      <c r="K218">
        <v>387</v>
      </c>
      <c r="L218" s="6" t="s">
        <v>41</v>
      </c>
      <c r="M218" s="6" t="s">
        <v>55</v>
      </c>
      <c r="N218" s="6" t="s">
        <v>21</v>
      </c>
    </row>
    <row r="219" spans="1:14" x14ac:dyDescent="0.25">
      <c r="A219" s="6" t="s">
        <v>468</v>
      </c>
      <c r="B219" s="4">
        <v>45644</v>
      </c>
      <c r="C219" s="6" t="s">
        <v>2796</v>
      </c>
      <c r="D219" s="7">
        <v>0.83415509259259257</v>
      </c>
      <c r="E219" s="6" t="s">
        <v>16</v>
      </c>
      <c r="F219" s="6" t="s">
        <v>332</v>
      </c>
      <c r="G219" s="4">
        <v>27812</v>
      </c>
      <c r="H219" s="6" t="s">
        <v>116</v>
      </c>
      <c r="I219">
        <v>103</v>
      </c>
      <c r="J219">
        <v>1</v>
      </c>
      <c r="K219">
        <v>103</v>
      </c>
      <c r="L219" s="6" t="s">
        <v>41</v>
      </c>
      <c r="M219" s="6" t="s">
        <v>61</v>
      </c>
      <c r="N219" s="6" t="s">
        <v>21</v>
      </c>
    </row>
    <row r="220" spans="1:14" x14ac:dyDescent="0.25">
      <c r="A220" s="6" t="s">
        <v>470</v>
      </c>
      <c r="B220" s="4">
        <v>45635</v>
      </c>
      <c r="C220" s="6" t="s">
        <v>2796</v>
      </c>
      <c r="D220" s="7">
        <v>0.88230324074074074</v>
      </c>
      <c r="E220" s="6" t="s">
        <v>16</v>
      </c>
      <c r="F220" s="6" t="s">
        <v>471</v>
      </c>
      <c r="G220" s="4">
        <v>28420</v>
      </c>
      <c r="H220" s="6" t="s">
        <v>145</v>
      </c>
      <c r="I220">
        <v>197</v>
      </c>
      <c r="J220">
        <v>1</v>
      </c>
      <c r="K220">
        <v>197</v>
      </c>
      <c r="L220" s="6" t="s">
        <v>19</v>
      </c>
      <c r="M220" s="6" t="s">
        <v>32</v>
      </c>
      <c r="N220" s="6" t="s">
        <v>105</v>
      </c>
    </row>
    <row r="221" spans="1:14" x14ac:dyDescent="0.25">
      <c r="A221" s="6" t="s">
        <v>472</v>
      </c>
      <c r="B221" s="4">
        <v>45937</v>
      </c>
      <c r="C221" s="6" t="s">
        <v>2791</v>
      </c>
      <c r="D221" s="7">
        <v>0.6821990740740741</v>
      </c>
      <c r="E221" s="6" t="s">
        <v>16</v>
      </c>
      <c r="F221" s="6" t="s">
        <v>473</v>
      </c>
      <c r="G221" s="4">
        <v>32784</v>
      </c>
      <c r="H221" s="6" t="s">
        <v>45</v>
      </c>
      <c r="I221">
        <v>229</v>
      </c>
      <c r="J221">
        <v>1</v>
      </c>
      <c r="K221">
        <v>230</v>
      </c>
      <c r="L221" s="6" t="s">
        <v>41</v>
      </c>
      <c r="M221" s="6" t="s">
        <v>32</v>
      </c>
      <c r="N221" s="6" t="s">
        <v>21</v>
      </c>
    </row>
    <row r="222" spans="1:14" x14ac:dyDescent="0.25">
      <c r="A222" s="6" t="s">
        <v>474</v>
      </c>
      <c r="B222" s="4">
        <v>45867</v>
      </c>
      <c r="C222" s="6" t="s">
        <v>2795</v>
      </c>
      <c r="D222" s="7">
        <v>0.64652777777777781</v>
      </c>
      <c r="E222" s="6" t="s">
        <v>16</v>
      </c>
      <c r="F222" s="6" t="s">
        <v>475</v>
      </c>
      <c r="G222" s="4">
        <v>35536</v>
      </c>
      <c r="H222" s="6" t="s">
        <v>141</v>
      </c>
      <c r="I222">
        <v>123</v>
      </c>
      <c r="J222">
        <v>3</v>
      </c>
      <c r="K222">
        <v>372</v>
      </c>
      <c r="L222" s="6" t="s">
        <v>19</v>
      </c>
      <c r="M222" s="6" t="s">
        <v>61</v>
      </c>
      <c r="N222" s="6" t="s">
        <v>74</v>
      </c>
    </row>
    <row r="223" spans="1:14" x14ac:dyDescent="0.25">
      <c r="A223" s="6" t="s">
        <v>476</v>
      </c>
      <c r="B223" s="4">
        <v>45724</v>
      </c>
      <c r="C223" s="6" t="s">
        <v>2798</v>
      </c>
      <c r="D223" s="7">
        <v>0.86944444444444446</v>
      </c>
      <c r="E223" s="6" t="s">
        <v>16</v>
      </c>
      <c r="F223" s="6" t="s">
        <v>125</v>
      </c>
      <c r="G223" s="4">
        <v>35255</v>
      </c>
      <c r="H223" s="6" t="s">
        <v>202</v>
      </c>
      <c r="I223">
        <v>196</v>
      </c>
      <c r="J223">
        <v>3</v>
      </c>
      <c r="K223">
        <v>591</v>
      </c>
      <c r="L223" s="6" t="s">
        <v>41</v>
      </c>
      <c r="M223" s="6" t="s">
        <v>55</v>
      </c>
      <c r="N223" s="6" t="s">
        <v>74</v>
      </c>
    </row>
    <row r="224" spans="1:14" x14ac:dyDescent="0.25">
      <c r="A224" s="6" t="s">
        <v>477</v>
      </c>
      <c r="B224" s="4">
        <v>45719</v>
      </c>
      <c r="C224" s="6" t="s">
        <v>2798</v>
      </c>
      <c r="D224" s="7">
        <v>0.54791666666666672</v>
      </c>
      <c r="E224" s="6" t="s">
        <v>16</v>
      </c>
      <c r="F224" s="6" t="s">
        <v>125</v>
      </c>
      <c r="G224" s="4">
        <v>27340</v>
      </c>
      <c r="H224" s="6" t="s">
        <v>53</v>
      </c>
      <c r="I224">
        <v>91</v>
      </c>
      <c r="J224">
        <v>2</v>
      </c>
      <c r="K224">
        <v>183</v>
      </c>
      <c r="L224" s="6" t="s">
        <v>54</v>
      </c>
      <c r="M224" s="6" t="s">
        <v>47</v>
      </c>
      <c r="N224" s="6" t="s">
        <v>27</v>
      </c>
    </row>
    <row r="225" spans="1:14" x14ac:dyDescent="0.25">
      <c r="A225" s="6" t="s">
        <v>478</v>
      </c>
      <c r="B225" s="4">
        <v>45756</v>
      </c>
      <c r="C225" s="6" t="s">
        <v>2801</v>
      </c>
      <c r="D225" s="7">
        <v>0.95208333333333328</v>
      </c>
      <c r="E225" s="6" t="s">
        <v>16</v>
      </c>
      <c r="F225" s="6" t="s">
        <v>377</v>
      </c>
      <c r="G225" s="4">
        <v>36893</v>
      </c>
      <c r="H225" s="6" t="s">
        <v>40</v>
      </c>
      <c r="I225">
        <v>210</v>
      </c>
      <c r="J225">
        <v>3</v>
      </c>
      <c r="K225">
        <v>630</v>
      </c>
      <c r="L225" s="6" t="s">
        <v>2787</v>
      </c>
      <c r="M225" s="6" t="s">
        <v>61</v>
      </c>
      <c r="N225" s="6" t="s">
        <v>21</v>
      </c>
    </row>
    <row r="226" spans="1:14" x14ac:dyDescent="0.25">
      <c r="A226" s="6" t="s">
        <v>479</v>
      </c>
      <c r="B226" s="4">
        <v>45738</v>
      </c>
      <c r="C226" s="6" t="s">
        <v>2798</v>
      </c>
      <c r="D226" s="7">
        <v>0.66180555555555554</v>
      </c>
      <c r="E226" s="6" t="s">
        <v>16</v>
      </c>
      <c r="F226" s="6" t="s">
        <v>95</v>
      </c>
      <c r="G226" s="4">
        <v>27826</v>
      </c>
      <c r="H226" s="6" t="s">
        <v>45</v>
      </c>
      <c r="I226">
        <v>312</v>
      </c>
      <c r="J226">
        <v>1</v>
      </c>
      <c r="K226">
        <v>312</v>
      </c>
      <c r="L226" s="6" t="s">
        <v>2787</v>
      </c>
      <c r="M226" s="6" t="s">
        <v>55</v>
      </c>
      <c r="N226" s="6" t="s">
        <v>105</v>
      </c>
    </row>
    <row r="227" spans="1:14" x14ac:dyDescent="0.25">
      <c r="A227" s="6" t="s">
        <v>480</v>
      </c>
      <c r="B227" s="4">
        <v>45956</v>
      </c>
      <c r="C227" s="6" t="s">
        <v>2791</v>
      </c>
      <c r="D227" s="7">
        <v>0.91527777777777775</v>
      </c>
      <c r="E227" s="6" t="s">
        <v>16</v>
      </c>
      <c r="F227" s="6" t="s">
        <v>434</v>
      </c>
      <c r="G227" s="4">
        <v>27826</v>
      </c>
      <c r="H227" s="6" t="s">
        <v>53</v>
      </c>
      <c r="I227">
        <v>122</v>
      </c>
      <c r="J227">
        <v>1</v>
      </c>
      <c r="K227">
        <v>123</v>
      </c>
      <c r="L227" s="6" t="s">
        <v>41</v>
      </c>
      <c r="M227" s="6" t="s">
        <v>55</v>
      </c>
      <c r="N227" s="6" t="s">
        <v>48</v>
      </c>
    </row>
    <row r="228" spans="1:14" x14ac:dyDescent="0.25">
      <c r="A228" s="6" t="s">
        <v>481</v>
      </c>
      <c r="B228" s="4">
        <v>45658</v>
      </c>
      <c r="C228" s="6" t="s">
        <v>2794</v>
      </c>
      <c r="D228" s="7">
        <v>0.74127314814814815</v>
      </c>
      <c r="E228" s="6" t="s">
        <v>16</v>
      </c>
      <c r="F228" s="6" t="s">
        <v>131</v>
      </c>
      <c r="G228" s="4">
        <v>29564</v>
      </c>
      <c r="H228" s="6" t="s">
        <v>243</v>
      </c>
      <c r="I228">
        <v>149</v>
      </c>
      <c r="J228">
        <v>1</v>
      </c>
      <c r="K228">
        <v>150</v>
      </c>
      <c r="L228" s="6" t="s">
        <v>19</v>
      </c>
      <c r="M228" s="6" t="s">
        <v>26</v>
      </c>
      <c r="N228" s="6" t="s">
        <v>27</v>
      </c>
    </row>
    <row r="229" spans="1:14" x14ac:dyDescent="0.25">
      <c r="A229" s="6" t="s">
        <v>483</v>
      </c>
      <c r="B229" s="4">
        <v>45744</v>
      </c>
      <c r="C229" s="6" t="s">
        <v>2798</v>
      </c>
      <c r="D229" s="7">
        <v>0.98521990740740739</v>
      </c>
      <c r="E229" s="6" t="s">
        <v>16</v>
      </c>
      <c r="F229" s="6" t="s">
        <v>451</v>
      </c>
      <c r="G229" s="4">
        <v>31493</v>
      </c>
      <c r="H229" s="6" t="s">
        <v>178</v>
      </c>
      <c r="I229">
        <v>274</v>
      </c>
      <c r="J229">
        <v>3</v>
      </c>
      <c r="K229">
        <v>823</v>
      </c>
      <c r="L229" s="6" t="s">
        <v>19</v>
      </c>
      <c r="M229" s="6" t="s">
        <v>47</v>
      </c>
      <c r="N229" s="6" t="s">
        <v>48</v>
      </c>
    </row>
    <row r="230" spans="1:14" x14ac:dyDescent="0.25">
      <c r="A230" s="6" t="s">
        <v>484</v>
      </c>
      <c r="B230" s="4">
        <v>45976</v>
      </c>
      <c r="C230" s="6" t="s">
        <v>2802</v>
      </c>
      <c r="D230" s="7">
        <v>0.69374999999999998</v>
      </c>
      <c r="E230" s="6" t="s">
        <v>16</v>
      </c>
      <c r="F230" s="6" t="s">
        <v>389</v>
      </c>
      <c r="G230" s="4">
        <v>38749</v>
      </c>
      <c r="H230" s="6" t="s">
        <v>104</v>
      </c>
      <c r="I230">
        <v>242</v>
      </c>
      <c r="J230">
        <v>2</v>
      </c>
      <c r="K230">
        <v>486</v>
      </c>
      <c r="L230" s="6" t="s">
        <v>2787</v>
      </c>
      <c r="M230" s="6" t="s">
        <v>47</v>
      </c>
      <c r="N230" s="6" t="s">
        <v>74</v>
      </c>
    </row>
    <row r="231" spans="1:14" x14ac:dyDescent="0.25">
      <c r="A231" s="6" t="s">
        <v>485</v>
      </c>
      <c r="B231" s="4">
        <v>45709</v>
      </c>
      <c r="C231" s="6" t="s">
        <v>2799</v>
      </c>
      <c r="D231" s="7">
        <v>0.42916666666666664</v>
      </c>
      <c r="E231" s="6" t="s">
        <v>16</v>
      </c>
      <c r="F231" s="6" t="s">
        <v>50</v>
      </c>
      <c r="G231" s="4">
        <v>36192</v>
      </c>
      <c r="H231" s="6" t="s">
        <v>126</v>
      </c>
      <c r="I231">
        <v>288</v>
      </c>
      <c r="J231">
        <v>2</v>
      </c>
      <c r="K231">
        <v>577</v>
      </c>
      <c r="L231" s="6" t="s">
        <v>54</v>
      </c>
      <c r="M231" s="6" t="s">
        <v>55</v>
      </c>
      <c r="N231" s="6" t="s">
        <v>48</v>
      </c>
    </row>
    <row r="232" spans="1:14" x14ac:dyDescent="0.25">
      <c r="A232" s="6" t="s">
        <v>486</v>
      </c>
      <c r="B232" s="4">
        <v>45875</v>
      </c>
      <c r="C232" s="6" t="s">
        <v>2793</v>
      </c>
      <c r="D232" s="7">
        <v>0.6958333333333333</v>
      </c>
      <c r="E232" s="6" t="s">
        <v>16</v>
      </c>
      <c r="F232" s="6" t="s">
        <v>140</v>
      </c>
      <c r="G232" s="4">
        <v>37479</v>
      </c>
      <c r="H232" s="6" t="s">
        <v>110</v>
      </c>
      <c r="I232">
        <v>95</v>
      </c>
      <c r="J232">
        <v>2</v>
      </c>
      <c r="K232">
        <v>192</v>
      </c>
      <c r="L232" s="6" t="s">
        <v>2787</v>
      </c>
      <c r="M232" s="6" t="s">
        <v>89</v>
      </c>
      <c r="N232" s="6" t="s">
        <v>48</v>
      </c>
    </row>
    <row r="233" spans="1:14" x14ac:dyDescent="0.25">
      <c r="A233" s="6" t="s">
        <v>488</v>
      </c>
      <c r="B233" s="4">
        <v>45881</v>
      </c>
      <c r="C233" s="6" t="s">
        <v>2793</v>
      </c>
      <c r="D233" s="7">
        <v>0.65763888888888888</v>
      </c>
      <c r="E233" s="6" t="s">
        <v>16</v>
      </c>
      <c r="F233" s="6" t="s">
        <v>489</v>
      </c>
      <c r="G233" s="4">
        <v>30743</v>
      </c>
      <c r="H233" s="6" t="s">
        <v>24</v>
      </c>
      <c r="I233">
        <v>235</v>
      </c>
      <c r="J233">
        <v>2</v>
      </c>
      <c r="K233">
        <v>471</v>
      </c>
      <c r="L233" s="6" t="s">
        <v>41</v>
      </c>
      <c r="M233" s="6" t="s">
        <v>37</v>
      </c>
      <c r="N233" s="6" t="s">
        <v>48</v>
      </c>
    </row>
    <row r="234" spans="1:14" x14ac:dyDescent="0.25">
      <c r="A234" s="6" t="s">
        <v>490</v>
      </c>
      <c r="B234" s="4">
        <v>45756</v>
      </c>
      <c r="C234" s="6" t="s">
        <v>2801</v>
      </c>
      <c r="D234" s="7">
        <v>0.79166666666666663</v>
      </c>
      <c r="E234" s="6" t="s">
        <v>16</v>
      </c>
      <c r="F234" s="6" t="s">
        <v>328</v>
      </c>
      <c r="G234" s="4">
        <v>30743</v>
      </c>
      <c r="H234" s="6" t="s">
        <v>36</v>
      </c>
      <c r="I234">
        <v>153</v>
      </c>
      <c r="J234">
        <v>2</v>
      </c>
      <c r="K234">
        <v>308</v>
      </c>
      <c r="L234" s="6" t="s">
        <v>54</v>
      </c>
      <c r="M234" s="6" t="s">
        <v>32</v>
      </c>
      <c r="N234" s="6" t="s">
        <v>105</v>
      </c>
    </row>
    <row r="235" spans="1:14" x14ac:dyDescent="0.25">
      <c r="A235" s="6" t="s">
        <v>491</v>
      </c>
      <c r="B235" s="4">
        <v>45952</v>
      </c>
      <c r="C235" s="6" t="s">
        <v>2791</v>
      </c>
      <c r="D235" s="7">
        <v>0.65694444444444444</v>
      </c>
      <c r="E235" s="6" t="s">
        <v>16</v>
      </c>
      <c r="F235" s="6" t="s">
        <v>492</v>
      </c>
      <c r="G235" s="4">
        <v>32320</v>
      </c>
      <c r="H235" s="6" t="s">
        <v>110</v>
      </c>
      <c r="I235">
        <v>98</v>
      </c>
      <c r="J235">
        <v>2</v>
      </c>
      <c r="K235">
        <v>198</v>
      </c>
      <c r="L235" s="6" t="s">
        <v>41</v>
      </c>
      <c r="M235" s="6" t="s">
        <v>26</v>
      </c>
      <c r="N235" s="6" t="s">
        <v>48</v>
      </c>
    </row>
    <row r="236" spans="1:14" x14ac:dyDescent="0.25">
      <c r="A236" s="6" t="s">
        <v>493</v>
      </c>
      <c r="B236" s="4">
        <v>45868</v>
      </c>
      <c r="C236" s="6" t="s">
        <v>2795</v>
      </c>
      <c r="D236" s="7">
        <v>0.85981481481481481</v>
      </c>
      <c r="E236" s="6" t="s">
        <v>16</v>
      </c>
      <c r="F236" s="6" t="s">
        <v>494</v>
      </c>
      <c r="G236" s="4">
        <v>37116</v>
      </c>
      <c r="H236" s="6" t="s">
        <v>77</v>
      </c>
      <c r="I236">
        <v>290</v>
      </c>
      <c r="J236">
        <v>1</v>
      </c>
      <c r="K236">
        <v>290</v>
      </c>
      <c r="L236" s="6" t="s">
        <v>19</v>
      </c>
      <c r="M236" s="6" t="s">
        <v>89</v>
      </c>
      <c r="N236" s="6" t="s">
        <v>48</v>
      </c>
    </row>
    <row r="237" spans="1:14" x14ac:dyDescent="0.25">
      <c r="A237" s="6" t="s">
        <v>495</v>
      </c>
      <c r="B237" s="4">
        <v>45840</v>
      </c>
      <c r="C237" s="6" t="s">
        <v>2795</v>
      </c>
      <c r="D237" s="7">
        <v>0.58958333333333335</v>
      </c>
      <c r="E237" s="6" t="s">
        <v>16</v>
      </c>
      <c r="F237" s="6" t="s">
        <v>330</v>
      </c>
      <c r="G237" s="4">
        <v>26910</v>
      </c>
      <c r="H237" s="6" t="s">
        <v>36</v>
      </c>
      <c r="I237">
        <v>201</v>
      </c>
      <c r="J237">
        <v>1</v>
      </c>
      <c r="K237">
        <v>201</v>
      </c>
      <c r="L237" s="6" t="s">
        <v>54</v>
      </c>
      <c r="M237" s="6" t="s">
        <v>26</v>
      </c>
      <c r="N237" s="6" t="s">
        <v>74</v>
      </c>
    </row>
    <row r="238" spans="1:14" x14ac:dyDescent="0.25">
      <c r="A238" s="6" t="s">
        <v>497</v>
      </c>
      <c r="B238" s="4">
        <v>45977</v>
      </c>
      <c r="C238" s="6" t="s">
        <v>2802</v>
      </c>
      <c r="D238" s="7">
        <v>0.9458333333333333</v>
      </c>
      <c r="E238" s="6" t="s">
        <v>16</v>
      </c>
      <c r="F238" s="6" t="s">
        <v>264</v>
      </c>
      <c r="G238" s="4">
        <v>29682</v>
      </c>
      <c r="H238" s="6" t="s">
        <v>45</v>
      </c>
      <c r="I238">
        <v>162</v>
      </c>
      <c r="J238">
        <v>3</v>
      </c>
      <c r="K238">
        <v>488</v>
      </c>
      <c r="L238" s="6" t="s">
        <v>19</v>
      </c>
      <c r="M238" s="6" t="s">
        <v>20</v>
      </c>
      <c r="N238" s="6" t="s">
        <v>48</v>
      </c>
    </row>
    <row r="239" spans="1:14" x14ac:dyDescent="0.25">
      <c r="A239" s="6" t="s">
        <v>499</v>
      </c>
      <c r="B239" s="4">
        <v>45661</v>
      </c>
      <c r="C239" s="6" t="s">
        <v>2794</v>
      </c>
      <c r="D239" s="7">
        <v>0.54652777777777772</v>
      </c>
      <c r="E239" s="6" t="s">
        <v>16</v>
      </c>
      <c r="F239" s="6" t="s">
        <v>44</v>
      </c>
      <c r="G239" s="4">
        <v>29167</v>
      </c>
      <c r="H239" s="6" t="s">
        <v>85</v>
      </c>
      <c r="I239">
        <v>77</v>
      </c>
      <c r="J239">
        <v>1</v>
      </c>
      <c r="K239">
        <v>78</v>
      </c>
      <c r="L239" s="6" t="s">
        <v>67</v>
      </c>
      <c r="M239" s="6" t="s">
        <v>89</v>
      </c>
      <c r="N239" s="6" t="s">
        <v>74</v>
      </c>
    </row>
    <row r="240" spans="1:14" x14ac:dyDescent="0.25">
      <c r="A240" s="6" t="s">
        <v>500</v>
      </c>
      <c r="B240" s="4">
        <v>45643</v>
      </c>
      <c r="C240" s="6" t="s">
        <v>2796</v>
      </c>
      <c r="D240" s="7">
        <v>0.87135416666666665</v>
      </c>
      <c r="E240" s="6" t="s">
        <v>16</v>
      </c>
      <c r="F240" s="6" t="s">
        <v>267</v>
      </c>
      <c r="G240" s="4">
        <v>38474</v>
      </c>
      <c r="H240" s="6" t="s">
        <v>18</v>
      </c>
      <c r="I240">
        <v>100</v>
      </c>
      <c r="J240">
        <v>2</v>
      </c>
      <c r="K240">
        <v>201</v>
      </c>
      <c r="L240" s="6" t="s">
        <v>19</v>
      </c>
      <c r="M240" s="6" t="s">
        <v>61</v>
      </c>
      <c r="N240" s="6" t="s">
        <v>74</v>
      </c>
    </row>
    <row r="241" spans="1:14" x14ac:dyDescent="0.25">
      <c r="A241" s="6" t="s">
        <v>501</v>
      </c>
      <c r="B241" s="4">
        <v>45627</v>
      </c>
      <c r="C241" s="6" t="s">
        <v>2796</v>
      </c>
      <c r="D241" s="7">
        <v>0.72361111111111109</v>
      </c>
      <c r="E241" s="6" t="s">
        <v>16</v>
      </c>
      <c r="F241" s="6" t="s">
        <v>63</v>
      </c>
      <c r="G241" s="4">
        <v>39804</v>
      </c>
      <c r="H241" s="6" t="s">
        <v>36</v>
      </c>
      <c r="I241">
        <v>202</v>
      </c>
      <c r="J241">
        <v>2</v>
      </c>
      <c r="K241">
        <v>406</v>
      </c>
      <c r="L241" s="6" t="s">
        <v>19</v>
      </c>
      <c r="M241" s="6" t="s">
        <v>26</v>
      </c>
      <c r="N241" s="6" t="s">
        <v>74</v>
      </c>
    </row>
    <row r="242" spans="1:14" x14ac:dyDescent="0.25">
      <c r="A242" s="6" t="s">
        <v>502</v>
      </c>
      <c r="B242" s="4">
        <v>45869</v>
      </c>
      <c r="C242" s="6" t="s">
        <v>2795</v>
      </c>
      <c r="D242" s="7">
        <v>0.75209490740740736</v>
      </c>
      <c r="E242" s="6" t="s">
        <v>16</v>
      </c>
      <c r="F242" s="6" t="s">
        <v>264</v>
      </c>
      <c r="G242" s="4">
        <v>37282</v>
      </c>
      <c r="H242" s="6" t="s">
        <v>116</v>
      </c>
      <c r="I242">
        <v>237</v>
      </c>
      <c r="J242">
        <v>3</v>
      </c>
      <c r="K242">
        <v>712</v>
      </c>
      <c r="L242" s="6" t="s">
        <v>54</v>
      </c>
      <c r="M242" s="6" t="s">
        <v>61</v>
      </c>
      <c r="N242" s="6" t="s">
        <v>74</v>
      </c>
    </row>
    <row r="243" spans="1:14" x14ac:dyDescent="0.25">
      <c r="A243" s="6" t="s">
        <v>503</v>
      </c>
      <c r="B243" s="4">
        <v>45673</v>
      </c>
      <c r="C243" s="6" t="s">
        <v>2794</v>
      </c>
      <c r="D243" s="7">
        <v>0.98263888888888884</v>
      </c>
      <c r="E243" s="6" t="s">
        <v>16</v>
      </c>
      <c r="F243" s="6" t="s">
        <v>229</v>
      </c>
      <c r="G243" s="4">
        <v>34052</v>
      </c>
      <c r="H243" s="6" t="s">
        <v>93</v>
      </c>
      <c r="I243">
        <v>208</v>
      </c>
      <c r="J243">
        <v>1</v>
      </c>
      <c r="K243">
        <v>208</v>
      </c>
      <c r="L243" s="6" t="s">
        <v>2787</v>
      </c>
      <c r="M243" s="6" t="s">
        <v>37</v>
      </c>
      <c r="N243" s="6" t="s">
        <v>21</v>
      </c>
    </row>
    <row r="244" spans="1:14" x14ac:dyDescent="0.25">
      <c r="A244" s="6" t="s">
        <v>504</v>
      </c>
      <c r="B244" s="4">
        <v>45753</v>
      </c>
      <c r="C244" s="6" t="s">
        <v>2801</v>
      </c>
      <c r="D244" s="7">
        <v>0.65277777777777779</v>
      </c>
      <c r="E244" s="6" t="s">
        <v>16</v>
      </c>
      <c r="F244" s="6" t="s">
        <v>397</v>
      </c>
      <c r="G244" s="4">
        <v>35625</v>
      </c>
      <c r="H244" s="6" t="s">
        <v>243</v>
      </c>
      <c r="I244">
        <v>116</v>
      </c>
      <c r="J244">
        <v>1</v>
      </c>
      <c r="K244">
        <v>117</v>
      </c>
      <c r="L244" s="6" t="s">
        <v>41</v>
      </c>
      <c r="M244" s="6" t="s">
        <v>20</v>
      </c>
      <c r="N244" s="6" t="s">
        <v>105</v>
      </c>
    </row>
    <row r="245" spans="1:14" x14ac:dyDescent="0.25">
      <c r="A245" s="6" t="s">
        <v>507</v>
      </c>
      <c r="B245" s="4">
        <v>45818</v>
      </c>
      <c r="C245" s="6" t="s">
        <v>2800</v>
      </c>
      <c r="D245" s="7">
        <v>0.79374999999999996</v>
      </c>
      <c r="E245" s="6" t="s">
        <v>16</v>
      </c>
      <c r="F245" s="6" t="s">
        <v>256</v>
      </c>
      <c r="G245" s="4">
        <v>33584</v>
      </c>
      <c r="H245" s="6" t="s">
        <v>110</v>
      </c>
      <c r="I245">
        <v>135</v>
      </c>
      <c r="J245">
        <v>3</v>
      </c>
      <c r="K245">
        <v>405</v>
      </c>
      <c r="L245" s="6" t="s">
        <v>41</v>
      </c>
      <c r="M245" s="6" t="s">
        <v>47</v>
      </c>
      <c r="N245" s="6" t="s">
        <v>48</v>
      </c>
    </row>
    <row r="246" spans="1:14" x14ac:dyDescent="0.25">
      <c r="A246" s="6" t="s">
        <v>508</v>
      </c>
      <c r="B246" s="4">
        <v>45660</v>
      </c>
      <c r="C246" s="6" t="s">
        <v>2794</v>
      </c>
      <c r="D246" s="7">
        <v>0.69861111111111107</v>
      </c>
      <c r="E246" s="6" t="s">
        <v>16</v>
      </c>
      <c r="F246" s="6" t="s">
        <v>397</v>
      </c>
      <c r="G246" s="4">
        <v>33584</v>
      </c>
      <c r="H246" s="6" t="s">
        <v>213</v>
      </c>
      <c r="I246">
        <v>119</v>
      </c>
      <c r="J246">
        <v>2</v>
      </c>
      <c r="K246">
        <v>239</v>
      </c>
      <c r="L246" s="6" t="s">
        <v>19</v>
      </c>
      <c r="M246" s="6" t="s">
        <v>55</v>
      </c>
      <c r="N246" s="6" t="s">
        <v>21</v>
      </c>
    </row>
    <row r="247" spans="1:14" x14ac:dyDescent="0.25">
      <c r="A247" s="6" t="s">
        <v>509</v>
      </c>
      <c r="B247" s="4">
        <v>45846</v>
      </c>
      <c r="C247" s="6" t="s">
        <v>2795</v>
      </c>
      <c r="D247" s="7">
        <v>0.72291666666666665</v>
      </c>
      <c r="E247" s="6" t="s">
        <v>16</v>
      </c>
      <c r="F247" s="6" t="s">
        <v>360</v>
      </c>
      <c r="G247" s="4">
        <v>38268</v>
      </c>
      <c r="H247" s="6" t="s">
        <v>126</v>
      </c>
      <c r="I247">
        <v>266</v>
      </c>
      <c r="J247">
        <v>2</v>
      </c>
      <c r="K247">
        <v>534</v>
      </c>
      <c r="L247" s="6" t="s">
        <v>54</v>
      </c>
      <c r="M247" s="6" t="s">
        <v>20</v>
      </c>
      <c r="N247" s="6" t="s">
        <v>27</v>
      </c>
    </row>
    <row r="248" spans="1:14" x14ac:dyDescent="0.25">
      <c r="A248" s="6" t="s">
        <v>510</v>
      </c>
      <c r="B248" s="4">
        <v>45860</v>
      </c>
      <c r="C248" s="6" t="s">
        <v>2795</v>
      </c>
      <c r="D248" s="7">
        <v>0.65524305555555551</v>
      </c>
      <c r="E248" s="6" t="s">
        <v>16</v>
      </c>
      <c r="F248" s="6" t="s">
        <v>138</v>
      </c>
      <c r="G248" s="4">
        <v>31701</v>
      </c>
      <c r="H248" s="6" t="s">
        <v>178</v>
      </c>
      <c r="I248">
        <v>243</v>
      </c>
      <c r="J248">
        <v>1</v>
      </c>
      <c r="K248">
        <v>243</v>
      </c>
      <c r="L248" s="6" t="s">
        <v>41</v>
      </c>
      <c r="M248" s="6" t="s">
        <v>32</v>
      </c>
      <c r="N248" s="6" t="s">
        <v>21</v>
      </c>
    </row>
    <row r="249" spans="1:14" x14ac:dyDescent="0.25">
      <c r="A249" s="6" t="s">
        <v>511</v>
      </c>
      <c r="B249" s="4">
        <v>45925</v>
      </c>
      <c r="C249" s="6" t="s">
        <v>2797</v>
      </c>
      <c r="D249" s="7">
        <v>0.47472222222222221</v>
      </c>
      <c r="E249" s="6" t="s">
        <v>16</v>
      </c>
      <c r="F249" s="6" t="s">
        <v>512</v>
      </c>
      <c r="G249" s="4">
        <v>34099</v>
      </c>
      <c r="H249" s="6" t="s">
        <v>141</v>
      </c>
      <c r="I249">
        <v>161</v>
      </c>
      <c r="J249">
        <v>2</v>
      </c>
      <c r="K249">
        <v>323</v>
      </c>
      <c r="L249" s="6" t="s">
        <v>41</v>
      </c>
      <c r="M249" s="6" t="s">
        <v>32</v>
      </c>
      <c r="N249" s="6" t="s">
        <v>74</v>
      </c>
    </row>
    <row r="250" spans="1:14" x14ac:dyDescent="0.25">
      <c r="A250" s="6" t="s">
        <v>513</v>
      </c>
      <c r="B250" s="4">
        <v>45860</v>
      </c>
      <c r="C250" s="6" t="s">
        <v>2795</v>
      </c>
      <c r="D250" s="7">
        <v>0.92222222222222228</v>
      </c>
      <c r="E250" s="6" t="s">
        <v>16</v>
      </c>
      <c r="F250" s="6" t="s">
        <v>98</v>
      </c>
      <c r="G250" s="4">
        <v>32930</v>
      </c>
      <c r="H250" s="6" t="s">
        <v>45</v>
      </c>
      <c r="I250">
        <v>248</v>
      </c>
      <c r="J250">
        <v>2</v>
      </c>
      <c r="K250">
        <v>496</v>
      </c>
      <c r="L250" s="6" t="s">
        <v>19</v>
      </c>
      <c r="M250" s="6" t="s">
        <v>47</v>
      </c>
      <c r="N250" s="6" t="s">
        <v>74</v>
      </c>
    </row>
    <row r="251" spans="1:14" x14ac:dyDescent="0.25">
      <c r="A251" s="6" t="s">
        <v>514</v>
      </c>
      <c r="B251" s="4">
        <v>45912</v>
      </c>
      <c r="C251" s="6" t="s">
        <v>2797</v>
      </c>
      <c r="D251" s="7">
        <v>0.9375</v>
      </c>
      <c r="E251" s="6" t="s">
        <v>16</v>
      </c>
      <c r="F251" s="6" t="s">
        <v>120</v>
      </c>
      <c r="G251" s="4">
        <v>30433</v>
      </c>
      <c r="H251" s="6" t="s">
        <v>53</v>
      </c>
      <c r="I251">
        <v>107</v>
      </c>
      <c r="J251">
        <v>2</v>
      </c>
      <c r="K251">
        <v>215</v>
      </c>
      <c r="L251" s="6" t="s">
        <v>19</v>
      </c>
      <c r="M251" s="6" t="s">
        <v>37</v>
      </c>
      <c r="N251" s="6" t="s">
        <v>48</v>
      </c>
    </row>
    <row r="252" spans="1:14" x14ac:dyDescent="0.25">
      <c r="A252" s="6" t="s">
        <v>515</v>
      </c>
      <c r="B252" s="4">
        <v>45690</v>
      </c>
      <c r="C252" s="6" t="s">
        <v>2799</v>
      </c>
      <c r="D252" s="7">
        <v>0.5131944444444444</v>
      </c>
      <c r="E252" s="6" t="s">
        <v>16</v>
      </c>
      <c r="F252" s="6" t="s">
        <v>59</v>
      </c>
      <c r="G252" s="4">
        <v>26269</v>
      </c>
      <c r="H252" s="6" t="s">
        <v>53</v>
      </c>
      <c r="I252">
        <v>123</v>
      </c>
      <c r="J252">
        <v>3</v>
      </c>
      <c r="K252">
        <v>370</v>
      </c>
      <c r="L252" s="6" t="s">
        <v>54</v>
      </c>
      <c r="M252" s="6" t="s">
        <v>32</v>
      </c>
      <c r="N252" s="6" t="s">
        <v>48</v>
      </c>
    </row>
    <row r="253" spans="1:14" x14ac:dyDescent="0.25">
      <c r="A253" s="6" t="s">
        <v>516</v>
      </c>
      <c r="B253" s="4">
        <v>45900</v>
      </c>
      <c r="C253" s="6" t="s">
        <v>2793</v>
      </c>
      <c r="D253" s="7">
        <v>0.43472222222222223</v>
      </c>
      <c r="E253" s="6" t="s">
        <v>16</v>
      </c>
      <c r="F253" s="6" t="s">
        <v>351</v>
      </c>
      <c r="G253" s="4">
        <v>27875</v>
      </c>
      <c r="H253" s="6" t="s">
        <v>202</v>
      </c>
      <c r="I253">
        <v>100</v>
      </c>
      <c r="J253">
        <v>3</v>
      </c>
      <c r="L253" s="6" t="s">
        <v>54</v>
      </c>
      <c r="M253" s="6" t="s">
        <v>89</v>
      </c>
      <c r="N253" s="6" t="s">
        <v>27</v>
      </c>
    </row>
    <row r="254" spans="1:14" x14ac:dyDescent="0.25">
      <c r="A254" s="6" t="s">
        <v>519</v>
      </c>
      <c r="B254" s="4">
        <v>45617</v>
      </c>
      <c r="C254" s="6" t="s">
        <v>2802</v>
      </c>
      <c r="D254" s="7">
        <v>0.60972222222222228</v>
      </c>
      <c r="E254" s="6" t="s">
        <v>16</v>
      </c>
      <c r="F254" s="6" t="s">
        <v>520</v>
      </c>
      <c r="G254" s="4">
        <v>37378</v>
      </c>
      <c r="H254" s="6" t="s">
        <v>93</v>
      </c>
      <c r="I254">
        <v>214</v>
      </c>
      <c r="J254">
        <v>2</v>
      </c>
      <c r="K254">
        <v>429</v>
      </c>
      <c r="L254" s="6" t="s">
        <v>54</v>
      </c>
      <c r="M254" s="6" t="s">
        <v>89</v>
      </c>
      <c r="N254" s="6" t="s">
        <v>33</v>
      </c>
    </row>
    <row r="255" spans="1:14" x14ac:dyDescent="0.25">
      <c r="A255" s="6" t="s">
        <v>521</v>
      </c>
      <c r="B255" s="4">
        <v>45956</v>
      </c>
      <c r="C255" s="6" t="s">
        <v>2791</v>
      </c>
      <c r="D255" s="7">
        <v>0.56224537037037037</v>
      </c>
      <c r="E255" s="6" t="s">
        <v>16</v>
      </c>
      <c r="F255" s="6" t="s">
        <v>522</v>
      </c>
      <c r="G255" s="4">
        <v>36526</v>
      </c>
      <c r="H255" s="6" t="s">
        <v>45</v>
      </c>
      <c r="I255">
        <v>271</v>
      </c>
      <c r="J255">
        <v>2</v>
      </c>
      <c r="K255">
        <v>543</v>
      </c>
      <c r="L255" s="6" t="s">
        <v>19</v>
      </c>
      <c r="M255" s="6" t="s">
        <v>20</v>
      </c>
      <c r="N255" s="6" t="s">
        <v>27</v>
      </c>
    </row>
    <row r="256" spans="1:14" x14ac:dyDescent="0.25">
      <c r="A256" s="6" t="s">
        <v>523</v>
      </c>
      <c r="B256" s="4">
        <v>45973</v>
      </c>
      <c r="C256" s="6" t="s">
        <v>2802</v>
      </c>
      <c r="D256" s="7">
        <v>0.72430555555555554</v>
      </c>
      <c r="E256" s="6" t="s">
        <v>16</v>
      </c>
      <c r="F256" s="6" t="s">
        <v>524</v>
      </c>
      <c r="G256" s="4">
        <v>32104</v>
      </c>
      <c r="H256" s="6" t="s">
        <v>18</v>
      </c>
      <c r="I256">
        <v>111</v>
      </c>
      <c r="J256">
        <v>1</v>
      </c>
      <c r="K256">
        <v>111</v>
      </c>
      <c r="L256" s="6" t="s">
        <v>19</v>
      </c>
      <c r="M256" s="6" t="s">
        <v>89</v>
      </c>
      <c r="N256" s="6" t="s">
        <v>27</v>
      </c>
    </row>
    <row r="257" spans="1:14" x14ac:dyDescent="0.25">
      <c r="A257" s="6" t="s">
        <v>525</v>
      </c>
      <c r="B257" s="4">
        <v>45869</v>
      </c>
      <c r="C257" s="6" t="s">
        <v>2795</v>
      </c>
      <c r="D257" s="7">
        <v>0.86597222222222225</v>
      </c>
      <c r="E257" s="6" t="s">
        <v>16</v>
      </c>
      <c r="F257" s="6" t="s">
        <v>79</v>
      </c>
      <c r="G257" s="4">
        <v>28827</v>
      </c>
      <c r="H257" s="6" t="s">
        <v>30</v>
      </c>
      <c r="I257">
        <v>304</v>
      </c>
      <c r="J257">
        <v>3</v>
      </c>
      <c r="K257">
        <v>913</v>
      </c>
      <c r="L257" s="6" t="s">
        <v>19</v>
      </c>
      <c r="M257" s="6" t="s">
        <v>55</v>
      </c>
      <c r="N257" s="6" t="s">
        <v>74</v>
      </c>
    </row>
    <row r="258" spans="1:14" x14ac:dyDescent="0.25">
      <c r="A258" s="6" t="s">
        <v>527</v>
      </c>
      <c r="B258" s="4">
        <v>45945</v>
      </c>
      <c r="C258" s="6" t="s">
        <v>2791</v>
      </c>
      <c r="D258" s="7">
        <v>0.97253472222222226</v>
      </c>
      <c r="E258" s="6" t="s">
        <v>16</v>
      </c>
      <c r="F258" s="6" t="s">
        <v>528</v>
      </c>
      <c r="G258" s="4">
        <v>34237</v>
      </c>
      <c r="H258" s="6" t="s">
        <v>129</v>
      </c>
      <c r="I258">
        <v>144</v>
      </c>
      <c r="J258">
        <v>2</v>
      </c>
      <c r="K258">
        <v>289</v>
      </c>
      <c r="L258" s="6" t="s">
        <v>67</v>
      </c>
      <c r="M258" s="6" t="s">
        <v>37</v>
      </c>
      <c r="N258" s="6" t="s">
        <v>56</v>
      </c>
    </row>
    <row r="259" spans="1:14" x14ac:dyDescent="0.25">
      <c r="A259" s="6" t="s">
        <v>529</v>
      </c>
      <c r="B259" s="4">
        <v>45776</v>
      </c>
      <c r="C259" s="6" t="s">
        <v>2801</v>
      </c>
      <c r="D259" s="7">
        <v>0.4375</v>
      </c>
      <c r="E259" s="6" t="s">
        <v>16</v>
      </c>
      <c r="F259" s="6" t="s">
        <v>332</v>
      </c>
      <c r="G259" s="4">
        <v>36627</v>
      </c>
      <c r="H259" s="6" t="s">
        <v>85</v>
      </c>
      <c r="I259">
        <v>145</v>
      </c>
      <c r="J259">
        <v>2</v>
      </c>
      <c r="K259">
        <v>290</v>
      </c>
      <c r="L259" s="6" t="s">
        <v>41</v>
      </c>
      <c r="M259" s="6" t="s">
        <v>55</v>
      </c>
      <c r="N259" s="6" t="s">
        <v>56</v>
      </c>
    </row>
    <row r="260" spans="1:14" x14ac:dyDescent="0.25">
      <c r="A260" s="6" t="s">
        <v>530</v>
      </c>
      <c r="B260" s="4">
        <v>45645</v>
      </c>
      <c r="C260" s="6" t="s">
        <v>2796</v>
      </c>
      <c r="D260" s="7">
        <v>0.46250000000000002</v>
      </c>
      <c r="E260" s="6" t="s">
        <v>16</v>
      </c>
      <c r="F260" s="6" t="s">
        <v>140</v>
      </c>
      <c r="G260" s="4">
        <v>28058</v>
      </c>
      <c r="H260" s="6" t="s">
        <v>53</v>
      </c>
      <c r="I260">
        <v>101</v>
      </c>
      <c r="J260">
        <v>3</v>
      </c>
      <c r="K260">
        <v>306</v>
      </c>
      <c r="L260" s="6" t="s">
        <v>19</v>
      </c>
      <c r="M260" s="6" t="s">
        <v>55</v>
      </c>
      <c r="N260" s="6" t="s">
        <v>21</v>
      </c>
    </row>
    <row r="261" spans="1:14" x14ac:dyDescent="0.25">
      <c r="A261" s="6" t="s">
        <v>532</v>
      </c>
      <c r="B261" s="4">
        <v>45920</v>
      </c>
      <c r="C261" s="6" t="s">
        <v>2797</v>
      </c>
      <c r="D261" s="7">
        <v>0.79722222222222228</v>
      </c>
      <c r="E261" s="6" t="s">
        <v>16</v>
      </c>
      <c r="F261" s="6" t="s">
        <v>264</v>
      </c>
      <c r="G261" s="4">
        <v>35862</v>
      </c>
      <c r="H261" s="6" t="s">
        <v>141</v>
      </c>
      <c r="I261">
        <v>143</v>
      </c>
      <c r="J261">
        <v>3</v>
      </c>
      <c r="K261">
        <v>429</v>
      </c>
      <c r="L261" s="6" t="s">
        <v>54</v>
      </c>
      <c r="M261" s="6" t="s">
        <v>47</v>
      </c>
      <c r="N261" s="6" t="s">
        <v>21</v>
      </c>
    </row>
    <row r="262" spans="1:14" x14ac:dyDescent="0.25">
      <c r="A262" s="6" t="s">
        <v>533</v>
      </c>
      <c r="B262" s="4">
        <v>45903</v>
      </c>
      <c r="C262" s="6" t="s">
        <v>2797</v>
      </c>
      <c r="D262" s="7">
        <v>0.6333333333333333</v>
      </c>
      <c r="E262" s="6" t="s">
        <v>16</v>
      </c>
      <c r="F262" s="6" t="s">
        <v>370</v>
      </c>
      <c r="G262" s="4">
        <v>36456</v>
      </c>
      <c r="H262" s="6" t="s">
        <v>129</v>
      </c>
      <c r="I262">
        <v>156</v>
      </c>
      <c r="J262">
        <v>1</v>
      </c>
      <c r="K262">
        <v>100</v>
      </c>
      <c r="L262" s="6" t="s">
        <v>67</v>
      </c>
      <c r="M262" s="6" t="s">
        <v>47</v>
      </c>
      <c r="N262" s="6" t="s">
        <v>21</v>
      </c>
    </row>
    <row r="263" spans="1:14" x14ac:dyDescent="0.25">
      <c r="A263" s="6" t="s">
        <v>534</v>
      </c>
      <c r="B263" s="4">
        <v>45786</v>
      </c>
      <c r="C263" s="6" t="s">
        <v>2792</v>
      </c>
      <c r="D263" s="7">
        <v>0.55902777777777779</v>
      </c>
      <c r="E263" s="6" t="s">
        <v>16</v>
      </c>
      <c r="F263" s="6" t="s">
        <v>535</v>
      </c>
      <c r="G263" s="4">
        <v>28194</v>
      </c>
      <c r="H263" s="6" t="s">
        <v>30</v>
      </c>
      <c r="I263">
        <v>229</v>
      </c>
      <c r="J263">
        <v>1</v>
      </c>
      <c r="K263">
        <v>230</v>
      </c>
      <c r="L263" s="6" t="s">
        <v>19</v>
      </c>
      <c r="M263" s="6" t="s">
        <v>55</v>
      </c>
      <c r="N263" s="6" t="s">
        <v>27</v>
      </c>
    </row>
    <row r="264" spans="1:14" x14ac:dyDescent="0.25">
      <c r="A264" s="6" t="s">
        <v>536</v>
      </c>
      <c r="B264" s="4">
        <v>45811</v>
      </c>
      <c r="C264" s="6" t="s">
        <v>2800</v>
      </c>
      <c r="D264" s="7">
        <v>0.66612268518518514</v>
      </c>
      <c r="E264" s="6" t="s">
        <v>16</v>
      </c>
      <c r="F264" s="6" t="s">
        <v>307</v>
      </c>
      <c r="G264" s="4">
        <v>29490</v>
      </c>
      <c r="H264" s="6" t="s">
        <v>93</v>
      </c>
      <c r="I264">
        <v>220</v>
      </c>
      <c r="J264">
        <v>1</v>
      </c>
      <c r="K264">
        <v>221</v>
      </c>
      <c r="L264" s="6" t="s">
        <v>2787</v>
      </c>
      <c r="M264" s="6" t="s">
        <v>37</v>
      </c>
      <c r="N264" s="6" t="s">
        <v>56</v>
      </c>
    </row>
    <row r="265" spans="1:14" x14ac:dyDescent="0.25">
      <c r="A265" s="6" t="s">
        <v>537</v>
      </c>
      <c r="B265" s="4">
        <v>45743</v>
      </c>
      <c r="C265" s="6" t="s">
        <v>2798</v>
      </c>
      <c r="D265" s="7">
        <v>0.96388888888888891</v>
      </c>
      <c r="E265" s="6" t="s">
        <v>16</v>
      </c>
      <c r="F265" s="6" t="s">
        <v>50</v>
      </c>
      <c r="G265" s="4">
        <v>36850</v>
      </c>
      <c r="H265" s="6" t="s">
        <v>116</v>
      </c>
      <c r="I265">
        <v>113</v>
      </c>
      <c r="J265">
        <v>2</v>
      </c>
      <c r="K265">
        <v>226</v>
      </c>
      <c r="L265" s="6" t="s">
        <v>54</v>
      </c>
      <c r="M265" s="6" t="s">
        <v>47</v>
      </c>
      <c r="N265" s="6" t="s">
        <v>33</v>
      </c>
    </row>
    <row r="266" spans="1:14" x14ac:dyDescent="0.25">
      <c r="A266" s="6" t="s">
        <v>538</v>
      </c>
      <c r="B266" s="4">
        <v>45720</v>
      </c>
      <c r="C266" s="6" t="s">
        <v>2798</v>
      </c>
      <c r="D266" s="7">
        <v>0.67591435185185189</v>
      </c>
      <c r="E266" s="6" t="s">
        <v>16</v>
      </c>
      <c r="F266" s="6" t="s">
        <v>107</v>
      </c>
      <c r="G266" s="4">
        <v>31658</v>
      </c>
      <c r="H266" s="6" t="s">
        <v>243</v>
      </c>
      <c r="I266">
        <v>138</v>
      </c>
      <c r="J266">
        <v>1</v>
      </c>
      <c r="K266">
        <v>139</v>
      </c>
      <c r="L266" s="6" t="s">
        <v>19</v>
      </c>
      <c r="M266" s="6" t="s">
        <v>32</v>
      </c>
      <c r="N266" s="6" t="s">
        <v>21</v>
      </c>
    </row>
    <row r="267" spans="1:14" x14ac:dyDescent="0.25">
      <c r="A267" s="6" t="s">
        <v>539</v>
      </c>
      <c r="B267" s="4">
        <v>45767</v>
      </c>
      <c r="C267" s="6" t="s">
        <v>2801</v>
      </c>
      <c r="D267" s="7">
        <v>0.92847222222222225</v>
      </c>
      <c r="E267" s="6" t="s">
        <v>16</v>
      </c>
      <c r="F267" s="6" t="s">
        <v>540</v>
      </c>
      <c r="G267" s="4">
        <v>30109</v>
      </c>
      <c r="H267" s="6" t="s">
        <v>30</v>
      </c>
      <c r="I267">
        <v>288</v>
      </c>
      <c r="J267">
        <v>1</v>
      </c>
      <c r="K267">
        <v>288</v>
      </c>
      <c r="L267" s="6" t="s">
        <v>41</v>
      </c>
      <c r="M267" s="6" t="s">
        <v>20</v>
      </c>
      <c r="N267" s="6" t="s">
        <v>105</v>
      </c>
    </row>
    <row r="268" spans="1:14" x14ac:dyDescent="0.25">
      <c r="A268" s="6" t="s">
        <v>541</v>
      </c>
      <c r="B268" s="4">
        <v>45858</v>
      </c>
      <c r="C268" s="6" t="s">
        <v>2795</v>
      </c>
      <c r="D268" s="7">
        <v>0.97569444444444442</v>
      </c>
      <c r="E268" s="6" t="s">
        <v>16</v>
      </c>
      <c r="F268" s="6" t="s">
        <v>44</v>
      </c>
      <c r="G268" s="4">
        <v>38588</v>
      </c>
      <c r="H268" s="6" t="s">
        <v>85</v>
      </c>
      <c r="I268">
        <v>188</v>
      </c>
      <c r="J268">
        <v>1</v>
      </c>
      <c r="K268">
        <v>188</v>
      </c>
      <c r="L268" s="6" t="s">
        <v>19</v>
      </c>
      <c r="M268" s="6" t="s">
        <v>32</v>
      </c>
      <c r="N268" s="6" t="s">
        <v>33</v>
      </c>
    </row>
    <row r="269" spans="1:14" x14ac:dyDescent="0.25">
      <c r="A269" s="6" t="s">
        <v>542</v>
      </c>
      <c r="B269" s="4">
        <v>45831</v>
      </c>
      <c r="C269" s="6" t="s">
        <v>2800</v>
      </c>
      <c r="D269" s="7">
        <v>0.9506944444444444</v>
      </c>
      <c r="E269" s="6" t="s">
        <v>16</v>
      </c>
      <c r="F269" s="6" t="s">
        <v>264</v>
      </c>
      <c r="G269" s="4">
        <v>26363</v>
      </c>
      <c r="H269" s="6" t="s">
        <v>53</v>
      </c>
      <c r="I269">
        <v>90</v>
      </c>
      <c r="J269">
        <v>2</v>
      </c>
      <c r="K269">
        <v>180</v>
      </c>
      <c r="L269" s="6" t="s">
        <v>41</v>
      </c>
      <c r="M269" s="6" t="s">
        <v>55</v>
      </c>
      <c r="N269" s="6" t="s">
        <v>33</v>
      </c>
    </row>
    <row r="270" spans="1:14" x14ac:dyDescent="0.25">
      <c r="A270" s="6" t="s">
        <v>544</v>
      </c>
      <c r="B270" s="4">
        <v>45630</v>
      </c>
      <c r="C270" s="6" t="s">
        <v>2796</v>
      </c>
      <c r="D270" s="7">
        <v>0.6791666666666667</v>
      </c>
      <c r="E270" s="6" t="s">
        <v>16</v>
      </c>
      <c r="F270" s="6" t="s">
        <v>545</v>
      </c>
      <c r="G270" s="4">
        <v>37627</v>
      </c>
      <c r="H270" s="6" t="s">
        <v>45</v>
      </c>
      <c r="I270">
        <v>262</v>
      </c>
      <c r="J270">
        <v>2</v>
      </c>
      <c r="K270">
        <v>524</v>
      </c>
      <c r="L270" s="6" t="s">
        <v>2787</v>
      </c>
      <c r="M270" s="6" t="s">
        <v>47</v>
      </c>
      <c r="N270" s="6" t="s">
        <v>33</v>
      </c>
    </row>
    <row r="271" spans="1:14" x14ac:dyDescent="0.25">
      <c r="A271" s="6" t="s">
        <v>546</v>
      </c>
      <c r="B271" s="4">
        <v>45967</v>
      </c>
      <c r="C271" s="6" t="s">
        <v>2802</v>
      </c>
      <c r="D271" s="7">
        <v>0.42291666666666666</v>
      </c>
      <c r="E271" s="6" t="s">
        <v>16</v>
      </c>
      <c r="F271" s="6" t="s">
        <v>107</v>
      </c>
      <c r="G271" s="4">
        <v>38944</v>
      </c>
      <c r="H271" s="6" t="s">
        <v>40</v>
      </c>
      <c r="I271">
        <v>212</v>
      </c>
      <c r="J271">
        <v>3</v>
      </c>
      <c r="K271">
        <v>638</v>
      </c>
      <c r="L271" s="6" t="s">
        <v>41</v>
      </c>
      <c r="M271" s="6" t="s">
        <v>26</v>
      </c>
      <c r="N271" s="6" t="s">
        <v>74</v>
      </c>
    </row>
    <row r="272" spans="1:14" x14ac:dyDescent="0.25">
      <c r="A272" s="6" t="s">
        <v>547</v>
      </c>
      <c r="B272" s="4">
        <v>45974</v>
      </c>
      <c r="C272" s="6" t="s">
        <v>2802</v>
      </c>
      <c r="D272" s="7">
        <v>0.96527777777777779</v>
      </c>
      <c r="E272" s="6" t="s">
        <v>16</v>
      </c>
      <c r="F272" s="6" t="s">
        <v>548</v>
      </c>
      <c r="G272" s="4">
        <v>30542</v>
      </c>
      <c r="H272" s="6" t="s">
        <v>145</v>
      </c>
      <c r="I272">
        <v>116</v>
      </c>
      <c r="J272">
        <v>2</v>
      </c>
      <c r="K272">
        <v>232</v>
      </c>
      <c r="L272" s="6" t="s">
        <v>67</v>
      </c>
      <c r="M272" s="6" t="s">
        <v>20</v>
      </c>
      <c r="N272" s="6" t="s">
        <v>105</v>
      </c>
    </row>
    <row r="273" spans="1:14" x14ac:dyDescent="0.25">
      <c r="A273" s="6" t="s">
        <v>549</v>
      </c>
      <c r="B273" s="4">
        <v>45622</v>
      </c>
      <c r="C273" s="6" t="s">
        <v>2802</v>
      </c>
      <c r="D273" s="7">
        <v>0.65471064814814817</v>
      </c>
      <c r="E273" s="6" t="s">
        <v>16</v>
      </c>
      <c r="F273" s="6" t="s">
        <v>550</v>
      </c>
      <c r="G273" s="4">
        <v>31396</v>
      </c>
      <c r="H273" s="6" t="s">
        <v>77</v>
      </c>
      <c r="I273">
        <v>207</v>
      </c>
      <c r="J273">
        <v>1</v>
      </c>
      <c r="K273">
        <v>100</v>
      </c>
      <c r="L273" s="6" t="s">
        <v>41</v>
      </c>
      <c r="M273" s="6" t="s">
        <v>47</v>
      </c>
      <c r="N273" s="6" t="s">
        <v>105</v>
      </c>
    </row>
    <row r="274" spans="1:14" x14ac:dyDescent="0.25">
      <c r="A274" s="6" t="s">
        <v>551</v>
      </c>
      <c r="B274" s="4">
        <v>45962</v>
      </c>
      <c r="C274" s="6" t="s">
        <v>2802</v>
      </c>
      <c r="D274" s="7">
        <v>0.87708333333333333</v>
      </c>
      <c r="E274" s="6" t="s">
        <v>16</v>
      </c>
      <c r="F274" s="6" t="s">
        <v>23</v>
      </c>
      <c r="G274" s="4">
        <v>26938</v>
      </c>
      <c r="H274" s="6" t="s">
        <v>30</v>
      </c>
      <c r="I274">
        <v>217</v>
      </c>
      <c r="J274">
        <v>1</v>
      </c>
      <c r="K274">
        <v>218</v>
      </c>
      <c r="L274" s="6" t="s">
        <v>41</v>
      </c>
      <c r="M274" s="6" t="s">
        <v>37</v>
      </c>
      <c r="N274" s="6" t="s">
        <v>105</v>
      </c>
    </row>
    <row r="275" spans="1:14" x14ac:dyDescent="0.25">
      <c r="A275" s="6" t="s">
        <v>552</v>
      </c>
      <c r="B275" s="4">
        <v>45829</v>
      </c>
      <c r="C275" s="6" t="s">
        <v>2800</v>
      </c>
      <c r="D275" s="7">
        <v>0.64930555555555558</v>
      </c>
      <c r="E275" s="6" t="s">
        <v>16</v>
      </c>
      <c r="F275" s="6" t="s">
        <v>198</v>
      </c>
      <c r="G275" s="4">
        <v>35469</v>
      </c>
      <c r="H275" s="6" t="s">
        <v>199</v>
      </c>
      <c r="I275">
        <v>197</v>
      </c>
      <c r="J275">
        <v>1</v>
      </c>
      <c r="K275">
        <v>197</v>
      </c>
      <c r="L275" s="6" t="s">
        <v>41</v>
      </c>
      <c r="M275" s="6" t="s">
        <v>26</v>
      </c>
      <c r="N275" s="6" t="s">
        <v>105</v>
      </c>
    </row>
    <row r="276" spans="1:14" x14ac:dyDescent="0.25">
      <c r="A276" s="6" t="s">
        <v>553</v>
      </c>
      <c r="B276" s="4">
        <v>45908</v>
      </c>
      <c r="C276" s="6" t="s">
        <v>2797</v>
      </c>
      <c r="D276" s="7">
        <v>0.80555555555555558</v>
      </c>
      <c r="E276" s="6" t="s">
        <v>16</v>
      </c>
      <c r="F276" s="6" t="s">
        <v>194</v>
      </c>
      <c r="G276" s="4">
        <v>35469</v>
      </c>
      <c r="H276" s="6" t="s">
        <v>60</v>
      </c>
      <c r="I276">
        <v>87</v>
      </c>
      <c r="J276">
        <v>1</v>
      </c>
      <c r="K276">
        <v>87</v>
      </c>
      <c r="L276" s="6" t="s">
        <v>67</v>
      </c>
      <c r="M276" s="6" t="s">
        <v>26</v>
      </c>
      <c r="N276" s="6" t="s">
        <v>105</v>
      </c>
    </row>
    <row r="277" spans="1:14" x14ac:dyDescent="0.25">
      <c r="A277" s="6" t="s">
        <v>554</v>
      </c>
      <c r="B277" s="4">
        <v>45687</v>
      </c>
      <c r="C277" s="6" t="s">
        <v>2794</v>
      </c>
      <c r="D277" s="7">
        <v>0.54791666666666672</v>
      </c>
      <c r="E277" s="6" t="s">
        <v>16</v>
      </c>
      <c r="F277" s="6" t="s">
        <v>346</v>
      </c>
      <c r="G277" s="4">
        <v>36140</v>
      </c>
      <c r="H277" s="6" t="s">
        <v>202</v>
      </c>
      <c r="I277">
        <v>41</v>
      </c>
      <c r="J277">
        <v>1</v>
      </c>
      <c r="K277">
        <v>42</v>
      </c>
      <c r="L277" s="6" t="s">
        <v>67</v>
      </c>
      <c r="M277" s="6" t="s">
        <v>47</v>
      </c>
      <c r="N277" s="6" t="s">
        <v>74</v>
      </c>
    </row>
    <row r="278" spans="1:14" x14ac:dyDescent="0.25">
      <c r="A278" s="6" t="s">
        <v>556</v>
      </c>
      <c r="B278" s="4">
        <v>45883</v>
      </c>
      <c r="C278" s="6" t="s">
        <v>2793</v>
      </c>
      <c r="D278" s="7">
        <v>0.83337962962962964</v>
      </c>
      <c r="E278" s="6" t="s">
        <v>16</v>
      </c>
      <c r="F278" s="6" t="s">
        <v>558</v>
      </c>
      <c r="G278" s="4">
        <v>30378</v>
      </c>
      <c r="H278" s="6" t="s">
        <v>73</v>
      </c>
      <c r="I278">
        <v>50</v>
      </c>
      <c r="J278">
        <v>2</v>
      </c>
      <c r="K278">
        <v>101</v>
      </c>
      <c r="L278" s="6" t="s">
        <v>67</v>
      </c>
      <c r="M278" s="6" t="s">
        <v>26</v>
      </c>
      <c r="N278" s="6" t="s">
        <v>56</v>
      </c>
    </row>
    <row r="279" spans="1:14" x14ac:dyDescent="0.25">
      <c r="A279" s="6" t="s">
        <v>559</v>
      </c>
      <c r="B279" s="4">
        <v>45820</v>
      </c>
      <c r="C279" s="6" t="s">
        <v>2800</v>
      </c>
      <c r="D279" s="7">
        <v>0.7270833333333333</v>
      </c>
      <c r="E279" s="6" t="s">
        <v>16</v>
      </c>
      <c r="F279" s="6" t="s">
        <v>131</v>
      </c>
      <c r="G279" s="4">
        <v>36550</v>
      </c>
      <c r="H279" s="6" t="s">
        <v>45</v>
      </c>
      <c r="I279">
        <v>167</v>
      </c>
      <c r="J279">
        <v>2</v>
      </c>
      <c r="K279">
        <v>336</v>
      </c>
      <c r="L279" s="6" t="s">
        <v>54</v>
      </c>
      <c r="M279" s="6" t="s">
        <v>55</v>
      </c>
      <c r="N279" s="6" t="s">
        <v>56</v>
      </c>
    </row>
    <row r="280" spans="1:14" x14ac:dyDescent="0.25">
      <c r="A280" s="6" t="s">
        <v>560</v>
      </c>
      <c r="B280" s="4">
        <v>45808</v>
      </c>
      <c r="C280" s="6" t="s">
        <v>2792</v>
      </c>
      <c r="D280" s="7">
        <v>0.6995717592592593</v>
      </c>
      <c r="E280" s="6" t="s">
        <v>16</v>
      </c>
      <c r="F280" s="6" t="s">
        <v>562</v>
      </c>
      <c r="G280" s="4">
        <v>35068</v>
      </c>
      <c r="H280" s="6" t="s">
        <v>85</v>
      </c>
      <c r="I280">
        <v>153</v>
      </c>
      <c r="J280">
        <v>2</v>
      </c>
      <c r="K280">
        <v>306</v>
      </c>
      <c r="L280" s="6" t="s">
        <v>54</v>
      </c>
      <c r="M280" s="6" t="s">
        <v>32</v>
      </c>
      <c r="N280" s="6" t="s">
        <v>105</v>
      </c>
    </row>
    <row r="281" spans="1:14" x14ac:dyDescent="0.25">
      <c r="A281" s="6" t="s">
        <v>563</v>
      </c>
      <c r="B281" s="4">
        <v>45974</v>
      </c>
      <c r="C281" s="6" t="s">
        <v>2802</v>
      </c>
      <c r="D281" s="7">
        <v>0.60972222222222228</v>
      </c>
      <c r="E281" s="6" t="s">
        <v>16</v>
      </c>
      <c r="F281" s="6" t="s">
        <v>471</v>
      </c>
      <c r="G281" s="4">
        <v>29224</v>
      </c>
      <c r="H281" s="6" t="s">
        <v>145</v>
      </c>
      <c r="I281">
        <v>119</v>
      </c>
      <c r="J281">
        <v>2</v>
      </c>
      <c r="K281">
        <v>239</v>
      </c>
      <c r="L281" s="6" t="s">
        <v>19</v>
      </c>
      <c r="M281" s="6" t="s">
        <v>26</v>
      </c>
      <c r="N281" s="6" t="s">
        <v>56</v>
      </c>
    </row>
    <row r="282" spans="1:14" x14ac:dyDescent="0.25">
      <c r="A282" s="6" t="s">
        <v>564</v>
      </c>
      <c r="B282" s="4">
        <v>45690</v>
      </c>
      <c r="C282" s="6" t="s">
        <v>2799</v>
      </c>
      <c r="D282" s="7">
        <v>0.89287037037037043</v>
      </c>
      <c r="E282" s="6" t="s">
        <v>16</v>
      </c>
      <c r="F282" s="6" t="s">
        <v>522</v>
      </c>
      <c r="G282" s="4">
        <v>27377</v>
      </c>
      <c r="H282" s="6" t="s">
        <v>178</v>
      </c>
      <c r="I282">
        <v>313</v>
      </c>
      <c r="J282">
        <v>1</v>
      </c>
      <c r="K282">
        <v>313</v>
      </c>
      <c r="L282" s="6" t="s">
        <v>67</v>
      </c>
      <c r="M282" s="6" t="s">
        <v>89</v>
      </c>
      <c r="N282" s="6" t="s">
        <v>74</v>
      </c>
    </row>
    <row r="283" spans="1:14" x14ac:dyDescent="0.25">
      <c r="A283" s="6" t="s">
        <v>565</v>
      </c>
      <c r="B283" s="4">
        <v>45842</v>
      </c>
      <c r="C283" s="6" t="s">
        <v>2795</v>
      </c>
      <c r="D283" s="7">
        <v>0.98611111111111116</v>
      </c>
      <c r="E283" s="6" t="s">
        <v>16</v>
      </c>
      <c r="F283" s="6" t="s">
        <v>528</v>
      </c>
      <c r="G283" s="4">
        <v>27377</v>
      </c>
      <c r="H283" s="6" t="s">
        <v>110</v>
      </c>
      <c r="I283">
        <v>127</v>
      </c>
      <c r="J283">
        <v>1</v>
      </c>
      <c r="K283">
        <v>128</v>
      </c>
      <c r="L283" s="6" t="s">
        <v>41</v>
      </c>
      <c r="M283" s="6" t="s">
        <v>89</v>
      </c>
      <c r="N283" s="6" t="s">
        <v>74</v>
      </c>
    </row>
    <row r="284" spans="1:14" x14ac:dyDescent="0.25">
      <c r="A284" s="6" t="s">
        <v>567</v>
      </c>
      <c r="B284" s="4">
        <v>45859</v>
      </c>
      <c r="C284" s="6" t="s">
        <v>2795</v>
      </c>
      <c r="D284" s="7">
        <v>0.64146990740740739</v>
      </c>
      <c r="E284" s="6" t="s">
        <v>16</v>
      </c>
      <c r="F284" s="6" t="s">
        <v>92</v>
      </c>
      <c r="G284" s="4">
        <v>27377</v>
      </c>
      <c r="H284" s="6" t="s">
        <v>126</v>
      </c>
      <c r="I284">
        <v>290</v>
      </c>
      <c r="J284">
        <v>1</v>
      </c>
      <c r="K284">
        <v>290</v>
      </c>
      <c r="L284" s="6" t="s">
        <v>41</v>
      </c>
      <c r="M284" s="6" t="s">
        <v>20</v>
      </c>
      <c r="N284" s="6" t="s">
        <v>33</v>
      </c>
    </row>
    <row r="285" spans="1:14" x14ac:dyDescent="0.25">
      <c r="A285" s="6" t="s">
        <v>569</v>
      </c>
      <c r="B285" s="4">
        <v>45618</v>
      </c>
      <c r="C285" s="6" t="s">
        <v>2802</v>
      </c>
      <c r="D285" s="7">
        <v>0.44444444444444442</v>
      </c>
      <c r="E285" s="6" t="s">
        <v>16</v>
      </c>
      <c r="F285" s="6" t="s">
        <v>151</v>
      </c>
      <c r="G285" s="4">
        <v>37096</v>
      </c>
      <c r="H285" s="6" t="s">
        <v>36</v>
      </c>
      <c r="I285">
        <v>49</v>
      </c>
      <c r="J285">
        <v>3</v>
      </c>
      <c r="K285">
        <v>163</v>
      </c>
      <c r="L285" s="6" t="s">
        <v>2787</v>
      </c>
      <c r="M285" s="6" t="s">
        <v>61</v>
      </c>
      <c r="N285" s="6" t="s">
        <v>27</v>
      </c>
    </row>
    <row r="286" spans="1:14" x14ac:dyDescent="0.25">
      <c r="A286" s="6" t="s">
        <v>570</v>
      </c>
      <c r="B286" s="4">
        <v>45845</v>
      </c>
      <c r="C286" s="6" t="s">
        <v>2795</v>
      </c>
      <c r="D286" s="7">
        <v>0.8569444444444444</v>
      </c>
      <c r="E286" s="6" t="s">
        <v>16</v>
      </c>
      <c r="F286" s="6" t="s">
        <v>39</v>
      </c>
      <c r="G286" s="4">
        <v>37096</v>
      </c>
      <c r="H286" s="6" t="s">
        <v>129</v>
      </c>
      <c r="I286">
        <v>216</v>
      </c>
      <c r="J286">
        <v>1</v>
      </c>
      <c r="K286">
        <v>216</v>
      </c>
      <c r="L286" s="6" t="s">
        <v>2787</v>
      </c>
      <c r="M286" s="6" t="s">
        <v>26</v>
      </c>
      <c r="N286" s="6" t="s">
        <v>56</v>
      </c>
    </row>
    <row r="287" spans="1:14" x14ac:dyDescent="0.25">
      <c r="A287" s="6" t="s">
        <v>571</v>
      </c>
      <c r="B287" s="4">
        <v>45731</v>
      </c>
      <c r="C287" s="6" t="s">
        <v>2798</v>
      </c>
      <c r="D287" s="7">
        <v>0.84791666666666665</v>
      </c>
      <c r="E287" s="6" t="s">
        <v>16</v>
      </c>
      <c r="F287" s="6" t="s">
        <v>131</v>
      </c>
      <c r="G287" s="4">
        <v>35528</v>
      </c>
      <c r="H287" s="6" t="s">
        <v>259</v>
      </c>
      <c r="I287">
        <v>249</v>
      </c>
      <c r="J287">
        <v>1</v>
      </c>
      <c r="K287">
        <v>249</v>
      </c>
      <c r="L287" s="6" t="s">
        <v>19</v>
      </c>
      <c r="M287" s="6" t="s">
        <v>32</v>
      </c>
      <c r="N287" s="6" t="s">
        <v>27</v>
      </c>
    </row>
    <row r="288" spans="1:14" x14ac:dyDescent="0.25">
      <c r="A288" s="6" t="s">
        <v>572</v>
      </c>
      <c r="B288" s="4">
        <v>45883</v>
      </c>
      <c r="C288" s="6" t="s">
        <v>2793</v>
      </c>
      <c r="D288" s="7">
        <v>0.47569444444444442</v>
      </c>
      <c r="E288" s="6" t="s">
        <v>16</v>
      </c>
      <c r="F288" s="6" t="s">
        <v>163</v>
      </c>
      <c r="G288" s="4">
        <v>30916</v>
      </c>
      <c r="H288" s="6" t="s">
        <v>77</v>
      </c>
      <c r="I288">
        <v>263</v>
      </c>
      <c r="J288">
        <v>2</v>
      </c>
      <c r="K288">
        <v>527</v>
      </c>
      <c r="L288" s="6" t="s">
        <v>54</v>
      </c>
      <c r="M288" s="6" t="s">
        <v>32</v>
      </c>
      <c r="N288" s="6" t="s">
        <v>27</v>
      </c>
    </row>
    <row r="289" spans="1:14" x14ac:dyDescent="0.25">
      <c r="A289" s="6" t="s">
        <v>573</v>
      </c>
      <c r="B289" s="4">
        <v>45724</v>
      </c>
      <c r="C289" s="6" t="s">
        <v>2798</v>
      </c>
      <c r="D289" s="7">
        <v>0.90763888888888888</v>
      </c>
      <c r="E289" s="6" t="s">
        <v>16</v>
      </c>
      <c r="F289" s="6" t="s">
        <v>187</v>
      </c>
      <c r="G289" s="4">
        <v>29238</v>
      </c>
      <c r="H289" s="6" t="s">
        <v>53</v>
      </c>
      <c r="I289">
        <v>84</v>
      </c>
      <c r="J289">
        <v>2</v>
      </c>
      <c r="K289">
        <v>168</v>
      </c>
      <c r="L289" s="6" t="s">
        <v>54</v>
      </c>
      <c r="M289" s="6" t="s">
        <v>89</v>
      </c>
      <c r="N289" s="6" t="s">
        <v>27</v>
      </c>
    </row>
    <row r="290" spans="1:14" x14ac:dyDescent="0.25">
      <c r="A290" s="6" t="s">
        <v>574</v>
      </c>
      <c r="B290" s="4">
        <v>45952</v>
      </c>
      <c r="C290" s="6" t="s">
        <v>2791</v>
      </c>
      <c r="D290" s="7">
        <v>0.73923611111111109</v>
      </c>
      <c r="E290" s="6" t="s">
        <v>16</v>
      </c>
      <c r="F290" s="6" t="s">
        <v>492</v>
      </c>
      <c r="G290" s="4">
        <v>25743</v>
      </c>
      <c r="H290" s="6" t="s">
        <v>73</v>
      </c>
      <c r="I290">
        <v>49</v>
      </c>
      <c r="J290">
        <v>3</v>
      </c>
      <c r="K290">
        <v>149</v>
      </c>
      <c r="L290" s="6" t="s">
        <v>41</v>
      </c>
      <c r="M290" s="6" t="s">
        <v>20</v>
      </c>
      <c r="N290" s="6" t="s">
        <v>33</v>
      </c>
    </row>
    <row r="291" spans="1:14" x14ac:dyDescent="0.25">
      <c r="A291" s="6" t="s">
        <v>575</v>
      </c>
      <c r="B291" s="4">
        <v>45634</v>
      </c>
      <c r="C291" s="6" t="s">
        <v>2796</v>
      </c>
      <c r="D291" s="7">
        <v>0.72152777777777777</v>
      </c>
      <c r="E291" s="6" t="s">
        <v>16</v>
      </c>
      <c r="F291" s="6" t="s">
        <v>328</v>
      </c>
      <c r="G291" s="4">
        <v>27634</v>
      </c>
      <c r="H291" s="6" t="s">
        <v>104</v>
      </c>
      <c r="I291">
        <v>230</v>
      </c>
      <c r="J291">
        <v>2</v>
      </c>
      <c r="K291">
        <v>460</v>
      </c>
      <c r="L291" s="6" t="s">
        <v>41</v>
      </c>
      <c r="M291" s="6" t="s">
        <v>20</v>
      </c>
      <c r="N291" s="6" t="s">
        <v>33</v>
      </c>
    </row>
    <row r="292" spans="1:14" x14ac:dyDescent="0.25">
      <c r="A292" s="6" t="s">
        <v>577</v>
      </c>
      <c r="B292" s="4">
        <v>45947</v>
      </c>
      <c r="C292" s="6" t="s">
        <v>2791</v>
      </c>
      <c r="D292" s="7">
        <v>0.79729166666666662</v>
      </c>
      <c r="E292" s="6" t="s">
        <v>16</v>
      </c>
      <c r="F292" s="6" t="s">
        <v>17</v>
      </c>
      <c r="G292" s="4">
        <v>26132</v>
      </c>
      <c r="H292" s="6" t="s">
        <v>85</v>
      </c>
      <c r="I292">
        <v>90</v>
      </c>
      <c r="J292">
        <v>1</v>
      </c>
      <c r="K292">
        <v>100</v>
      </c>
      <c r="L292" s="6" t="s">
        <v>54</v>
      </c>
      <c r="M292" s="6" t="s">
        <v>37</v>
      </c>
      <c r="N292" s="6" t="s">
        <v>33</v>
      </c>
    </row>
    <row r="293" spans="1:14" x14ac:dyDescent="0.25">
      <c r="A293" s="6" t="s">
        <v>578</v>
      </c>
      <c r="B293" s="4">
        <v>45951</v>
      </c>
      <c r="C293" s="6" t="s">
        <v>2791</v>
      </c>
      <c r="D293" s="7">
        <v>0.9916666666666667</v>
      </c>
      <c r="E293" s="6" t="s">
        <v>16</v>
      </c>
      <c r="F293" s="6" t="s">
        <v>17</v>
      </c>
      <c r="G293" s="4">
        <v>26132</v>
      </c>
      <c r="H293" s="6" t="s">
        <v>141</v>
      </c>
      <c r="I293">
        <v>110</v>
      </c>
      <c r="J293">
        <v>2</v>
      </c>
      <c r="K293">
        <v>222</v>
      </c>
      <c r="L293" s="6" t="s">
        <v>19</v>
      </c>
      <c r="M293" s="6" t="s">
        <v>47</v>
      </c>
      <c r="N293" s="6" t="s">
        <v>21</v>
      </c>
    </row>
    <row r="294" spans="1:14" x14ac:dyDescent="0.25">
      <c r="A294" s="6" t="s">
        <v>579</v>
      </c>
      <c r="B294" s="4">
        <v>45956</v>
      </c>
      <c r="C294" s="6" t="s">
        <v>2791</v>
      </c>
      <c r="D294" s="7">
        <v>0.42510416666666667</v>
      </c>
      <c r="E294" s="6" t="s">
        <v>16</v>
      </c>
      <c r="F294" s="6" t="s">
        <v>39</v>
      </c>
      <c r="G294" s="4">
        <v>33729</v>
      </c>
      <c r="H294" s="6" t="s">
        <v>53</v>
      </c>
      <c r="I294">
        <v>101</v>
      </c>
      <c r="J294">
        <v>2</v>
      </c>
      <c r="K294">
        <v>203</v>
      </c>
      <c r="L294" s="6" t="s">
        <v>67</v>
      </c>
      <c r="M294" s="6" t="s">
        <v>32</v>
      </c>
      <c r="N294" s="6" t="s">
        <v>21</v>
      </c>
    </row>
    <row r="295" spans="1:14" x14ac:dyDescent="0.25">
      <c r="A295" s="6" t="s">
        <v>580</v>
      </c>
      <c r="B295" s="4">
        <v>45926</v>
      </c>
      <c r="C295" s="6" t="s">
        <v>2797</v>
      </c>
      <c r="D295" s="7">
        <v>0.66003472222222226</v>
      </c>
      <c r="E295" s="6" t="s">
        <v>16</v>
      </c>
      <c r="F295" s="6" t="s">
        <v>334</v>
      </c>
      <c r="G295" s="4">
        <v>38039</v>
      </c>
      <c r="H295" s="6" t="s">
        <v>85</v>
      </c>
      <c r="I295">
        <v>165</v>
      </c>
      <c r="J295">
        <v>1</v>
      </c>
      <c r="K295">
        <v>165</v>
      </c>
      <c r="L295" s="6" t="s">
        <v>2787</v>
      </c>
      <c r="M295" s="6" t="s">
        <v>61</v>
      </c>
      <c r="N295" s="6" t="s">
        <v>21</v>
      </c>
    </row>
    <row r="296" spans="1:14" x14ac:dyDescent="0.25">
      <c r="A296" s="6" t="s">
        <v>581</v>
      </c>
      <c r="B296" s="4">
        <v>45887</v>
      </c>
      <c r="C296" s="6" t="s">
        <v>2793</v>
      </c>
      <c r="D296" s="7">
        <v>0.76180555555555551</v>
      </c>
      <c r="E296" s="6" t="s">
        <v>16</v>
      </c>
      <c r="F296" s="6" t="s">
        <v>582</v>
      </c>
      <c r="G296" s="4">
        <v>29763</v>
      </c>
      <c r="H296" s="6" t="s">
        <v>116</v>
      </c>
      <c r="I296">
        <v>115</v>
      </c>
      <c r="J296">
        <v>1</v>
      </c>
      <c r="K296">
        <v>116</v>
      </c>
      <c r="L296" s="6" t="s">
        <v>2787</v>
      </c>
      <c r="M296" s="6" t="s">
        <v>55</v>
      </c>
      <c r="N296" s="6" t="s">
        <v>56</v>
      </c>
    </row>
    <row r="297" spans="1:14" x14ac:dyDescent="0.25">
      <c r="A297" s="6" t="s">
        <v>584</v>
      </c>
      <c r="B297" s="4">
        <v>45979</v>
      </c>
      <c r="C297" s="6" t="s">
        <v>2802</v>
      </c>
      <c r="D297" s="7">
        <v>0.89526620370370369</v>
      </c>
      <c r="E297" s="6" t="s">
        <v>16</v>
      </c>
      <c r="F297" s="6" t="s">
        <v>451</v>
      </c>
      <c r="G297" s="4">
        <v>35696</v>
      </c>
      <c r="H297" s="6" t="s">
        <v>73</v>
      </c>
      <c r="I297">
        <v>51</v>
      </c>
      <c r="J297">
        <v>1</v>
      </c>
      <c r="K297">
        <v>51</v>
      </c>
      <c r="L297" s="6" t="s">
        <v>2787</v>
      </c>
      <c r="M297" s="6" t="s">
        <v>55</v>
      </c>
      <c r="N297" s="6" t="s">
        <v>74</v>
      </c>
    </row>
    <row r="298" spans="1:14" x14ac:dyDescent="0.25">
      <c r="A298" s="6" t="s">
        <v>586</v>
      </c>
      <c r="B298" s="4">
        <v>45963</v>
      </c>
      <c r="C298" s="6" t="s">
        <v>2802</v>
      </c>
      <c r="D298" s="7">
        <v>0.72986111111111107</v>
      </c>
      <c r="E298" s="6" t="s">
        <v>16</v>
      </c>
      <c r="F298" s="6" t="s">
        <v>256</v>
      </c>
      <c r="G298" s="4">
        <v>39930</v>
      </c>
      <c r="H298" s="6" t="s">
        <v>259</v>
      </c>
      <c r="I298">
        <v>220</v>
      </c>
      <c r="J298">
        <v>3</v>
      </c>
      <c r="K298">
        <v>660</v>
      </c>
      <c r="L298" s="6" t="s">
        <v>19</v>
      </c>
      <c r="M298" s="6" t="s">
        <v>37</v>
      </c>
      <c r="N298" s="6" t="s">
        <v>74</v>
      </c>
    </row>
    <row r="299" spans="1:14" x14ac:dyDescent="0.25">
      <c r="A299" s="6" t="s">
        <v>587</v>
      </c>
      <c r="B299" s="4">
        <v>45797</v>
      </c>
      <c r="C299" s="6" t="s">
        <v>2792</v>
      </c>
      <c r="D299" s="7">
        <v>0.7251157407407407</v>
      </c>
      <c r="E299" s="6" t="s">
        <v>16</v>
      </c>
      <c r="F299" s="6" t="s">
        <v>324</v>
      </c>
      <c r="G299" s="4">
        <v>38027</v>
      </c>
      <c r="H299" s="6" t="s">
        <v>30</v>
      </c>
      <c r="I299">
        <v>313</v>
      </c>
      <c r="J299">
        <v>2</v>
      </c>
      <c r="K299">
        <v>576</v>
      </c>
      <c r="L299" s="6" t="s">
        <v>19</v>
      </c>
      <c r="M299" s="6" t="s">
        <v>89</v>
      </c>
      <c r="N299" s="6" t="s">
        <v>56</v>
      </c>
    </row>
    <row r="300" spans="1:14" x14ac:dyDescent="0.25">
      <c r="A300" s="6" t="s">
        <v>589</v>
      </c>
      <c r="B300" s="4">
        <v>45797</v>
      </c>
      <c r="C300" s="6" t="s">
        <v>2792</v>
      </c>
      <c r="D300" s="7">
        <v>0.88292824074074072</v>
      </c>
      <c r="E300" s="6" t="s">
        <v>16</v>
      </c>
      <c r="F300" s="6" t="s">
        <v>405</v>
      </c>
      <c r="G300" s="4">
        <v>33584</v>
      </c>
      <c r="H300" s="6" t="s">
        <v>85</v>
      </c>
      <c r="I300">
        <v>164</v>
      </c>
      <c r="J300">
        <v>2</v>
      </c>
      <c r="K300">
        <v>328</v>
      </c>
      <c r="L300" s="6" t="s">
        <v>41</v>
      </c>
      <c r="M300" s="6" t="s">
        <v>32</v>
      </c>
      <c r="N300" s="6" t="s">
        <v>74</v>
      </c>
    </row>
    <row r="301" spans="1:14" x14ac:dyDescent="0.25">
      <c r="A301" s="6" t="s">
        <v>590</v>
      </c>
      <c r="B301" s="4">
        <v>45619</v>
      </c>
      <c r="C301" s="6" t="s">
        <v>2802</v>
      </c>
      <c r="D301" s="7">
        <v>0.46666666666666667</v>
      </c>
      <c r="E301" s="6" t="s">
        <v>16</v>
      </c>
      <c r="F301" s="6" t="s">
        <v>328</v>
      </c>
      <c r="G301" s="4">
        <v>26380</v>
      </c>
      <c r="H301" s="6" t="s">
        <v>116</v>
      </c>
      <c r="I301">
        <v>114</v>
      </c>
      <c r="J301">
        <v>2</v>
      </c>
      <c r="K301">
        <v>230</v>
      </c>
      <c r="L301" s="6" t="s">
        <v>54</v>
      </c>
      <c r="M301" s="6" t="s">
        <v>37</v>
      </c>
      <c r="N301" s="6" t="s">
        <v>27</v>
      </c>
    </row>
    <row r="302" spans="1:14" x14ac:dyDescent="0.25">
      <c r="A302" s="6" t="s">
        <v>591</v>
      </c>
      <c r="B302" s="4">
        <v>45793</v>
      </c>
      <c r="C302" s="6" t="s">
        <v>2792</v>
      </c>
      <c r="D302" s="7">
        <v>0.44714120370370369</v>
      </c>
      <c r="E302" s="6" t="s">
        <v>16</v>
      </c>
      <c r="F302" s="6" t="s">
        <v>107</v>
      </c>
      <c r="G302" s="4">
        <v>32279</v>
      </c>
      <c r="H302" s="6" t="s">
        <v>18</v>
      </c>
      <c r="I302">
        <v>83</v>
      </c>
      <c r="J302">
        <v>1</v>
      </c>
      <c r="K302">
        <v>83</v>
      </c>
      <c r="L302" s="6" t="s">
        <v>41</v>
      </c>
      <c r="M302" s="6" t="s">
        <v>47</v>
      </c>
      <c r="N302" s="6" t="s">
        <v>27</v>
      </c>
    </row>
    <row r="303" spans="1:14" x14ac:dyDescent="0.25">
      <c r="A303" s="6" t="s">
        <v>592</v>
      </c>
      <c r="B303" s="4">
        <v>45734</v>
      </c>
      <c r="C303" s="6" t="s">
        <v>2798</v>
      </c>
      <c r="D303" s="7">
        <v>0.4284722222222222</v>
      </c>
      <c r="E303" s="6" t="s">
        <v>16</v>
      </c>
      <c r="F303" s="6" t="s">
        <v>594</v>
      </c>
      <c r="G303" s="4">
        <v>26859</v>
      </c>
      <c r="H303" s="6" t="s">
        <v>116</v>
      </c>
      <c r="I303">
        <v>207</v>
      </c>
      <c r="J303">
        <v>2</v>
      </c>
      <c r="K303">
        <v>416</v>
      </c>
      <c r="L303" s="6" t="s">
        <v>54</v>
      </c>
      <c r="M303" s="6" t="s">
        <v>55</v>
      </c>
      <c r="N303" s="6" t="s">
        <v>56</v>
      </c>
    </row>
    <row r="304" spans="1:14" x14ac:dyDescent="0.25">
      <c r="A304" s="6" t="s">
        <v>595</v>
      </c>
      <c r="B304" s="4">
        <v>45725</v>
      </c>
      <c r="C304" s="6" t="s">
        <v>2798</v>
      </c>
      <c r="D304" s="7">
        <v>0.79583333333333328</v>
      </c>
      <c r="E304" s="6" t="s">
        <v>16</v>
      </c>
      <c r="F304" s="6" t="s">
        <v>166</v>
      </c>
      <c r="G304" s="4">
        <v>28065</v>
      </c>
      <c r="H304" s="6" t="s">
        <v>259</v>
      </c>
      <c r="I304">
        <v>107</v>
      </c>
      <c r="J304">
        <v>3</v>
      </c>
      <c r="K304">
        <v>322</v>
      </c>
      <c r="L304" s="6" t="s">
        <v>67</v>
      </c>
      <c r="M304" s="6" t="s">
        <v>47</v>
      </c>
      <c r="N304" s="6" t="s">
        <v>56</v>
      </c>
    </row>
    <row r="305" spans="1:14" x14ac:dyDescent="0.25">
      <c r="A305" s="6" t="s">
        <v>596</v>
      </c>
      <c r="B305" s="4">
        <v>45667</v>
      </c>
      <c r="C305" s="6" t="s">
        <v>2794</v>
      </c>
      <c r="D305" s="7">
        <v>0.61527777777777781</v>
      </c>
      <c r="E305" s="6" t="s">
        <v>16</v>
      </c>
      <c r="F305" s="6" t="s">
        <v>597</v>
      </c>
      <c r="G305" s="4">
        <v>38695</v>
      </c>
      <c r="H305" s="6" t="s">
        <v>40</v>
      </c>
      <c r="I305">
        <v>191</v>
      </c>
      <c r="J305">
        <v>1</v>
      </c>
      <c r="K305">
        <v>191</v>
      </c>
      <c r="L305" s="6" t="s">
        <v>41</v>
      </c>
      <c r="M305" s="6" t="s">
        <v>89</v>
      </c>
      <c r="N305" s="6" t="s">
        <v>105</v>
      </c>
    </row>
    <row r="306" spans="1:14" x14ac:dyDescent="0.25">
      <c r="A306" s="6" t="s">
        <v>598</v>
      </c>
      <c r="B306" s="4">
        <v>45906</v>
      </c>
      <c r="C306" s="6" t="s">
        <v>2797</v>
      </c>
      <c r="D306" s="7">
        <v>0.91140046296296295</v>
      </c>
      <c r="E306" s="6" t="s">
        <v>16</v>
      </c>
      <c r="F306" s="6" t="s">
        <v>256</v>
      </c>
      <c r="G306" s="4">
        <v>29458</v>
      </c>
      <c r="H306" s="6" t="s">
        <v>178</v>
      </c>
      <c r="I306">
        <v>191</v>
      </c>
      <c r="J306">
        <v>3</v>
      </c>
      <c r="K306">
        <v>191</v>
      </c>
      <c r="L306" s="6" t="s">
        <v>2787</v>
      </c>
      <c r="M306" s="6" t="s">
        <v>89</v>
      </c>
      <c r="N306" s="6" t="s">
        <v>33</v>
      </c>
    </row>
    <row r="307" spans="1:14" x14ac:dyDescent="0.25">
      <c r="A307" s="6" t="s">
        <v>599</v>
      </c>
      <c r="B307" s="4">
        <v>45768</v>
      </c>
      <c r="C307" s="6" t="s">
        <v>2801</v>
      </c>
      <c r="D307" s="7">
        <v>0.50972222222222219</v>
      </c>
      <c r="E307" s="6" t="s">
        <v>16</v>
      </c>
      <c r="F307" s="6" t="s">
        <v>600</v>
      </c>
      <c r="G307" s="4">
        <v>31845</v>
      </c>
      <c r="H307" s="6" t="s">
        <v>45</v>
      </c>
      <c r="I307">
        <v>189</v>
      </c>
      <c r="J307">
        <v>1</v>
      </c>
      <c r="K307">
        <v>189</v>
      </c>
      <c r="L307" s="6" t="s">
        <v>19</v>
      </c>
      <c r="M307" s="6" t="s">
        <v>55</v>
      </c>
      <c r="N307" s="6" t="s">
        <v>105</v>
      </c>
    </row>
    <row r="308" spans="1:14" x14ac:dyDescent="0.25">
      <c r="A308" s="6" t="s">
        <v>601</v>
      </c>
      <c r="B308" s="4">
        <v>45799</v>
      </c>
      <c r="C308" s="6" t="s">
        <v>2792</v>
      </c>
      <c r="D308" s="7">
        <v>0.51111111111111107</v>
      </c>
      <c r="E308" s="6" t="s">
        <v>16</v>
      </c>
      <c r="F308" s="6" t="s">
        <v>79</v>
      </c>
      <c r="G308" s="4">
        <v>34647</v>
      </c>
      <c r="H308" s="6" t="s">
        <v>129</v>
      </c>
      <c r="I308">
        <v>165</v>
      </c>
      <c r="J308">
        <v>2</v>
      </c>
      <c r="K308">
        <v>331</v>
      </c>
      <c r="L308" s="6" t="s">
        <v>19</v>
      </c>
      <c r="M308" s="6" t="s">
        <v>37</v>
      </c>
      <c r="N308" s="6" t="s">
        <v>105</v>
      </c>
    </row>
    <row r="309" spans="1:14" x14ac:dyDescent="0.25">
      <c r="A309" s="6" t="s">
        <v>602</v>
      </c>
      <c r="B309" s="4">
        <v>45711</v>
      </c>
      <c r="C309" s="6" t="s">
        <v>2799</v>
      </c>
      <c r="D309" s="7">
        <v>0.56666666666666665</v>
      </c>
      <c r="E309" s="6" t="s">
        <v>16</v>
      </c>
      <c r="F309" s="6" t="s">
        <v>603</v>
      </c>
      <c r="G309" s="4">
        <v>29789</v>
      </c>
      <c r="H309" s="6" t="s">
        <v>104</v>
      </c>
      <c r="I309">
        <v>165</v>
      </c>
      <c r="J309">
        <v>1</v>
      </c>
      <c r="K309">
        <v>331</v>
      </c>
      <c r="L309" s="6" t="s">
        <v>54</v>
      </c>
      <c r="M309" s="6" t="s">
        <v>55</v>
      </c>
      <c r="N309" s="6" t="s">
        <v>27</v>
      </c>
    </row>
    <row r="310" spans="1:14" x14ac:dyDescent="0.25">
      <c r="A310" s="6" t="s">
        <v>604</v>
      </c>
      <c r="B310" s="4">
        <v>45744</v>
      </c>
      <c r="C310" s="6" t="s">
        <v>2798</v>
      </c>
      <c r="D310" s="7">
        <v>0.52777777777777779</v>
      </c>
      <c r="E310" s="6" t="s">
        <v>16</v>
      </c>
      <c r="F310" s="6" t="s">
        <v>405</v>
      </c>
      <c r="G310" s="4">
        <v>27489</v>
      </c>
      <c r="H310" s="6" t="s">
        <v>116</v>
      </c>
      <c r="I310">
        <v>265</v>
      </c>
      <c r="J310">
        <v>1</v>
      </c>
      <c r="K310">
        <v>266</v>
      </c>
      <c r="L310" s="6" t="s">
        <v>41</v>
      </c>
      <c r="M310" s="6" t="s">
        <v>55</v>
      </c>
      <c r="N310" s="6" t="s">
        <v>33</v>
      </c>
    </row>
    <row r="311" spans="1:14" x14ac:dyDescent="0.25">
      <c r="A311" s="6" t="s">
        <v>605</v>
      </c>
      <c r="B311" s="4">
        <v>45629</v>
      </c>
      <c r="C311" s="6" t="s">
        <v>2796</v>
      </c>
      <c r="D311" s="7">
        <v>0.51575231481481476</v>
      </c>
      <c r="E311" s="6" t="s">
        <v>16</v>
      </c>
      <c r="F311" s="6" t="s">
        <v>84</v>
      </c>
      <c r="G311" s="4">
        <v>28343</v>
      </c>
      <c r="H311" s="6" t="s">
        <v>77</v>
      </c>
      <c r="I311">
        <v>239</v>
      </c>
      <c r="J311">
        <v>3</v>
      </c>
      <c r="K311">
        <v>719</v>
      </c>
      <c r="L311" s="6" t="s">
        <v>2787</v>
      </c>
      <c r="M311" s="6" t="s">
        <v>89</v>
      </c>
      <c r="N311" s="6" t="s">
        <v>56</v>
      </c>
    </row>
    <row r="312" spans="1:14" x14ac:dyDescent="0.25">
      <c r="A312" s="6" t="s">
        <v>607</v>
      </c>
      <c r="B312" s="4">
        <v>45670</v>
      </c>
      <c r="C312" s="6" t="s">
        <v>2794</v>
      </c>
      <c r="D312" s="7">
        <v>0.84998842592592594</v>
      </c>
      <c r="E312" s="6" t="s">
        <v>16</v>
      </c>
      <c r="F312" s="6" t="s">
        <v>295</v>
      </c>
      <c r="G312" s="4">
        <v>29164</v>
      </c>
      <c r="H312" s="6" t="s">
        <v>164</v>
      </c>
      <c r="I312">
        <v>248</v>
      </c>
      <c r="J312">
        <v>2</v>
      </c>
      <c r="K312">
        <v>497</v>
      </c>
      <c r="L312" s="6" t="s">
        <v>41</v>
      </c>
      <c r="M312" s="6" t="s">
        <v>32</v>
      </c>
      <c r="N312" s="6" t="s">
        <v>27</v>
      </c>
    </row>
    <row r="313" spans="1:14" x14ac:dyDescent="0.25">
      <c r="A313" s="6" t="s">
        <v>609</v>
      </c>
      <c r="B313" s="4">
        <v>45951</v>
      </c>
      <c r="C313" s="6" t="s">
        <v>2791</v>
      </c>
      <c r="D313" s="7">
        <v>0.69097222222222221</v>
      </c>
      <c r="E313" s="6" t="s">
        <v>16</v>
      </c>
      <c r="F313" s="6" t="s">
        <v>189</v>
      </c>
      <c r="G313" s="4">
        <v>34384</v>
      </c>
      <c r="H313" s="6" t="s">
        <v>126</v>
      </c>
      <c r="I313">
        <v>213</v>
      </c>
      <c r="J313">
        <v>3</v>
      </c>
      <c r="K313">
        <v>641</v>
      </c>
      <c r="L313" s="6" t="s">
        <v>19</v>
      </c>
      <c r="M313" s="6" t="s">
        <v>55</v>
      </c>
      <c r="N313" s="6" t="s">
        <v>56</v>
      </c>
    </row>
    <row r="314" spans="1:14" x14ac:dyDescent="0.25">
      <c r="A314" s="6" t="s">
        <v>612</v>
      </c>
      <c r="B314" s="4">
        <v>45801</v>
      </c>
      <c r="C314" s="6" t="s">
        <v>2792</v>
      </c>
      <c r="D314" s="7">
        <v>0.60347222222222219</v>
      </c>
      <c r="E314" s="6" t="s">
        <v>16</v>
      </c>
      <c r="F314" s="6" t="s">
        <v>95</v>
      </c>
      <c r="G314" s="4">
        <v>33584</v>
      </c>
      <c r="H314" s="6" t="s">
        <v>73</v>
      </c>
      <c r="I314">
        <v>43</v>
      </c>
      <c r="J314">
        <v>2</v>
      </c>
      <c r="K314">
        <v>87</v>
      </c>
      <c r="L314" s="6" t="s">
        <v>54</v>
      </c>
      <c r="M314" s="6" t="s">
        <v>20</v>
      </c>
      <c r="N314" s="6" t="s">
        <v>27</v>
      </c>
    </row>
    <row r="315" spans="1:14" x14ac:dyDescent="0.25">
      <c r="A315" s="6" t="s">
        <v>613</v>
      </c>
      <c r="B315" s="4">
        <v>45710</v>
      </c>
      <c r="C315" s="6" t="s">
        <v>2799</v>
      </c>
      <c r="D315" s="7">
        <v>0.89842592592592596</v>
      </c>
      <c r="E315" s="6" t="s">
        <v>16</v>
      </c>
      <c r="F315" s="6" t="s">
        <v>187</v>
      </c>
      <c r="G315" s="4">
        <v>25692</v>
      </c>
      <c r="H315" s="6" t="s">
        <v>199</v>
      </c>
      <c r="I315">
        <v>197</v>
      </c>
      <c r="J315">
        <v>2</v>
      </c>
      <c r="K315">
        <v>395</v>
      </c>
      <c r="L315" s="6" t="s">
        <v>41</v>
      </c>
      <c r="M315" s="6" t="s">
        <v>89</v>
      </c>
      <c r="N315" s="6" t="s">
        <v>21</v>
      </c>
    </row>
    <row r="316" spans="1:14" x14ac:dyDescent="0.25">
      <c r="A316" s="6" t="s">
        <v>614</v>
      </c>
      <c r="B316" s="4">
        <v>45884</v>
      </c>
      <c r="C316" s="6" t="s">
        <v>2793</v>
      </c>
      <c r="D316" s="7">
        <v>0.88402777777777775</v>
      </c>
      <c r="E316" s="6" t="s">
        <v>16</v>
      </c>
      <c r="F316" s="6" t="s">
        <v>252</v>
      </c>
      <c r="G316" s="4">
        <v>38652</v>
      </c>
      <c r="H316" s="6" t="s">
        <v>53</v>
      </c>
      <c r="I316">
        <v>88</v>
      </c>
      <c r="J316">
        <v>2</v>
      </c>
      <c r="K316">
        <v>163</v>
      </c>
      <c r="L316" s="6" t="s">
        <v>19</v>
      </c>
      <c r="M316" s="6" t="s">
        <v>26</v>
      </c>
      <c r="N316" s="6" t="s">
        <v>33</v>
      </c>
    </row>
    <row r="317" spans="1:14" x14ac:dyDescent="0.25">
      <c r="A317" s="6" t="s">
        <v>615</v>
      </c>
      <c r="B317" s="4">
        <v>45884</v>
      </c>
      <c r="C317" s="6" t="s">
        <v>2793</v>
      </c>
      <c r="D317" s="7">
        <v>0.59166666666666667</v>
      </c>
      <c r="E317" s="6" t="s">
        <v>16</v>
      </c>
      <c r="F317" s="6" t="s">
        <v>346</v>
      </c>
      <c r="G317" s="4">
        <v>38992</v>
      </c>
      <c r="H317" s="6" t="s">
        <v>199</v>
      </c>
      <c r="I317">
        <v>250</v>
      </c>
      <c r="J317">
        <v>1</v>
      </c>
      <c r="K317">
        <v>250</v>
      </c>
      <c r="L317" s="6" t="s">
        <v>41</v>
      </c>
      <c r="M317" s="6" t="s">
        <v>26</v>
      </c>
      <c r="N317" s="6" t="s">
        <v>33</v>
      </c>
    </row>
    <row r="318" spans="1:14" x14ac:dyDescent="0.25">
      <c r="A318" s="6" t="s">
        <v>616</v>
      </c>
      <c r="B318" s="4">
        <v>45884</v>
      </c>
      <c r="C318" s="6" t="s">
        <v>2793</v>
      </c>
      <c r="D318" s="7">
        <v>0.93333333333333335</v>
      </c>
      <c r="E318" s="6" t="s">
        <v>16</v>
      </c>
      <c r="F318" s="6" t="s">
        <v>351</v>
      </c>
      <c r="G318" s="4">
        <v>27701</v>
      </c>
      <c r="H318" s="6" t="s">
        <v>85</v>
      </c>
      <c r="I318">
        <v>166</v>
      </c>
      <c r="J318">
        <v>1</v>
      </c>
      <c r="K318">
        <v>167</v>
      </c>
      <c r="L318" s="6" t="s">
        <v>41</v>
      </c>
      <c r="M318" s="6" t="s">
        <v>55</v>
      </c>
      <c r="N318" s="6" t="s">
        <v>74</v>
      </c>
    </row>
    <row r="319" spans="1:14" x14ac:dyDescent="0.25">
      <c r="A319" s="6" t="s">
        <v>617</v>
      </c>
      <c r="B319" s="4">
        <v>45739</v>
      </c>
      <c r="C319" s="6" t="s">
        <v>2798</v>
      </c>
      <c r="D319" s="7">
        <v>0.52546296296296291</v>
      </c>
      <c r="E319" s="6" t="s">
        <v>16</v>
      </c>
      <c r="F319" s="6" t="s">
        <v>211</v>
      </c>
      <c r="G319" s="4">
        <v>38399</v>
      </c>
      <c r="H319" s="6" t="s">
        <v>60</v>
      </c>
      <c r="I319">
        <v>269</v>
      </c>
      <c r="J319">
        <v>2</v>
      </c>
      <c r="K319">
        <v>538</v>
      </c>
      <c r="L319" s="6" t="s">
        <v>19</v>
      </c>
      <c r="M319" s="6" t="s">
        <v>61</v>
      </c>
      <c r="N319" s="6" t="s">
        <v>105</v>
      </c>
    </row>
    <row r="320" spans="1:14" x14ac:dyDescent="0.25">
      <c r="A320" s="6" t="s">
        <v>618</v>
      </c>
      <c r="B320" s="4">
        <v>45803</v>
      </c>
      <c r="C320" s="6" t="s">
        <v>2792</v>
      </c>
      <c r="D320" s="7">
        <v>0.70416666666666672</v>
      </c>
      <c r="E320" s="6" t="s">
        <v>16</v>
      </c>
      <c r="F320" s="6" t="s">
        <v>358</v>
      </c>
      <c r="G320" s="4">
        <v>33027</v>
      </c>
      <c r="H320" s="6" t="s">
        <v>77</v>
      </c>
      <c r="I320">
        <v>148</v>
      </c>
      <c r="J320">
        <v>3</v>
      </c>
      <c r="K320">
        <v>446</v>
      </c>
      <c r="L320" s="6" t="s">
        <v>41</v>
      </c>
      <c r="M320" s="6" t="s">
        <v>61</v>
      </c>
      <c r="N320" s="6" t="s">
        <v>21</v>
      </c>
    </row>
    <row r="321" spans="1:14" x14ac:dyDescent="0.25">
      <c r="A321" s="6" t="s">
        <v>620</v>
      </c>
      <c r="B321" s="4">
        <v>45795</v>
      </c>
      <c r="C321" s="6" t="s">
        <v>2792</v>
      </c>
      <c r="D321" s="7">
        <v>0.46180555555555558</v>
      </c>
      <c r="E321" s="6" t="s">
        <v>16</v>
      </c>
      <c r="F321" s="6" t="s">
        <v>622</v>
      </c>
      <c r="G321" s="4">
        <v>33280</v>
      </c>
      <c r="H321" s="6" t="s">
        <v>110</v>
      </c>
      <c r="I321">
        <v>112</v>
      </c>
      <c r="J321">
        <v>2</v>
      </c>
      <c r="K321">
        <v>221</v>
      </c>
      <c r="L321" s="6" t="s">
        <v>41</v>
      </c>
      <c r="M321" s="6" t="s">
        <v>47</v>
      </c>
      <c r="N321" s="6" t="s">
        <v>105</v>
      </c>
    </row>
    <row r="322" spans="1:14" x14ac:dyDescent="0.25">
      <c r="A322" s="6" t="s">
        <v>623</v>
      </c>
      <c r="B322" s="4">
        <v>45725</v>
      </c>
      <c r="C322" s="6" t="s">
        <v>2798</v>
      </c>
      <c r="D322" s="7">
        <v>0.59444444444444444</v>
      </c>
      <c r="E322" s="6" t="s">
        <v>16</v>
      </c>
      <c r="F322" s="6" t="s">
        <v>624</v>
      </c>
      <c r="G322" s="4">
        <v>32857</v>
      </c>
      <c r="H322" s="6" t="s">
        <v>164</v>
      </c>
      <c r="I322">
        <v>350</v>
      </c>
      <c r="J322">
        <v>3</v>
      </c>
      <c r="K322">
        <v>1051</v>
      </c>
      <c r="L322" s="6" t="s">
        <v>41</v>
      </c>
      <c r="M322" s="6" t="s">
        <v>32</v>
      </c>
      <c r="N322" s="6" t="s">
        <v>74</v>
      </c>
    </row>
    <row r="323" spans="1:14" x14ac:dyDescent="0.25">
      <c r="A323" s="6" t="s">
        <v>625</v>
      </c>
      <c r="B323" s="4">
        <v>45622</v>
      </c>
      <c r="C323" s="6" t="s">
        <v>2802</v>
      </c>
      <c r="D323" s="7">
        <v>0.49027777777777776</v>
      </c>
      <c r="E323" s="6" t="s">
        <v>16</v>
      </c>
      <c r="F323" s="6" t="s">
        <v>161</v>
      </c>
      <c r="G323" s="4">
        <v>32878</v>
      </c>
      <c r="H323" s="6" t="s">
        <v>110</v>
      </c>
      <c r="I323">
        <v>116</v>
      </c>
      <c r="J323">
        <v>1</v>
      </c>
      <c r="K323">
        <v>116</v>
      </c>
      <c r="L323" s="6" t="s">
        <v>19</v>
      </c>
      <c r="M323" s="6" t="s">
        <v>55</v>
      </c>
      <c r="N323" s="6" t="s">
        <v>33</v>
      </c>
    </row>
    <row r="324" spans="1:14" x14ac:dyDescent="0.25">
      <c r="A324" s="6" t="s">
        <v>627</v>
      </c>
      <c r="B324" s="4">
        <v>45713</v>
      </c>
      <c r="C324" s="6" t="s">
        <v>2799</v>
      </c>
      <c r="D324" s="7">
        <v>0.8084837962962963</v>
      </c>
      <c r="E324" s="6" t="s">
        <v>16</v>
      </c>
      <c r="F324" s="6" t="s">
        <v>628</v>
      </c>
      <c r="G324" s="4">
        <v>25746</v>
      </c>
      <c r="H324" s="6" t="s">
        <v>126</v>
      </c>
      <c r="I324">
        <v>97</v>
      </c>
      <c r="J324">
        <v>1</v>
      </c>
      <c r="K324">
        <v>98</v>
      </c>
      <c r="L324" s="6" t="s">
        <v>19</v>
      </c>
      <c r="M324" s="6" t="s">
        <v>37</v>
      </c>
      <c r="N324" s="6" t="s">
        <v>33</v>
      </c>
    </row>
    <row r="325" spans="1:14" x14ac:dyDescent="0.25">
      <c r="A325" s="6" t="s">
        <v>629</v>
      </c>
      <c r="B325" s="4">
        <v>45921</v>
      </c>
      <c r="C325" s="6" t="s">
        <v>2797</v>
      </c>
      <c r="D325" s="7">
        <v>0.6791666666666667</v>
      </c>
      <c r="E325" s="6" t="s">
        <v>16</v>
      </c>
      <c r="F325" s="6" t="s">
        <v>131</v>
      </c>
      <c r="G325" s="4">
        <v>33584</v>
      </c>
      <c r="H325" s="6" t="s">
        <v>73</v>
      </c>
      <c r="I325">
        <v>38</v>
      </c>
      <c r="J325">
        <v>2</v>
      </c>
      <c r="K325">
        <v>76</v>
      </c>
      <c r="L325" s="6" t="s">
        <v>19</v>
      </c>
      <c r="M325" s="6" t="s">
        <v>20</v>
      </c>
      <c r="N325" s="6" t="s">
        <v>21</v>
      </c>
    </row>
    <row r="326" spans="1:14" x14ac:dyDescent="0.25">
      <c r="A326" s="6" t="s">
        <v>631</v>
      </c>
      <c r="B326" s="4">
        <v>45717</v>
      </c>
      <c r="C326" s="6" t="s">
        <v>2798</v>
      </c>
      <c r="D326" s="7">
        <v>0.66039351851851846</v>
      </c>
      <c r="E326" s="6" t="s">
        <v>16</v>
      </c>
      <c r="F326" s="6" t="s">
        <v>632</v>
      </c>
      <c r="G326" s="4">
        <v>30935</v>
      </c>
      <c r="H326" s="6" t="s">
        <v>36</v>
      </c>
      <c r="I326">
        <v>38</v>
      </c>
      <c r="J326">
        <v>3</v>
      </c>
      <c r="K326">
        <v>76</v>
      </c>
      <c r="L326" s="6" t="s">
        <v>19</v>
      </c>
      <c r="M326" s="6" t="s">
        <v>32</v>
      </c>
      <c r="N326" s="6" t="s">
        <v>27</v>
      </c>
    </row>
    <row r="327" spans="1:14" x14ac:dyDescent="0.25">
      <c r="A327" s="6" t="s">
        <v>633</v>
      </c>
      <c r="B327" s="4">
        <v>45909</v>
      </c>
      <c r="C327" s="6" t="s">
        <v>2797</v>
      </c>
      <c r="D327" s="7">
        <v>0.76736111111111116</v>
      </c>
      <c r="E327" s="6" t="s">
        <v>16</v>
      </c>
      <c r="F327" s="6" t="s">
        <v>144</v>
      </c>
      <c r="G327" s="4">
        <v>38903</v>
      </c>
      <c r="H327" s="6" t="s">
        <v>145</v>
      </c>
      <c r="I327">
        <v>290</v>
      </c>
      <c r="J327">
        <v>2</v>
      </c>
      <c r="K327">
        <v>582</v>
      </c>
      <c r="L327" s="6" t="s">
        <v>19</v>
      </c>
      <c r="M327" s="6" t="s">
        <v>47</v>
      </c>
      <c r="N327" s="6" t="s">
        <v>21</v>
      </c>
    </row>
    <row r="328" spans="1:14" x14ac:dyDescent="0.25">
      <c r="A328" s="6" t="s">
        <v>634</v>
      </c>
      <c r="B328" s="4">
        <v>45909</v>
      </c>
      <c r="C328" s="6" t="s">
        <v>2797</v>
      </c>
      <c r="D328" s="7">
        <v>0.44444444444444442</v>
      </c>
      <c r="E328" s="6" t="s">
        <v>16</v>
      </c>
      <c r="F328" s="6" t="s">
        <v>59</v>
      </c>
      <c r="G328" s="4">
        <v>38903</v>
      </c>
      <c r="H328" s="6" t="s">
        <v>259</v>
      </c>
      <c r="I328">
        <v>361</v>
      </c>
      <c r="J328">
        <v>1</v>
      </c>
      <c r="K328">
        <v>362</v>
      </c>
      <c r="L328" s="6" t="s">
        <v>41</v>
      </c>
      <c r="M328" s="6" t="s">
        <v>89</v>
      </c>
      <c r="N328" s="6" t="s">
        <v>105</v>
      </c>
    </row>
    <row r="329" spans="1:14" x14ac:dyDescent="0.25">
      <c r="A329" s="6" t="s">
        <v>635</v>
      </c>
      <c r="B329" s="4">
        <v>45757</v>
      </c>
      <c r="C329" s="6" t="s">
        <v>2801</v>
      </c>
      <c r="D329" s="7">
        <v>0.83402777777777781</v>
      </c>
      <c r="E329" s="6" t="s">
        <v>16</v>
      </c>
      <c r="F329" s="6" t="s">
        <v>246</v>
      </c>
      <c r="G329" s="4">
        <v>27829</v>
      </c>
      <c r="H329" s="6" t="s">
        <v>53</v>
      </c>
      <c r="I329">
        <v>85</v>
      </c>
      <c r="J329">
        <v>2</v>
      </c>
      <c r="K329">
        <v>171</v>
      </c>
      <c r="L329" s="6" t="s">
        <v>41</v>
      </c>
      <c r="M329" s="6" t="s">
        <v>37</v>
      </c>
      <c r="N329" s="6" t="s">
        <v>48</v>
      </c>
    </row>
    <row r="330" spans="1:14" x14ac:dyDescent="0.25">
      <c r="A330" s="6" t="s">
        <v>636</v>
      </c>
      <c r="B330" s="4">
        <v>45622</v>
      </c>
      <c r="C330" s="6" t="s">
        <v>2802</v>
      </c>
      <c r="D330" s="7">
        <v>0.47317129629629628</v>
      </c>
      <c r="E330" s="6" t="s">
        <v>16</v>
      </c>
      <c r="F330" s="6" t="s">
        <v>360</v>
      </c>
      <c r="G330" s="4">
        <v>31450</v>
      </c>
      <c r="H330" s="6" t="s">
        <v>40</v>
      </c>
      <c r="I330">
        <v>162</v>
      </c>
      <c r="J330">
        <v>2</v>
      </c>
      <c r="K330">
        <v>326</v>
      </c>
      <c r="L330" s="6" t="s">
        <v>2787</v>
      </c>
      <c r="M330" s="6" t="s">
        <v>61</v>
      </c>
      <c r="N330" s="6" t="s">
        <v>48</v>
      </c>
    </row>
    <row r="331" spans="1:14" x14ac:dyDescent="0.25">
      <c r="A331" s="6" t="s">
        <v>637</v>
      </c>
      <c r="B331" s="4">
        <v>45840</v>
      </c>
      <c r="C331" s="6" t="s">
        <v>2795</v>
      </c>
      <c r="D331" s="7">
        <v>0.55277777777777781</v>
      </c>
      <c r="E331" s="6" t="s">
        <v>16</v>
      </c>
      <c r="F331" s="6" t="s">
        <v>225</v>
      </c>
      <c r="G331" s="4">
        <v>39208</v>
      </c>
      <c r="H331" s="6" t="s">
        <v>77</v>
      </c>
      <c r="I331">
        <v>176</v>
      </c>
      <c r="J331">
        <v>1</v>
      </c>
      <c r="K331">
        <v>176</v>
      </c>
      <c r="L331" s="6" t="s">
        <v>2787</v>
      </c>
      <c r="M331" s="6" t="s">
        <v>20</v>
      </c>
      <c r="N331" s="6" t="s">
        <v>48</v>
      </c>
    </row>
    <row r="332" spans="1:14" x14ac:dyDescent="0.25">
      <c r="A332" s="6" t="s">
        <v>638</v>
      </c>
      <c r="B332" s="4">
        <v>45926</v>
      </c>
      <c r="C332" s="6" t="s">
        <v>2797</v>
      </c>
      <c r="D332" s="7">
        <v>0.66736111111111107</v>
      </c>
      <c r="E332" s="6" t="s">
        <v>16</v>
      </c>
      <c r="F332" s="6" t="s">
        <v>222</v>
      </c>
      <c r="G332" s="4">
        <v>39208</v>
      </c>
      <c r="H332" s="6" t="s">
        <v>126</v>
      </c>
      <c r="I332">
        <v>226</v>
      </c>
      <c r="J332">
        <v>1</v>
      </c>
      <c r="K332">
        <v>227</v>
      </c>
      <c r="L332" s="6" t="s">
        <v>2787</v>
      </c>
      <c r="M332" s="6" t="s">
        <v>26</v>
      </c>
      <c r="N332" s="6" t="s">
        <v>74</v>
      </c>
    </row>
    <row r="333" spans="1:14" x14ac:dyDescent="0.25">
      <c r="A333" s="6" t="s">
        <v>639</v>
      </c>
      <c r="B333" s="4">
        <v>45966</v>
      </c>
      <c r="C333" s="6" t="s">
        <v>2802</v>
      </c>
      <c r="D333" s="7">
        <v>0.97222222222222221</v>
      </c>
      <c r="E333" s="6" t="s">
        <v>16</v>
      </c>
      <c r="F333" s="6" t="s">
        <v>640</v>
      </c>
      <c r="G333" s="4">
        <v>35099</v>
      </c>
      <c r="H333" s="6" t="s">
        <v>141</v>
      </c>
      <c r="I333">
        <v>226</v>
      </c>
      <c r="J333">
        <v>2</v>
      </c>
      <c r="K333">
        <v>227</v>
      </c>
      <c r="L333" s="6" t="s">
        <v>54</v>
      </c>
      <c r="M333" s="6" t="s">
        <v>55</v>
      </c>
      <c r="N333" s="6" t="s">
        <v>56</v>
      </c>
    </row>
    <row r="334" spans="1:14" x14ac:dyDescent="0.25">
      <c r="A334" s="6" t="s">
        <v>641</v>
      </c>
      <c r="B334" s="4">
        <v>45966</v>
      </c>
      <c r="C334" s="6" t="s">
        <v>2802</v>
      </c>
      <c r="D334" s="7">
        <v>0.71311342592592597</v>
      </c>
      <c r="E334" s="6" t="s">
        <v>16</v>
      </c>
      <c r="F334" s="6" t="s">
        <v>76</v>
      </c>
      <c r="G334" s="4">
        <v>34748</v>
      </c>
      <c r="H334" s="6" t="s">
        <v>116</v>
      </c>
      <c r="I334">
        <v>48</v>
      </c>
      <c r="J334">
        <v>1</v>
      </c>
      <c r="K334">
        <v>49</v>
      </c>
      <c r="L334" s="6" t="s">
        <v>41</v>
      </c>
      <c r="M334" s="6" t="s">
        <v>47</v>
      </c>
      <c r="N334" s="6" t="s">
        <v>27</v>
      </c>
    </row>
    <row r="335" spans="1:14" x14ac:dyDescent="0.25">
      <c r="A335" s="6" t="s">
        <v>642</v>
      </c>
      <c r="B335" s="4">
        <v>45662</v>
      </c>
      <c r="C335" s="6" t="s">
        <v>2794</v>
      </c>
      <c r="D335" s="7">
        <v>0.99791666666666667</v>
      </c>
      <c r="E335" s="6" t="s">
        <v>16</v>
      </c>
      <c r="F335" s="6" t="s">
        <v>258</v>
      </c>
      <c r="G335" s="4">
        <v>28135</v>
      </c>
      <c r="H335" s="6" t="s">
        <v>126</v>
      </c>
      <c r="I335">
        <v>354</v>
      </c>
      <c r="J335">
        <v>2</v>
      </c>
      <c r="K335">
        <v>708</v>
      </c>
      <c r="L335" s="6" t="s">
        <v>67</v>
      </c>
      <c r="M335" s="6" t="s">
        <v>61</v>
      </c>
      <c r="N335" s="6" t="s">
        <v>27</v>
      </c>
    </row>
    <row r="336" spans="1:14" x14ac:dyDescent="0.25">
      <c r="A336" s="6" t="s">
        <v>643</v>
      </c>
      <c r="B336" s="4">
        <v>45760</v>
      </c>
      <c r="C336" s="6" t="s">
        <v>2801</v>
      </c>
      <c r="D336" s="7">
        <v>0.54532407407407413</v>
      </c>
      <c r="E336" s="6" t="s">
        <v>16</v>
      </c>
      <c r="F336" s="6" t="s">
        <v>295</v>
      </c>
      <c r="G336" s="4">
        <v>31372</v>
      </c>
      <c r="H336" s="6" t="s">
        <v>30</v>
      </c>
      <c r="I336">
        <v>208</v>
      </c>
      <c r="J336">
        <v>3</v>
      </c>
      <c r="K336">
        <v>626</v>
      </c>
      <c r="L336" s="6" t="s">
        <v>2787</v>
      </c>
      <c r="M336" s="6" t="s">
        <v>61</v>
      </c>
      <c r="N336" s="6" t="s">
        <v>27</v>
      </c>
    </row>
    <row r="337" spans="1:14" x14ac:dyDescent="0.25">
      <c r="A337" s="6" t="s">
        <v>645</v>
      </c>
      <c r="B337" s="4">
        <v>45875</v>
      </c>
      <c r="C337" s="6" t="s">
        <v>2793</v>
      </c>
      <c r="D337" s="7">
        <v>0.58221064814814816</v>
      </c>
      <c r="E337" s="6" t="s">
        <v>16</v>
      </c>
      <c r="F337" s="6" t="s">
        <v>387</v>
      </c>
      <c r="G337" s="4">
        <v>29991</v>
      </c>
      <c r="H337" s="6" t="s">
        <v>93</v>
      </c>
      <c r="I337">
        <v>208</v>
      </c>
      <c r="J337">
        <v>2</v>
      </c>
      <c r="K337">
        <v>626</v>
      </c>
      <c r="L337" s="6" t="s">
        <v>2787</v>
      </c>
      <c r="M337" s="6" t="s">
        <v>32</v>
      </c>
      <c r="N337" s="6" t="s">
        <v>48</v>
      </c>
    </row>
    <row r="338" spans="1:14" x14ac:dyDescent="0.25">
      <c r="A338" s="6" t="s">
        <v>646</v>
      </c>
      <c r="B338" s="4">
        <v>45677</v>
      </c>
      <c r="C338" s="6" t="s">
        <v>2794</v>
      </c>
      <c r="D338" s="7">
        <v>0.64375000000000004</v>
      </c>
      <c r="E338" s="6" t="s">
        <v>16</v>
      </c>
      <c r="F338" s="6" t="s">
        <v>191</v>
      </c>
      <c r="G338" s="4">
        <v>35927</v>
      </c>
      <c r="H338" s="6" t="s">
        <v>30</v>
      </c>
      <c r="I338">
        <v>253</v>
      </c>
      <c r="J338">
        <v>1</v>
      </c>
      <c r="K338">
        <v>253</v>
      </c>
      <c r="L338" s="6" t="s">
        <v>54</v>
      </c>
      <c r="M338" s="6" t="s">
        <v>89</v>
      </c>
      <c r="N338" s="6" t="s">
        <v>33</v>
      </c>
    </row>
    <row r="339" spans="1:14" x14ac:dyDescent="0.25">
      <c r="A339" s="6" t="s">
        <v>647</v>
      </c>
      <c r="B339" s="4">
        <v>45650</v>
      </c>
      <c r="C339" s="6" t="s">
        <v>2796</v>
      </c>
      <c r="D339" s="7">
        <v>0.5805555555555556</v>
      </c>
      <c r="E339" s="6" t="s">
        <v>16</v>
      </c>
      <c r="F339" s="6" t="s">
        <v>131</v>
      </c>
      <c r="G339" s="4">
        <v>31996</v>
      </c>
      <c r="H339" s="6" t="s">
        <v>259</v>
      </c>
      <c r="I339">
        <v>170</v>
      </c>
      <c r="J339">
        <v>2</v>
      </c>
      <c r="K339">
        <v>341</v>
      </c>
      <c r="L339" s="6" t="s">
        <v>19</v>
      </c>
      <c r="M339" s="6" t="s">
        <v>61</v>
      </c>
      <c r="N339" s="6" t="s">
        <v>27</v>
      </c>
    </row>
    <row r="340" spans="1:14" x14ac:dyDescent="0.25">
      <c r="A340" s="6" t="s">
        <v>648</v>
      </c>
      <c r="B340" s="4">
        <v>45623</v>
      </c>
      <c r="C340" s="6" t="s">
        <v>2802</v>
      </c>
      <c r="D340" s="7">
        <v>0.62582175925925931</v>
      </c>
      <c r="E340" s="6" t="s">
        <v>16</v>
      </c>
      <c r="F340" s="6" t="s">
        <v>229</v>
      </c>
      <c r="G340" s="4">
        <v>39615</v>
      </c>
      <c r="H340" s="6" t="s">
        <v>60</v>
      </c>
      <c r="I340">
        <v>223</v>
      </c>
      <c r="J340">
        <v>2</v>
      </c>
      <c r="K340">
        <v>446</v>
      </c>
      <c r="L340" s="6" t="s">
        <v>2787</v>
      </c>
      <c r="M340" s="6" t="s">
        <v>61</v>
      </c>
      <c r="N340" s="6" t="s">
        <v>48</v>
      </c>
    </row>
    <row r="341" spans="1:14" x14ac:dyDescent="0.25">
      <c r="A341" s="6" t="s">
        <v>649</v>
      </c>
      <c r="B341" s="4">
        <v>45803</v>
      </c>
      <c r="C341" s="6" t="s">
        <v>2792</v>
      </c>
      <c r="D341" s="7">
        <v>0.61458333333333337</v>
      </c>
      <c r="E341" s="6" t="s">
        <v>16</v>
      </c>
      <c r="F341" s="6" t="s">
        <v>79</v>
      </c>
      <c r="G341" s="4">
        <v>39615</v>
      </c>
      <c r="H341" s="6" t="s">
        <v>73</v>
      </c>
      <c r="I341">
        <v>53</v>
      </c>
      <c r="J341">
        <v>2</v>
      </c>
      <c r="K341">
        <v>106</v>
      </c>
      <c r="L341" s="6" t="s">
        <v>41</v>
      </c>
      <c r="M341" s="6" t="s">
        <v>26</v>
      </c>
      <c r="N341" s="6" t="s">
        <v>48</v>
      </c>
    </row>
    <row r="342" spans="1:14" x14ac:dyDescent="0.25">
      <c r="A342" s="6" t="s">
        <v>650</v>
      </c>
      <c r="B342" s="4">
        <v>45937</v>
      </c>
      <c r="C342" s="6" t="s">
        <v>2791</v>
      </c>
      <c r="D342" s="7">
        <v>0.75763888888888886</v>
      </c>
      <c r="E342" s="6" t="s">
        <v>16</v>
      </c>
      <c r="F342" s="6" t="s">
        <v>652</v>
      </c>
      <c r="G342" s="4">
        <v>31904</v>
      </c>
      <c r="H342" s="6" t="s">
        <v>213</v>
      </c>
      <c r="I342">
        <v>94</v>
      </c>
      <c r="J342">
        <v>1</v>
      </c>
      <c r="K342">
        <v>95</v>
      </c>
      <c r="L342" s="6" t="s">
        <v>41</v>
      </c>
      <c r="M342" s="6" t="s">
        <v>89</v>
      </c>
      <c r="N342" s="6" t="s">
        <v>48</v>
      </c>
    </row>
    <row r="343" spans="1:14" x14ac:dyDescent="0.25">
      <c r="A343" s="6" t="s">
        <v>654</v>
      </c>
      <c r="B343" s="4">
        <v>45764</v>
      </c>
      <c r="C343" s="6" t="s">
        <v>2801</v>
      </c>
      <c r="D343" s="7">
        <v>0.43680555555555556</v>
      </c>
      <c r="E343" s="6" t="s">
        <v>16</v>
      </c>
      <c r="F343" s="6" t="s">
        <v>118</v>
      </c>
      <c r="G343" s="4">
        <v>31904</v>
      </c>
      <c r="H343" s="6" t="s">
        <v>110</v>
      </c>
      <c r="I343">
        <v>96</v>
      </c>
      <c r="J343">
        <v>2</v>
      </c>
      <c r="K343">
        <v>194</v>
      </c>
      <c r="L343" s="6" t="s">
        <v>41</v>
      </c>
      <c r="M343" s="6" t="s">
        <v>26</v>
      </c>
      <c r="N343" s="6" t="s">
        <v>48</v>
      </c>
    </row>
    <row r="344" spans="1:14" x14ac:dyDescent="0.25">
      <c r="A344" s="6" t="s">
        <v>655</v>
      </c>
      <c r="B344" s="4">
        <v>45729</v>
      </c>
      <c r="C344" s="6" t="s">
        <v>2798</v>
      </c>
      <c r="D344" s="7">
        <v>0.57708333333333328</v>
      </c>
      <c r="E344" s="6" t="s">
        <v>16</v>
      </c>
      <c r="F344" s="6" t="s">
        <v>204</v>
      </c>
      <c r="G344" s="4">
        <v>31552</v>
      </c>
      <c r="H344" s="6" t="s">
        <v>36</v>
      </c>
      <c r="I344">
        <v>89</v>
      </c>
      <c r="J344">
        <v>3</v>
      </c>
      <c r="K344">
        <v>270</v>
      </c>
      <c r="L344" s="6" t="s">
        <v>41</v>
      </c>
      <c r="M344" s="6" t="s">
        <v>26</v>
      </c>
      <c r="N344" s="6" t="s">
        <v>27</v>
      </c>
    </row>
    <row r="345" spans="1:14" x14ac:dyDescent="0.25">
      <c r="A345" s="6" t="s">
        <v>656</v>
      </c>
      <c r="B345" s="4">
        <v>45886</v>
      </c>
      <c r="C345" s="6" t="s">
        <v>2793</v>
      </c>
      <c r="D345" s="7">
        <v>0.79097222222222219</v>
      </c>
      <c r="E345" s="6" t="s">
        <v>16</v>
      </c>
      <c r="F345" s="6" t="s">
        <v>451</v>
      </c>
      <c r="G345" s="4">
        <v>31552</v>
      </c>
      <c r="H345" s="6" t="s">
        <v>85</v>
      </c>
      <c r="I345">
        <v>217</v>
      </c>
      <c r="J345">
        <v>3</v>
      </c>
      <c r="K345">
        <v>652</v>
      </c>
      <c r="L345" s="6" t="s">
        <v>41</v>
      </c>
      <c r="M345" s="6" t="s">
        <v>37</v>
      </c>
      <c r="N345" s="6" t="s">
        <v>74</v>
      </c>
    </row>
    <row r="346" spans="1:14" x14ac:dyDescent="0.25">
      <c r="A346" s="6" t="s">
        <v>657</v>
      </c>
      <c r="B346" s="4">
        <v>45886</v>
      </c>
      <c r="C346" s="6" t="s">
        <v>2793</v>
      </c>
      <c r="D346" s="7">
        <v>0.95</v>
      </c>
      <c r="E346" s="6" t="s">
        <v>16</v>
      </c>
      <c r="F346" s="6" t="s">
        <v>88</v>
      </c>
      <c r="G346" s="4">
        <v>27931</v>
      </c>
      <c r="H346" s="6" t="s">
        <v>104</v>
      </c>
      <c r="I346">
        <v>304</v>
      </c>
      <c r="J346">
        <v>2</v>
      </c>
      <c r="K346">
        <v>610</v>
      </c>
      <c r="L346" s="6" t="s">
        <v>41</v>
      </c>
      <c r="M346" s="6" t="s">
        <v>89</v>
      </c>
      <c r="N346" s="6" t="s">
        <v>48</v>
      </c>
    </row>
    <row r="347" spans="1:14" x14ac:dyDescent="0.25">
      <c r="A347" s="6" t="s">
        <v>658</v>
      </c>
      <c r="B347" s="4">
        <v>45620</v>
      </c>
      <c r="C347" s="6" t="s">
        <v>2802</v>
      </c>
      <c r="D347" s="7">
        <v>0.46111111111111114</v>
      </c>
      <c r="E347" s="6" t="s">
        <v>16</v>
      </c>
      <c r="F347" s="6" t="s">
        <v>659</v>
      </c>
      <c r="G347" s="4">
        <v>27973</v>
      </c>
      <c r="H347" s="6" t="s">
        <v>116</v>
      </c>
      <c r="I347">
        <v>340</v>
      </c>
      <c r="J347">
        <v>2</v>
      </c>
      <c r="L347" s="6" t="s">
        <v>41</v>
      </c>
      <c r="M347" s="6" t="s">
        <v>47</v>
      </c>
      <c r="N347" s="6" t="s">
        <v>27</v>
      </c>
    </row>
    <row r="348" spans="1:14" x14ac:dyDescent="0.25">
      <c r="A348" s="6" t="s">
        <v>661</v>
      </c>
      <c r="B348" s="4">
        <v>45878</v>
      </c>
      <c r="C348" s="6" t="s">
        <v>2793</v>
      </c>
      <c r="D348" s="7">
        <v>0.729375</v>
      </c>
      <c r="E348" s="6" t="s">
        <v>16</v>
      </c>
      <c r="F348" s="6" t="s">
        <v>494</v>
      </c>
      <c r="G348" s="4">
        <v>31971</v>
      </c>
      <c r="H348" s="6" t="s">
        <v>141</v>
      </c>
      <c r="I348">
        <v>135</v>
      </c>
      <c r="J348">
        <v>3</v>
      </c>
      <c r="K348">
        <v>406</v>
      </c>
      <c r="L348" s="6" t="s">
        <v>19</v>
      </c>
      <c r="M348" s="6" t="s">
        <v>37</v>
      </c>
      <c r="N348" s="6" t="s">
        <v>27</v>
      </c>
    </row>
    <row r="349" spans="1:14" x14ac:dyDescent="0.25">
      <c r="A349" s="6" t="s">
        <v>662</v>
      </c>
      <c r="B349" s="4">
        <v>45851</v>
      </c>
      <c r="C349" s="6" t="s">
        <v>2795</v>
      </c>
      <c r="D349" s="7">
        <v>0.64722222222222225</v>
      </c>
      <c r="E349" s="6" t="s">
        <v>16</v>
      </c>
      <c r="F349" s="6" t="s">
        <v>411</v>
      </c>
      <c r="G349" s="4">
        <v>37293</v>
      </c>
      <c r="H349" s="6" t="s">
        <v>110</v>
      </c>
      <c r="I349">
        <v>129</v>
      </c>
      <c r="J349">
        <v>3</v>
      </c>
      <c r="K349">
        <v>388</v>
      </c>
      <c r="L349" s="6" t="s">
        <v>2787</v>
      </c>
      <c r="M349" s="6" t="s">
        <v>37</v>
      </c>
      <c r="N349" s="6" t="s">
        <v>56</v>
      </c>
    </row>
    <row r="350" spans="1:14" x14ac:dyDescent="0.25">
      <c r="A350" s="6" t="s">
        <v>663</v>
      </c>
      <c r="B350" s="4">
        <v>45918</v>
      </c>
      <c r="C350" s="6" t="s">
        <v>2797</v>
      </c>
      <c r="D350" s="7">
        <v>0.81936342592592593</v>
      </c>
      <c r="E350" s="6" t="s">
        <v>16</v>
      </c>
      <c r="F350" s="6" t="s">
        <v>664</v>
      </c>
      <c r="G350" s="4">
        <v>30734</v>
      </c>
      <c r="H350" s="6" t="s">
        <v>104</v>
      </c>
      <c r="I350">
        <v>323</v>
      </c>
      <c r="J350">
        <v>1</v>
      </c>
      <c r="K350">
        <v>369</v>
      </c>
      <c r="L350" s="6" t="s">
        <v>19</v>
      </c>
      <c r="M350" s="6" t="s">
        <v>55</v>
      </c>
      <c r="N350" s="6" t="s">
        <v>27</v>
      </c>
    </row>
    <row r="351" spans="1:14" x14ac:dyDescent="0.25">
      <c r="A351" s="6" t="s">
        <v>665</v>
      </c>
      <c r="B351" s="4">
        <v>45781</v>
      </c>
      <c r="C351" s="6" t="s">
        <v>2792</v>
      </c>
      <c r="D351" s="7">
        <v>0.67222222222222228</v>
      </c>
      <c r="E351" s="6" t="s">
        <v>16</v>
      </c>
      <c r="F351" s="6" t="s">
        <v>63</v>
      </c>
      <c r="G351" s="4">
        <v>32240</v>
      </c>
      <c r="H351" s="6" t="s">
        <v>60</v>
      </c>
      <c r="I351">
        <v>218</v>
      </c>
      <c r="J351">
        <v>3</v>
      </c>
      <c r="K351">
        <v>656</v>
      </c>
      <c r="L351" s="6" t="s">
        <v>19</v>
      </c>
      <c r="M351" s="6" t="s">
        <v>47</v>
      </c>
      <c r="N351" s="6" t="s">
        <v>33</v>
      </c>
    </row>
    <row r="352" spans="1:14" x14ac:dyDescent="0.25">
      <c r="A352" s="6" t="s">
        <v>666</v>
      </c>
      <c r="B352" s="4">
        <v>45909</v>
      </c>
      <c r="C352" s="6" t="s">
        <v>2797</v>
      </c>
      <c r="D352" s="7">
        <v>0.65208333333333335</v>
      </c>
      <c r="E352" s="6" t="s">
        <v>16</v>
      </c>
      <c r="F352" s="6" t="s">
        <v>458</v>
      </c>
      <c r="G352" s="4">
        <v>27305</v>
      </c>
      <c r="H352" s="6" t="s">
        <v>77</v>
      </c>
      <c r="I352">
        <v>106</v>
      </c>
      <c r="J352">
        <v>1</v>
      </c>
      <c r="K352">
        <v>107</v>
      </c>
      <c r="L352" s="6" t="s">
        <v>67</v>
      </c>
      <c r="M352" s="6" t="s">
        <v>89</v>
      </c>
      <c r="N352" s="6" t="s">
        <v>74</v>
      </c>
    </row>
    <row r="353" spans="1:14" x14ac:dyDescent="0.25">
      <c r="A353" s="6" t="s">
        <v>667</v>
      </c>
      <c r="B353" s="4">
        <v>45933</v>
      </c>
      <c r="C353" s="6" t="s">
        <v>2791</v>
      </c>
      <c r="D353" s="7">
        <v>0.8131828703703704</v>
      </c>
      <c r="E353" s="6" t="s">
        <v>16</v>
      </c>
      <c r="F353" s="6" t="s">
        <v>248</v>
      </c>
      <c r="G353" s="4">
        <v>30127</v>
      </c>
      <c r="H353" s="6" t="s">
        <v>18</v>
      </c>
      <c r="I353">
        <v>91</v>
      </c>
      <c r="J353">
        <v>1</v>
      </c>
      <c r="K353">
        <v>92</v>
      </c>
      <c r="L353" s="6" t="s">
        <v>19</v>
      </c>
      <c r="M353" s="6" t="s">
        <v>61</v>
      </c>
      <c r="N353" s="6" t="s">
        <v>27</v>
      </c>
    </row>
    <row r="354" spans="1:14" x14ac:dyDescent="0.25">
      <c r="A354" s="6" t="s">
        <v>668</v>
      </c>
      <c r="B354" s="4">
        <v>45755</v>
      </c>
      <c r="C354" s="6" t="s">
        <v>2801</v>
      </c>
      <c r="D354" s="7">
        <v>0.43819444444444444</v>
      </c>
      <c r="E354" s="6" t="s">
        <v>16</v>
      </c>
      <c r="F354" s="6" t="s">
        <v>181</v>
      </c>
      <c r="G354" s="4">
        <v>30127</v>
      </c>
      <c r="H354" s="6" t="s">
        <v>213</v>
      </c>
      <c r="I354">
        <v>89</v>
      </c>
      <c r="J354">
        <v>2</v>
      </c>
      <c r="K354">
        <v>180</v>
      </c>
      <c r="L354" s="6" t="s">
        <v>41</v>
      </c>
      <c r="M354" s="6" t="s">
        <v>37</v>
      </c>
      <c r="N354" s="6" t="s">
        <v>21</v>
      </c>
    </row>
    <row r="355" spans="1:14" x14ac:dyDescent="0.25">
      <c r="A355" s="6" t="s">
        <v>670</v>
      </c>
      <c r="B355" s="4">
        <v>45841</v>
      </c>
      <c r="C355" s="6" t="s">
        <v>2795</v>
      </c>
      <c r="D355" s="7">
        <v>0.6335763888888889</v>
      </c>
      <c r="E355" s="6" t="s">
        <v>16</v>
      </c>
      <c r="F355" s="6" t="s">
        <v>252</v>
      </c>
      <c r="G355" s="4">
        <v>30887</v>
      </c>
      <c r="H355" s="6" t="s">
        <v>259</v>
      </c>
      <c r="I355">
        <v>313</v>
      </c>
      <c r="J355">
        <v>1</v>
      </c>
      <c r="K355">
        <v>314</v>
      </c>
      <c r="L355" s="6" t="s">
        <v>41</v>
      </c>
      <c r="M355" s="6" t="s">
        <v>61</v>
      </c>
      <c r="N355" s="6" t="s">
        <v>21</v>
      </c>
    </row>
    <row r="356" spans="1:14" x14ac:dyDescent="0.25">
      <c r="A356" s="6" t="s">
        <v>671</v>
      </c>
      <c r="B356" s="4">
        <v>45953</v>
      </c>
      <c r="C356" s="6" t="s">
        <v>2791</v>
      </c>
      <c r="D356" s="7">
        <v>0.75902777777777775</v>
      </c>
      <c r="E356" s="6" t="s">
        <v>16</v>
      </c>
      <c r="F356" s="6" t="s">
        <v>151</v>
      </c>
      <c r="G356" s="4">
        <v>36139</v>
      </c>
      <c r="H356" s="6" t="s">
        <v>129</v>
      </c>
      <c r="I356">
        <v>199</v>
      </c>
      <c r="J356">
        <v>1</v>
      </c>
      <c r="K356">
        <v>200</v>
      </c>
      <c r="L356" s="6" t="s">
        <v>67</v>
      </c>
      <c r="M356" s="6" t="s">
        <v>89</v>
      </c>
      <c r="N356" s="6" t="s">
        <v>21</v>
      </c>
    </row>
    <row r="357" spans="1:14" x14ac:dyDescent="0.25">
      <c r="A357" s="6" t="s">
        <v>672</v>
      </c>
      <c r="B357" s="4">
        <v>45724</v>
      </c>
      <c r="C357" s="6" t="s">
        <v>2798</v>
      </c>
      <c r="D357" s="7">
        <v>0.42759259259259258</v>
      </c>
      <c r="E357" s="6" t="s">
        <v>16</v>
      </c>
      <c r="F357" s="6" t="s">
        <v>673</v>
      </c>
      <c r="G357" s="4">
        <v>26428</v>
      </c>
      <c r="H357" s="6" t="s">
        <v>116</v>
      </c>
      <c r="I357">
        <v>239</v>
      </c>
      <c r="J357">
        <v>2</v>
      </c>
      <c r="K357">
        <v>526</v>
      </c>
      <c r="L357" s="6" t="s">
        <v>54</v>
      </c>
      <c r="M357" s="6" t="s">
        <v>32</v>
      </c>
      <c r="N357" s="6" t="s">
        <v>48</v>
      </c>
    </row>
    <row r="358" spans="1:14" x14ac:dyDescent="0.25">
      <c r="A358" s="6" t="s">
        <v>674</v>
      </c>
      <c r="B358" s="4">
        <v>45919</v>
      </c>
      <c r="C358" s="6" t="s">
        <v>2797</v>
      </c>
      <c r="D358" s="7">
        <v>0.65694444444444444</v>
      </c>
      <c r="E358" s="6" t="s">
        <v>16</v>
      </c>
      <c r="F358" s="6" t="s">
        <v>204</v>
      </c>
      <c r="G358" s="4">
        <v>26713</v>
      </c>
      <c r="H358" s="6" t="s">
        <v>73</v>
      </c>
      <c r="I358">
        <v>47</v>
      </c>
      <c r="J358">
        <v>1</v>
      </c>
      <c r="K358">
        <v>47</v>
      </c>
      <c r="L358" s="6" t="s">
        <v>2787</v>
      </c>
      <c r="M358" s="6" t="s">
        <v>26</v>
      </c>
      <c r="N358" s="6" t="s">
        <v>33</v>
      </c>
    </row>
    <row r="359" spans="1:14" x14ac:dyDescent="0.25">
      <c r="A359" s="6" t="s">
        <v>675</v>
      </c>
      <c r="B359" s="4">
        <v>45894</v>
      </c>
      <c r="C359" s="6" t="s">
        <v>2793</v>
      </c>
      <c r="D359" s="7">
        <v>0.44394675925925925</v>
      </c>
      <c r="E359" s="6" t="s">
        <v>16</v>
      </c>
      <c r="F359" s="6" t="s">
        <v>299</v>
      </c>
      <c r="G359" s="4">
        <v>39451</v>
      </c>
      <c r="H359" s="6" t="s">
        <v>243</v>
      </c>
      <c r="I359">
        <v>109</v>
      </c>
      <c r="J359">
        <v>3</v>
      </c>
      <c r="K359">
        <v>327</v>
      </c>
      <c r="L359" s="6" t="s">
        <v>19</v>
      </c>
      <c r="M359" s="6" t="s">
        <v>89</v>
      </c>
      <c r="N359" s="6" t="s">
        <v>33</v>
      </c>
    </row>
    <row r="360" spans="1:14" x14ac:dyDescent="0.25">
      <c r="A360" s="6" t="s">
        <v>678</v>
      </c>
      <c r="B360" s="4">
        <v>45777</v>
      </c>
      <c r="C360" s="6" t="s">
        <v>2801</v>
      </c>
      <c r="D360" s="7">
        <v>0.51167824074074075</v>
      </c>
      <c r="E360" s="6" t="s">
        <v>16</v>
      </c>
      <c r="F360" s="6" t="s">
        <v>166</v>
      </c>
      <c r="G360" s="4">
        <v>29149</v>
      </c>
      <c r="H360" s="6" t="s">
        <v>60</v>
      </c>
      <c r="I360">
        <v>230</v>
      </c>
      <c r="J360">
        <v>2</v>
      </c>
      <c r="K360">
        <v>460</v>
      </c>
      <c r="L360" s="6" t="s">
        <v>67</v>
      </c>
      <c r="M360" s="6" t="s">
        <v>32</v>
      </c>
      <c r="N360" s="6" t="s">
        <v>21</v>
      </c>
    </row>
    <row r="361" spans="1:14" x14ac:dyDescent="0.25">
      <c r="A361" s="6" t="s">
        <v>680</v>
      </c>
      <c r="B361" s="4">
        <v>45656</v>
      </c>
      <c r="C361" s="6" t="s">
        <v>2796</v>
      </c>
      <c r="D361" s="7">
        <v>0.75277777777777777</v>
      </c>
      <c r="E361" s="6" t="s">
        <v>16</v>
      </c>
      <c r="F361" s="6" t="s">
        <v>206</v>
      </c>
      <c r="G361" s="4">
        <v>33584</v>
      </c>
      <c r="H361" s="6" t="s">
        <v>77</v>
      </c>
      <c r="I361">
        <v>97</v>
      </c>
      <c r="J361">
        <v>2</v>
      </c>
      <c r="K361">
        <v>163</v>
      </c>
      <c r="L361" s="6" t="s">
        <v>54</v>
      </c>
      <c r="M361" s="6" t="s">
        <v>26</v>
      </c>
      <c r="N361" s="6" t="s">
        <v>33</v>
      </c>
    </row>
    <row r="362" spans="1:14" x14ac:dyDescent="0.25">
      <c r="A362" s="6" t="s">
        <v>681</v>
      </c>
      <c r="B362" s="4">
        <v>45777</v>
      </c>
      <c r="C362" s="6" t="s">
        <v>2801</v>
      </c>
      <c r="D362" s="7">
        <v>0.55833333333333335</v>
      </c>
      <c r="E362" s="6" t="s">
        <v>16</v>
      </c>
      <c r="F362" s="6" t="s">
        <v>582</v>
      </c>
      <c r="G362" s="4">
        <v>27433</v>
      </c>
      <c r="H362" s="6" t="s">
        <v>145</v>
      </c>
      <c r="I362">
        <v>83</v>
      </c>
      <c r="J362">
        <v>1</v>
      </c>
      <c r="K362">
        <v>83</v>
      </c>
      <c r="L362" s="6" t="s">
        <v>19</v>
      </c>
      <c r="M362" s="6" t="s">
        <v>47</v>
      </c>
      <c r="N362" s="6" t="s">
        <v>33</v>
      </c>
    </row>
    <row r="363" spans="1:14" x14ac:dyDescent="0.25">
      <c r="A363" s="6" t="s">
        <v>682</v>
      </c>
      <c r="B363" s="4">
        <v>45778</v>
      </c>
      <c r="C363" s="6" t="s">
        <v>2792</v>
      </c>
      <c r="D363" s="7">
        <v>0.88541666666666663</v>
      </c>
      <c r="E363" s="6" t="s">
        <v>16</v>
      </c>
      <c r="F363" s="6" t="s">
        <v>520</v>
      </c>
      <c r="G363" s="4">
        <v>27201</v>
      </c>
      <c r="H363" s="6" t="s">
        <v>45</v>
      </c>
      <c r="I363">
        <v>309</v>
      </c>
      <c r="J363">
        <v>1</v>
      </c>
      <c r="K363">
        <v>309</v>
      </c>
      <c r="L363" s="6" t="s">
        <v>41</v>
      </c>
      <c r="M363" s="6" t="s">
        <v>61</v>
      </c>
      <c r="N363" s="6" t="s">
        <v>33</v>
      </c>
    </row>
    <row r="364" spans="1:14" x14ac:dyDescent="0.25">
      <c r="A364" s="6" t="s">
        <v>683</v>
      </c>
      <c r="B364" s="4">
        <v>45709</v>
      </c>
      <c r="C364" s="6" t="s">
        <v>2799</v>
      </c>
      <c r="D364" s="7">
        <v>0.50516203703703699</v>
      </c>
      <c r="E364" s="6" t="s">
        <v>16</v>
      </c>
      <c r="F364" s="6" t="s">
        <v>189</v>
      </c>
      <c r="G364" s="4">
        <v>26481</v>
      </c>
      <c r="H364" s="6" t="s">
        <v>73</v>
      </c>
      <c r="I364">
        <v>43</v>
      </c>
      <c r="J364">
        <v>3</v>
      </c>
      <c r="K364">
        <v>129</v>
      </c>
      <c r="L364" s="6" t="s">
        <v>54</v>
      </c>
      <c r="M364" s="6" t="s">
        <v>26</v>
      </c>
      <c r="N364" s="6" t="s">
        <v>56</v>
      </c>
    </row>
    <row r="365" spans="1:14" x14ac:dyDescent="0.25">
      <c r="A365" s="6" t="s">
        <v>684</v>
      </c>
      <c r="B365" s="4">
        <v>45846</v>
      </c>
      <c r="C365" s="6" t="s">
        <v>2795</v>
      </c>
      <c r="D365" s="7">
        <v>0.91211805555555558</v>
      </c>
      <c r="E365" s="6" t="s">
        <v>16</v>
      </c>
      <c r="F365" s="6" t="s">
        <v>82</v>
      </c>
      <c r="G365" s="4">
        <v>26481</v>
      </c>
      <c r="H365" s="6" t="s">
        <v>60</v>
      </c>
      <c r="I365">
        <v>309</v>
      </c>
      <c r="J365">
        <v>1</v>
      </c>
      <c r="K365">
        <v>309</v>
      </c>
      <c r="L365" s="6" t="s">
        <v>41</v>
      </c>
      <c r="M365" s="6" t="s">
        <v>89</v>
      </c>
      <c r="N365" s="6" t="s">
        <v>56</v>
      </c>
    </row>
    <row r="366" spans="1:14" x14ac:dyDescent="0.25">
      <c r="A366" s="6" t="s">
        <v>686</v>
      </c>
      <c r="B366" s="4">
        <v>45813</v>
      </c>
      <c r="C366" s="6" t="s">
        <v>2800</v>
      </c>
      <c r="D366" s="7">
        <v>0.50138888888888888</v>
      </c>
      <c r="E366" s="6" t="s">
        <v>16</v>
      </c>
      <c r="F366" s="6" t="s">
        <v>44</v>
      </c>
      <c r="G366" s="4">
        <v>39968</v>
      </c>
      <c r="H366" s="6" t="s">
        <v>178</v>
      </c>
      <c r="I366">
        <v>261</v>
      </c>
      <c r="J366">
        <v>1</v>
      </c>
      <c r="K366">
        <v>261</v>
      </c>
      <c r="L366" s="6" t="s">
        <v>41</v>
      </c>
      <c r="M366" s="6" t="s">
        <v>55</v>
      </c>
      <c r="N366" s="6" t="s">
        <v>105</v>
      </c>
    </row>
    <row r="367" spans="1:14" x14ac:dyDescent="0.25">
      <c r="A367" s="6" t="s">
        <v>687</v>
      </c>
      <c r="B367" s="4">
        <v>45893</v>
      </c>
      <c r="C367" s="6" t="s">
        <v>2793</v>
      </c>
      <c r="D367" s="7">
        <v>0.43819444444444444</v>
      </c>
      <c r="E367" s="6" t="s">
        <v>16</v>
      </c>
      <c r="F367" s="6" t="s">
        <v>92</v>
      </c>
      <c r="G367" s="4">
        <v>35779</v>
      </c>
      <c r="H367" s="6" t="s">
        <v>243</v>
      </c>
      <c r="I367">
        <v>161</v>
      </c>
      <c r="J367">
        <v>1</v>
      </c>
      <c r="K367">
        <v>161</v>
      </c>
      <c r="L367" s="6" t="s">
        <v>19</v>
      </c>
      <c r="M367" s="6" t="s">
        <v>32</v>
      </c>
      <c r="N367" s="6" t="s">
        <v>27</v>
      </c>
    </row>
    <row r="368" spans="1:14" x14ac:dyDescent="0.25">
      <c r="A368" s="6" t="s">
        <v>688</v>
      </c>
      <c r="B368" s="4">
        <v>45876</v>
      </c>
      <c r="C368" s="6" t="s">
        <v>2793</v>
      </c>
      <c r="D368" s="7">
        <v>0.86597222222222225</v>
      </c>
      <c r="E368" s="6" t="s">
        <v>16</v>
      </c>
      <c r="F368" s="6" t="s">
        <v>690</v>
      </c>
      <c r="G368" s="4">
        <v>28120</v>
      </c>
      <c r="H368" s="6" t="s">
        <v>202</v>
      </c>
      <c r="I368">
        <v>144</v>
      </c>
      <c r="J368">
        <v>1</v>
      </c>
      <c r="K368">
        <v>145</v>
      </c>
      <c r="L368" s="6" t="s">
        <v>67</v>
      </c>
      <c r="M368" s="6" t="s">
        <v>26</v>
      </c>
      <c r="N368" s="6" t="s">
        <v>27</v>
      </c>
    </row>
    <row r="369" spans="1:14" x14ac:dyDescent="0.25">
      <c r="A369" s="6" t="s">
        <v>691</v>
      </c>
      <c r="B369" s="4">
        <v>45876</v>
      </c>
      <c r="C369" s="6" t="s">
        <v>2793</v>
      </c>
      <c r="D369" s="7">
        <v>0.47986111111111113</v>
      </c>
      <c r="E369" s="6" t="s">
        <v>16</v>
      </c>
      <c r="F369" s="6" t="s">
        <v>692</v>
      </c>
      <c r="G369" s="4">
        <v>40015</v>
      </c>
      <c r="H369" s="6" t="s">
        <v>141</v>
      </c>
      <c r="I369">
        <v>158</v>
      </c>
      <c r="J369">
        <v>2</v>
      </c>
      <c r="K369">
        <v>317</v>
      </c>
      <c r="L369" s="6" t="s">
        <v>2787</v>
      </c>
      <c r="M369" s="6" t="s">
        <v>20</v>
      </c>
      <c r="N369" s="6" t="s">
        <v>27</v>
      </c>
    </row>
    <row r="370" spans="1:14" x14ac:dyDescent="0.25">
      <c r="A370" s="6" t="s">
        <v>693</v>
      </c>
      <c r="B370" s="4">
        <v>45783</v>
      </c>
      <c r="C370" s="6" t="s">
        <v>2792</v>
      </c>
      <c r="D370" s="7">
        <v>0.46630787037037036</v>
      </c>
      <c r="E370" s="6" t="s">
        <v>16</v>
      </c>
      <c r="F370" s="6" t="s">
        <v>494</v>
      </c>
      <c r="G370" s="4">
        <v>28729</v>
      </c>
      <c r="H370" s="6" t="s">
        <v>110</v>
      </c>
      <c r="I370">
        <v>115</v>
      </c>
      <c r="J370">
        <v>2</v>
      </c>
      <c r="K370">
        <v>231</v>
      </c>
      <c r="L370" s="6" t="s">
        <v>2787</v>
      </c>
      <c r="M370" s="6" t="s">
        <v>55</v>
      </c>
      <c r="N370" s="6" t="s">
        <v>48</v>
      </c>
    </row>
    <row r="371" spans="1:14" x14ac:dyDescent="0.25">
      <c r="A371" s="6" t="s">
        <v>695</v>
      </c>
      <c r="B371" s="4">
        <v>45865</v>
      </c>
      <c r="C371" s="6" t="s">
        <v>2795</v>
      </c>
      <c r="D371" s="7">
        <v>0.86946759259259254</v>
      </c>
      <c r="E371" s="6" t="s">
        <v>16</v>
      </c>
      <c r="F371" s="6" t="s">
        <v>187</v>
      </c>
      <c r="G371" s="4">
        <v>38102</v>
      </c>
      <c r="H371" s="6" t="s">
        <v>259</v>
      </c>
      <c r="I371">
        <v>234</v>
      </c>
      <c r="J371">
        <v>3</v>
      </c>
      <c r="K371">
        <v>703</v>
      </c>
      <c r="L371" s="6" t="s">
        <v>41</v>
      </c>
      <c r="M371" s="6" t="s">
        <v>20</v>
      </c>
      <c r="N371" s="6" t="s">
        <v>33</v>
      </c>
    </row>
    <row r="372" spans="1:14" x14ac:dyDescent="0.25">
      <c r="A372" s="6" t="s">
        <v>696</v>
      </c>
      <c r="B372" s="4">
        <v>45765</v>
      </c>
      <c r="C372" s="6" t="s">
        <v>2801</v>
      </c>
      <c r="D372" s="7">
        <v>0.6430555555555556</v>
      </c>
      <c r="E372" s="6" t="s">
        <v>16</v>
      </c>
      <c r="F372" s="6" t="s">
        <v>697</v>
      </c>
      <c r="G372" s="4">
        <v>26180</v>
      </c>
      <c r="H372" s="6" t="s">
        <v>18</v>
      </c>
      <c r="I372">
        <v>97</v>
      </c>
      <c r="J372">
        <v>2</v>
      </c>
      <c r="K372">
        <v>195</v>
      </c>
      <c r="L372" s="6" t="s">
        <v>41</v>
      </c>
      <c r="M372" s="6" t="s">
        <v>55</v>
      </c>
      <c r="N372" s="6" t="s">
        <v>105</v>
      </c>
    </row>
    <row r="373" spans="1:14" x14ac:dyDescent="0.25">
      <c r="A373" s="6" t="s">
        <v>698</v>
      </c>
      <c r="B373" s="4">
        <v>45894</v>
      </c>
      <c r="C373" s="6" t="s">
        <v>2793</v>
      </c>
      <c r="D373" s="7">
        <v>0.49140046296296297</v>
      </c>
      <c r="E373" s="6" t="s">
        <v>16</v>
      </c>
      <c r="F373" s="6" t="s">
        <v>699</v>
      </c>
      <c r="G373" s="4">
        <v>26180</v>
      </c>
      <c r="H373" s="6" t="s">
        <v>110</v>
      </c>
      <c r="I373">
        <v>112</v>
      </c>
      <c r="J373">
        <v>2</v>
      </c>
      <c r="K373">
        <v>226</v>
      </c>
      <c r="L373" s="6" t="s">
        <v>67</v>
      </c>
      <c r="M373" s="6" t="s">
        <v>20</v>
      </c>
      <c r="N373" s="6" t="s">
        <v>105</v>
      </c>
    </row>
    <row r="374" spans="1:14" x14ac:dyDescent="0.25">
      <c r="A374" s="6" t="s">
        <v>700</v>
      </c>
      <c r="B374" s="4">
        <v>45871</v>
      </c>
      <c r="C374" s="6" t="s">
        <v>2793</v>
      </c>
      <c r="D374" s="7">
        <v>0.94027777777777777</v>
      </c>
      <c r="E374" s="6" t="s">
        <v>16</v>
      </c>
      <c r="F374" s="6" t="s">
        <v>701</v>
      </c>
      <c r="G374" s="4">
        <v>30906</v>
      </c>
      <c r="H374" s="6" t="s">
        <v>104</v>
      </c>
      <c r="I374">
        <v>283</v>
      </c>
      <c r="J374">
        <v>3</v>
      </c>
      <c r="K374">
        <v>850</v>
      </c>
      <c r="L374" s="6" t="s">
        <v>67</v>
      </c>
      <c r="M374" s="6" t="s">
        <v>55</v>
      </c>
      <c r="N374" s="6" t="s">
        <v>105</v>
      </c>
    </row>
    <row r="375" spans="1:14" x14ac:dyDescent="0.25">
      <c r="A375" s="6" t="s">
        <v>702</v>
      </c>
      <c r="B375" s="4">
        <v>45746</v>
      </c>
      <c r="C375" s="6" t="s">
        <v>2798</v>
      </c>
      <c r="D375" s="7">
        <v>0.96460648148148154</v>
      </c>
      <c r="E375" s="6" t="s">
        <v>16</v>
      </c>
      <c r="F375" s="6" t="s">
        <v>281</v>
      </c>
      <c r="G375" s="4">
        <v>32118</v>
      </c>
      <c r="H375" s="6" t="s">
        <v>129</v>
      </c>
      <c r="I375">
        <v>180</v>
      </c>
      <c r="J375">
        <v>1</v>
      </c>
      <c r="K375">
        <v>181</v>
      </c>
      <c r="L375" s="6" t="s">
        <v>41</v>
      </c>
      <c r="M375" s="6" t="s">
        <v>26</v>
      </c>
      <c r="N375" s="6" t="s">
        <v>27</v>
      </c>
    </row>
    <row r="376" spans="1:14" x14ac:dyDescent="0.25">
      <c r="A376" s="6" t="s">
        <v>703</v>
      </c>
      <c r="B376" s="4">
        <v>45718</v>
      </c>
      <c r="C376" s="6" t="s">
        <v>2798</v>
      </c>
      <c r="D376" s="7">
        <v>0.45586805555555554</v>
      </c>
      <c r="E376" s="6" t="s">
        <v>16</v>
      </c>
      <c r="F376" s="6" t="s">
        <v>397</v>
      </c>
      <c r="G376" s="4">
        <v>32118</v>
      </c>
      <c r="H376" s="6" t="s">
        <v>104</v>
      </c>
      <c r="I376">
        <v>268</v>
      </c>
      <c r="J376">
        <v>1</v>
      </c>
      <c r="K376">
        <v>268</v>
      </c>
      <c r="L376" s="6" t="s">
        <v>67</v>
      </c>
      <c r="M376" s="6" t="s">
        <v>32</v>
      </c>
      <c r="N376" s="6" t="s">
        <v>27</v>
      </c>
    </row>
    <row r="377" spans="1:14" x14ac:dyDescent="0.25">
      <c r="A377" s="6" t="s">
        <v>704</v>
      </c>
      <c r="B377" s="4">
        <v>45926</v>
      </c>
      <c r="C377" s="6" t="s">
        <v>2797</v>
      </c>
      <c r="D377" s="7">
        <v>0.58263888888888893</v>
      </c>
      <c r="E377" s="6" t="s">
        <v>16</v>
      </c>
      <c r="F377" s="6" t="s">
        <v>279</v>
      </c>
      <c r="G377" s="4">
        <v>36536</v>
      </c>
      <c r="H377" s="6" t="s">
        <v>126</v>
      </c>
      <c r="I377">
        <v>239</v>
      </c>
      <c r="J377">
        <v>3</v>
      </c>
      <c r="K377">
        <v>720</v>
      </c>
      <c r="L377" s="6" t="s">
        <v>54</v>
      </c>
      <c r="M377" s="6" t="s">
        <v>47</v>
      </c>
      <c r="N377" s="6" t="s">
        <v>48</v>
      </c>
    </row>
    <row r="378" spans="1:14" x14ac:dyDescent="0.25">
      <c r="A378" s="6" t="s">
        <v>705</v>
      </c>
      <c r="B378" s="4">
        <v>45762</v>
      </c>
      <c r="C378" s="6" t="s">
        <v>2801</v>
      </c>
      <c r="D378" s="7">
        <v>0.82383101851851848</v>
      </c>
      <c r="E378" s="6" t="s">
        <v>16</v>
      </c>
      <c r="F378" s="6" t="s">
        <v>227</v>
      </c>
      <c r="G378" s="4">
        <v>30001</v>
      </c>
      <c r="H378" s="6" t="s">
        <v>93</v>
      </c>
      <c r="I378">
        <v>220</v>
      </c>
      <c r="J378">
        <v>3</v>
      </c>
      <c r="K378">
        <v>662</v>
      </c>
      <c r="L378" s="6" t="s">
        <v>41</v>
      </c>
      <c r="M378" s="6" t="s">
        <v>55</v>
      </c>
      <c r="N378" s="6" t="s">
        <v>33</v>
      </c>
    </row>
    <row r="379" spans="1:14" x14ac:dyDescent="0.25">
      <c r="A379" s="6" t="s">
        <v>707</v>
      </c>
      <c r="B379" s="4">
        <v>45727</v>
      </c>
      <c r="C379" s="6" t="s">
        <v>2798</v>
      </c>
      <c r="D379" s="7">
        <v>0.50694444444444442</v>
      </c>
      <c r="E379" s="6" t="s">
        <v>16</v>
      </c>
      <c r="F379" s="6" t="s">
        <v>147</v>
      </c>
      <c r="G379" s="4">
        <v>37482</v>
      </c>
      <c r="H379" s="6" t="s">
        <v>53</v>
      </c>
      <c r="I379">
        <v>115</v>
      </c>
      <c r="J379">
        <v>1</v>
      </c>
      <c r="K379">
        <v>116</v>
      </c>
      <c r="L379" s="6" t="s">
        <v>2787</v>
      </c>
      <c r="M379" s="6" t="s">
        <v>37</v>
      </c>
      <c r="N379" s="6" t="s">
        <v>74</v>
      </c>
    </row>
    <row r="380" spans="1:14" x14ac:dyDescent="0.25">
      <c r="A380" s="6" t="s">
        <v>708</v>
      </c>
      <c r="B380" s="4">
        <v>45903</v>
      </c>
      <c r="C380" s="6" t="s">
        <v>2797</v>
      </c>
      <c r="D380" s="7">
        <v>0.83859953703703705</v>
      </c>
      <c r="E380" s="6" t="s">
        <v>16</v>
      </c>
      <c r="F380" s="6" t="s">
        <v>181</v>
      </c>
      <c r="G380" s="4">
        <v>36476</v>
      </c>
      <c r="H380" s="6" t="s">
        <v>53</v>
      </c>
      <c r="I380">
        <v>97</v>
      </c>
      <c r="J380">
        <v>2</v>
      </c>
      <c r="K380">
        <v>196</v>
      </c>
      <c r="L380" s="6" t="s">
        <v>2787</v>
      </c>
      <c r="M380" s="6" t="s">
        <v>55</v>
      </c>
      <c r="N380" s="6" t="s">
        <v>48</v>
      </c>
    </row>
    <row r="381" spans="1:14" x14ac:dyDescent="0.25">
      <c r="A381" s="6" t="s">
        <v>709</v>
      </c>
      <c r="B381" s="4">
        <v>45634</v>
      </c>
      <c r="C381" s="6" t="s">
        <v>2796</v>
      </c>
      <c r="D381" s="7">
        <v>0.66805555555555551</v>
      </c>
      <c r="E381" s="6" t="s">
        <v>16</v>
      </c>
      <c r="F381" s="6" t="s">
        <v>299</v>
      </c>
      <c r="G381" s="4">
        <v>26283</v>
      </c>
      <c r="H381" s="6" t="s">
        <v>24</v>
      </c>
      <c r="I381">
        <v>227</v>
      </c>
      <c r="J381">
        <v>1</v>
      </c>
      <c r="K381">
        <v>259</v>
      </c>
      <c r="L381" s="6" t="s">
        <v>19</v>
      </c>
      <c r="M381" s="6" t="s">
        <v>26</v>
      </c>
      <c r="N381" s="6" t="s">
        <v>48</v>
      </c>
    </row>
    <row r="382" spans="1:14" x14ac:dyDescent="0.25">
      <c r="A382" s="6" t="s">
        <v>710</v>
      </c>
      <c r="B382" s="4">
        <v>45759</v>
      </c>
      <c r="C382" s="6" t="s">
        <v>2801</v>
      </c>
      <c r="D382" s="7">
        <v>0.86041666666666672</v>
      </c>
      <c r="E382" s="6" t="s">
        <v>16</v>
      </c>
      <c r="F382" s="6" t="s">
        <v>652</v>
      </c>
      <c r="G382" s="4">
        <v>39428</v>
      </c>
      <c r="H382" s="6" t="s">
        <v>164</v>
      </c>
      <c r="I382">
        <v>259</v>
      </c>
      <c r="J382">
        <v>3</v>
      </c>
      <c r="K382">
        <v>777</v>
      </c>
      <c r="L382" s="6" t="s">
        <v>54</v>
      </c>
      <c r="M382" s="6" t="s">
        <v>89</v>
      </c>
      <c r="N382" s="6" t="s">
        <v>48</v>
      </c>
    </row>
    <row r="383" spans="1:14" x14ac:dyDescent="0.25">
      <c r="A383" s="6" t="s">
        <v>711</v>
      </c>
      <c r="B383" s="4">
        <v>45904</v>
      </c>
      <c r="C383" s="6" t="s">
        <v>2797</v>
      </c>
      <c r="D383" s="7">
        <v>0.73333333333333328</v>
      </c>
      <c r="E383" s="6" t="s">
        <v>16</v>
      </c>
      <c r="F383" s="6" t="s">
        <v>712</v>
      </c>
      <c r="G383" s="4">
        <v>39428</v>
      </c>
      <c r="H383" s="6" t="s">
        <v>178</v>
      </c>
      <c r="I383">
        <v>323</v>
      </c>
      <c r="J383">
        <v>1</v>
      </c>
      <c r="K383">
        <v>324</v>
      </c>
      <c r="L383" s="6" t="s">
        <v>2787</v>
      </c>
      <c r="M383" s="6" t="s">
        <v>55</v>
      </c>
      <c r="N383" s="6" t="s">
        <v>74</v>
      </c>
    </row>
    <row r="384" spans="1:14" x14ac:dyDescent="0.25">
      <c r="A384" s="6" t="s">
        <v>713</v>
      </c>
      <c r="B384" s="4">
        <v>45978</v>
      </c>
      <c r="C384" s="6" t="s">
        <v>2802</v>
      </c>
      <c r="D384" s="7">
        <v>0.52523148148148147</v>
      </c>
      <c r="E384" s="6" t="s">
        <v>16</v>
      </c>
      <c r="F384" s="6" t="s">
        <v>628</v>
      </c>
      <c r="G384" s="4">
        <v>32286</v>
      </c>
      <c r="H384" s="6" t="s">
        <v>202</v>
      </c>
      <c r="I384">
        <v>210</v>
      </c>
      <c r="J384">
        <v>3</v>
      </c>
      <c r="K384">
        <v>632</v>
      </c>
      <c r="L384" s="6" t="s">
        <v>41</v>
      </c>
      <c r="M384" s="6" t="s">
        <v>32</v>
      </c>
      <c r="N384" s="6" t="s">
        <v>48</v>
      </c>
    </row>
    <row r="385" spans="1:14" x14ac:dyDescent="0.25">
      <c r="A385" s="6" t="s">
        <v>715</v>
      </c>
      <c r="B385" s="4">
        <v>45723</v>
      </c>
      <c r="C385" s="6" t="s">
        <v>2798</v>
      </c>
      <c r="D385" s="7">
        <v>0.48055555555555557</v>
      </c>
      <c r="E385" s="6" t="s">
        <v>16</v>
      </c>
      <c r="F385" s="6" t="s">
        <v>716</v>
      </c>
      <c r="G385" s="4">
        <v>28390</v>
      </c>
      <c r="H385" s="6" t="s">
        <v>36</v>
      </c>
      <c r="I385">
        <v>162</v>
      </c>
      <c r="J385">
        <v>2</v>
      </c>
      <c r="K385">
        <v>324</v>
      </c>
      <c r="L385" s="6" t="s">
        <v>19</v>
      </c>
      <c r="M385" s="6" t="s">
        <v>89</v>
      </c>
      <c r="N385" s="6" t="s">
        <v>27</v>
      </c>
    </row>
    <row r="386" spans="1:14" x14ac:dyDescent="0.25">
      <c r="A386" s="6" t="s">
        <v>717</v>
      </c>
      <c r="B386" s="4">
        <v>45856</v>
      </c>
      <c r="C386" s="6" t="s">
        <v>2795</v>
      </c>
      <c r="D386" s="7">
        <v>0.74420138888888887</v>
      </c>
      <c r="E386" s="6" t="s">
        <v>16</v>
      </c>
      <c r="F386" s="6" t="s">
        <v>360</v>
      </c>
      <c r="G386" s="4">
        <v>36625</v>
      </c>
      <c r="H386" s="6" t="s">
        <v>18</v>
      </c>
      <c r="I386">
        <v>102</v>
      </c>
      <c r="J386">
        <v>1</v>
      </c>
      <c r="K386">
        <v>103</v>
      </c>
      <c r="L386" s="6" t="s">
        <v>2787</v>
      </c>
      <c r="M386" s="6" t="s">
        <v>47</v>
      </c>
      <c r="N386" s="6" t="s">
        <v>27</v>
      </c>
    </row>
    <row r="387" spans="1:14" x14ac:dyDescent="0.25">
      <c r="A387" s="6" t="s">
        <v>718</v>
      </c>
      <c r="B387" s="4">
        <v>45683</v>
      </c>
      <c r="C387" s="6" t="s">
        <v>2794</v>
      </c>
      <c r="D387" s="7">
        <v>0.47152777777777777</v>
      </c>
      <c r="E387" s="6" t="s">
        <v>16</v>
      </c>
      <c r="F387" s="6" t="s">
        <v>451</v>
      </c>
      <c r="G387" s="4">
        <v>28951</v>
      </c>
      <c r="H387" s="6" t="s">
        <v>259</v>
      </c>
      <c r="I387">
        <v>102</v>
      </c>
      <c r="J387">
        <v>3</v>
      </c>
      <c r="K387">
        <v>103</v>
      </c>
      <c r="L387" s="6" t="s">
        <v>41</v>
      </c>
      <c r="M387" s="6" t="s">
        <v>47</v>
      </c>
      <c r="N387" s="6" t="s">
        <v>27</v>
      </c>
    </row>
    <row r="388" spans="1:14" x14ac:dyDescent="0.25">
      <c r="A388" s="6" t="s">
        <v>719</v>
      </c>
      <c r="B388" s="4">
        <v>45959</v>
      </c>
      <c r="C388" s="6" t="s">
        <v>2791</v>
      </c>
      <c r="D388" s="7">
        <v>0.88541666666666663</v>
      </c>
      <c r="E388" s="6" t="s">
        <v>16</v>
      </c>
      <c r="F388" s="6" t="s">
        <v>194</v>
      </c>
      <c r="G388" s="4">
        <v>34860</v>
      </c>
      <c r="H388" s="6" t="s">
        <v>40</v>
      </c>
      <c r="I388">
        <v>194</v>
      </c>
      <c r="J388">
        <v>2</v>
      </c>
      <c r="L388" s="6" t="s">
        <v>41</v>
      </c>
      <c r="M388" s="6" t="s">
        <v>26</v>
      </c>
      <c r="N388" s="6" t="s">
        <v>33</v>
      </c>
    </row>
    <row r="389" spans="1:14" x14ac:dyDescent="0.25">
      <c r="A389" s="6" t="s">
        <v>722</v>
      </c>
      <c r="B389" s="4">
        <v>45687</v>
      </c>
      <c r="C389" s="6" t="s">
        <v>2794</v>
      </c>
      <c r="D389" s="7">
        <v>0.55486111111111114</v>
      </c>
      <c r="E389" s="6" t="s">
        <v>16</v>
      </c>
      <c r="F389" s="6" t="s">
        <v>222</v>
      </c>
      <c r="G389" s="4">
        <v>32276</v>
      </c>
      <c r="H389" s="6" t="s">
        <v>178</v>
      </c>
      <c r="I389">
        <v>274</v>
      </c>
      <c r="J389">
        <v>2</v>
      </c>
      <c r="L389" s="6" t="s">
        <v>19</v>
      </c>
      <c r="M389" s="6" t="s">
        <v>37</v>
      </c>
      <c r="N389" s="6" t="s">
        <v>33</v>
      </c>
    </row>
    <row r="390" spans="1:14" x14ac:dyDescent="0.25">
      <c r="A390" s="6" t="s">
        <v>724</v>
      </c>
      <c r="B390" s="4">
        <v>45813</v>
      </c>
      <c r="C390" s="6" t="s">
        <v>2800</v>
      </c>
      <c r="D390" s="7">
        <v>0.73729166666666668</v>
      </c>
      <c r="E390" s="6" t="s">
        <v>16</v>
      </c>
      <c r="F390" s="6" t="s">
        <v>594</v>
      </c>
      <c r="G390" s="4">
        <v>40229</v>
      </c>
      <c r="H390" s="6" t="s">
        <v>45</v>
      </c>
      <c r="I390">
        <v>238</v>
      </c>
      <c r="J390">
        <v>1</v>
      </c>
      <c r="K390">
        <v>239</v>
      </c>
      <c r="L390" s="6" t="s">
        <v>2787</v>
      </c>
      <c r="M390" s="6" t="s">
        <v>47</v>
      </c>
      <c r="N390" s="6" t="s">
        <v>33</v>
      </c>
    </row>
    <row r="391" spans="1:14" x14ac:dyDescent="0.25">
      <c r="A391" s="6" t="s">
        <v>725</v>
      </c>
      <c r="B391" s="4">
        <v>45931</v>
      </c>
      <c r="C391" s="6" t="s">
        <v>2791</v>
      </c>
      <c r="D391" s="7">
        <v>0.66908564814814819</v>
      </c>
      <c r="E391" s="6" t="s">
        <v>16</v>
      </c>
      <c r="F391" s="6" t="s">
        <v>405</v>
      </c>
      <c r="G391" s="4">
        <v>26959</v>
      </c>
      <c r="H391" s="6" t="s">
        <v>45</v>
      </c>
      <c r="I391">
        <v>168</v>
      </c>
      <c r="J391">
        <v>3</v>
      </c>
      <c r="K391">
        <v>505</v>
      </c>
      <c r="L391" s="6" t="s">
        <v>41</v>
      </c>
      <c r="M391" s="6" t="s">
        <v>47</v>
      </c>
      <c r="N391" s="6" t="s">
        <v>27</v>
      </c>
    </row>
    <row r="392" spans="1:14" x14ac:dyDescent="0.25">
      <c r="A392" s="6" t="s">
        <v>727</v>
      </c>
      <c r="B392" s="4">
        <v>45660</v>
      </c>
      <c r="C392" s="6" t="s">
        <v>2794</v>
      </c>
      <c r="D392" s="7">
        <v>0.88171296296296298</v>
      </c>
      <c r="E392" s="6" t="s">
        <v>16</v>
      </c>
      <c r="F392" s="6" t="s">
        <v>232</v>
      </c>
      <c r="G392" s="4">
        <v>39930</v>
      </c>
      <c r="H392" s="6" t="s">
        <v>164</v>
      </c>
      <c r="I392">
        <v>276</v>
      </c>
      <c r="J392">
        <v>1</v>
      </c>
      <c r="K392">
        <v>276</v>
      </c>
      <c r="L392" s="6" t="s">
        <v>19</v>
      </c>
      <c r="M392" s="6" t="s">
        <v>32</v>
      </c>
      <c r="N392" s="6" t="s">
        <v>48</v>
      </c>
    </row>
    <row r="393" spans="1:14" x14ac:dyDescent="0.25">
      <c r="A393" s="6" t="s">
        <v>729</v>
      </c>
      <c r="B393" s="4">
        <v>45833</v>
      </c>
      <c r="C393" s="6" t="s">
        <v>2800</v>
      </c>
      <c r="D393" s="7">
        <v>0.88611111111111107</v>
      </c>
      <c r="E393" s="6" t="s">
        <v>16</v>
      </c>
      <c r="F393" s="6" t="s">
        <v>295</v>
      </c>
      <c r="G393" s="4">
        <v>28234</v>
      </c>
      <c r="H393" s="6" t="s">
        <v>126</v>
      </c>
      <c r="I393">
        <v>83</v>
      </c>
      <c r="J393">
        <v>3</v>
      </c>
      <c r="K393">
        <v>250</v>
      </c>
      <c r="L393" s="6" t="s">
        <v>41</v>
      </c>
      <c r="M393" s="6" t="s">
        <v>89</v>
      </c>
      <c r="N393" s="6" t="s">
        <v>48</v>
      </c>
    </row>
    <row r="394" spans="1:14" x14ac:dyDescent="0.25">
      <c r="A394" s="6" t="s">
        <v>730</v>
      </c>
      <c r="B394" s="4">
        <v>45619</v>
      </c>
      <c r="C394" s="6" t="s">
        <v>2802</v>
      </c>
      <c r="D394" s="7">
        <v>0.93472222222222223</v>
      </c>
      <c r="E394" s="6" t="s">
        <v>16</v>
      </c>
      <c r="F394" s="6" t="s">
        <v>299</v>
      </c>
      <c r="G394" s="4">
        <v>28234</v>
      </c>
      <c r="H394" s="6" t="s">
        <v>129</v>
      </c>
      <c r="I394">
        <v>161</v>
      </c>
      <c r="J394">
        <v>3</v>
      </c>
      <c r="K394">
        <v>485</v>
      </c>
      <c r="L394" s="6" t="s">
        <v>54</v>
      </c>
      <c r="M394" s="6" t="s">
        <v>32</v>
      </c>
      <c r="N394" s="6" t="s">
        <v>56</v>
      </c>
    </row>
    <row r="395" spans="1:14" x14ac:dyDescent="0.25">
      <c r="A395" s="6" t="s">
        <v>731</v>
      </c>
      <c r="B395" s="4">
        <v>45780</v>
      </c>
      <c r="C395" s="6" t="s">
        <v>2792</v>
      </c>
      <c r="D395" s="7">
        <v>0.52013888888888893</v>
      </c>
      <c r="E395" s="6" t="s">
        <v>16</v>
      </c>
      <c r="F395" s="6" t="s">
        <v>307</v>
      </c>
      <c r="G395" s="4">
        <v>34467</v>
      </c>
      <c r="H395" s="6" t="s">
        <v>164</v>
      </c>
      <c r="I395">
        <v>260</v>
      </c>
      <c r="J395">
        <v>3</v>
      </c>
      <c r="K395">
        <v>783</v>
      </c>
      <c r="L395" s="6" t="s">
        <v>41</v>
      </c>
      <c r="M395" s="6" t="s">
        <v>20</v>
      </c>
      <c r="N395" s="6" t="s">
        <v>105</v>
      </c>
    </row>
    <row r="396" spans="1:14" x14ac:dyDescent="0.25">
      <c r="A396" s="6" t="s">
        <v>733</v>
      </c>
      <c r="B396" s="4">
        <v>45762</v>
      </c>
      <c r="C396" s="6" t="s">
        <v>2801</v>
      </c>
      <c r="D396" s="7">
        <v>0.55833333333333335</v>
      </c>
      <c r="E396" s="6" t="s">
        <v>16</v>
      </c>
      <c r="F396" s="6" t="s">
        <v>328</v>
      </c>
      <c r="G396" s="4">
        <v>27948</v>
      </c>
      <c r="H396" s="6" t="s">
        <v>45</v>
      </c>
      <c r="I396">
        <v>247</v>
      </c>
      <c r="J396">
        <v>2</v>
      </c>
      <c r="K396">
        <v>495</v>
      </c>
      <c r="L396" s="6" t="s">
        <v>67</v>
      </c>
      <c r="M396" s="6" t="s">
        <v>20</v>
      </c>
      <c r="N396" s="6" t="s">
        <v>105</v>
      </c>
    </row>
    <row r="397" spans="1:14" x14ac:dyDescent="0.25">
      <c r="A397" s="6" t="s">
        <v>734</v>
      </c>
      <c r="B397" s="4">
        <v>45854</v>
      </c>
      <c r="C397" s="6" t="s">
        <v>2795</v>
      </c>
      <c r="D397" s="7">
        <v>0.54097222222222219</v>
      </c>
      <c r="E397" s="6" t="s">
        <v>16</v>
      </c>
      <c r="F397" s="6" t="s">
        <v>736</v>
      </c>
      <c r="G397" s="4">
        <v>36470</v>
      </c>
      <c r="H397" s="6" t="s">
        <v>73</v>
      </c>
      <c r="I397">
        <v>39</v>
      </c>
      <c r="J397">
        <v>3</v>
      </c>
      <c r="K397">
        <v>119</v>
      </c>
      <c r="L397" s="6" t="s">
        <v>41</v>
      </c>
      <c r="M397" s="6" t="s">
        <v>55</v>
      </c>
      <c r="N397" s="6" t="s">
        <v>56</v>
      </c>
    </row>
    <row r="398" spans="1:14" x14ac:dyDescent="0.25">
      <c r="A398" s="6" t="s">
        <v>738</v>
      </c>
      <c r="B398" s="4">
        <v>45929</v>
      </c>
      <c r="C398" s="6" t="s">
        <v>2797</v>
      </c>
      <c r="D398" s="7">
        <v>0.83680555555555558</v>
      </c>
      <c r="E398" s="6" t="s">
        <v>16</v>
      </c>
      <c r="F398" s="6" t="s">
        <v>281</v>
      </c>
      <c r="G398" s="4">
        <v>38623</v>
      </c>
      <c r="H398" s="6" t="s">
        <v>178</v>
      </c>
      <c r="I398">
        <v>284</v>
      </c>
      <c r="J398">
        <v>2</v>
      </c>
      <c r="K398">
        <v>568</v>
      </c>
      <c r="L398" s="6" t="s">
        <v>67</v>
      </c>
      <c r="M398" s="6" t="s">
        <v>37</v>
      </c>
      <c r="N398" s="6" t="s">
        <v>56</v>
      </c>
    </row>
    <row r="399" spans="1:14" x14ac:dyDescent="0.25">
      <c r="A399" s="6" t="s">
        <v>740</v>
      </c>
      <c r="B399" s="4">
        <v>45873</v>
      </c>
      <c r="C399" s="6" t="s">
        <v>2793</v>
      </c>
      <c r="D399" s="7">
        <v>0.99861111111111112</v>
      </c>
      <c r="E399" s="6" t="s">
        <v>16</v>
      </c>
      <c r="F399" s="6" t="s">
        <v>425</v>
      </c>
      <c r="G399" s="4">
        <v>26625</v>
      </c>
      <c r="H399" s="6" t="s">
        <v>110</v>
      </c>
      <c r="I399">
        <v>134</v>
      </c>
      <c r="J399">
        <v>1</v>
      </c>
      <c r="K399">
        <v>134</v>
      </c>
      <c r="L399" s="6" t="s">
        <v>54</v>
      </c>
      <c r="M399" s="6" t="s">
        <v>32</v>
      </c>
      <c r="N399" s="6" t="s">
        <v>74</v>
      </c>
    </row>
    <row r="400" spans="1:14" x14ac:dyDescent="0.25">
      <c r="A400" s="6" t="s">
        <v>741</v>
      </c>
      <c r="B400" s="4">
        <v>45878</v>
      </c>
      <c r="C400" s="6" t="s">
        <v>2793</v>
      </c>
      <c r="D400" s="7">
        <v>0.70138888888888884</v>
      </c>
      <c r="E400" s="6" t="s">
        <v>16</v>
      </c>
      <c r="F400" s="6" t="s">
        <v>471</v>
      </c>
      <c r="G400" s="4">
        <v>28465</v>
      </c>
      <c r="H400" s="6" t="s">
        <v>30</v>
      </c>
      <c r="I400">
        <v>237</v>
      </c>
      <c r="J400">
        <v>2</v>
      </c>
      <c r="K400">
        <v>475</v>
      </c>
      <c r="L400" s="6" t="s">
        <v>54</v>
      </c>
      <c r="M400" s="6" t="s">
        <v>89</v>
      </c>
      <c r="N400" s="6" t="s">
        <v>48</v>
      </c>
    </row>
    <row r="401" spans="1:14" x14ac:dyDescent="0.25">
      <c r="A401" s="6" t="s">
        <v>743</v>
      </c>
      <c r="B401" s="4">
        <v>45921</v>
      </c>
      <c r="C401" s="6" t="s">
        <v>2797</v>
      </c>
      <c r="D401" s="7">
        <v>0.5229166666666667</v>
      </c>
      <c r="E401" s="6" t="s">
        <v>16</v>
      </c>
      <c r="F401" s="6" t="s">
        <v>411</v>
      </c>
      <c r="G401" s="4">
        <v>32848</v>
      </c>
      <c r="H401" s="6" t="s">
        <v>259</v>
      </c>
      <c r="I401">
        <v>112</v>
      </c>
      <c r="J401">
        <v>2</v>
      </c>
      <c r="L401" s="6" t="s">
        <v>19</v>
      </c>
      <c r="M401" s="6" t="s">
        <v>20</v>
      </c>
      <c r="N401" s="6" t="s">
        <v>48</v>
      </c>
    </row>
    <row r="402" spans="1:14" x14ac:dyDescent="0.25">
      <c r="A402" s="6" t="s">
        <v>745</v>
      </c>
      <c r="B402" s="4">
        <v>45933</v>
      </c>
      <c r="C402" s="6" t="s">
        <v>2791</v>
      </c>
      <c r="D402" s="7">
        <v>0.83958333333333335</v>
      </c>
      <c r="E402" s="6" t="s">
        <v>16</v>
      </c>
      <c r="F402" s="6" t="s">
        <v>379</v>
      </c>
      <c r="G402" s="4">
        <v>37201</v>
      </c>
      <c r="H402" s="6" t="s">
        <v>129</v>
      </c>
      <c r="I402">
        <v>161</v>
      </c>
      <c r="J402">
        <v>2</v>
      </c>
      <c r="K402">
        <v>324</v>
      </c>
      <c r="L402" s="6" t="s">
        <v>54</v>
      </c>
      <c r="M402" s="6" t="s">
        <v>47</v>
      </c>
      <c r="N402" s="6" t="s">
        <v>33</v>
      </c>
    </row>
    <row r="403" spans="1:14" x14ac:dyDescent="0.25">
      <c r="A403" s="6" t="s">
        <v>746</v>
      </c>
      <c r="B403" s="4">
        <v>45803</v>
      </c>
      <c r="C403" s="6" t="s">
        <v>2792</v>
      </c>
      <c r="D403" s="7">
        <v>0.83750000000000002</v>
      </c>
      <c r="E403" s="6" t="s">
        <v>16</v>
      </c>
      <c r="F403" s="6" t="s">
        <v>420</v>
      </c>
      <c r="G403" s="4">
        <v>38043</v>
      </c>
      <c r="H403" s="6" t="s">
        <v>126</v>
      </c>
      <c r="I403">
        <v>147</v>
      </c>
      <c r="J403">
        <v>1</v>
      </c>
      <c r="K403">
        <v>147</v>
      </c>
      <c r="L403" s="6" t="s">
        <v>19</v>
      </c>
      <c r="M403" s="6" t="s">
        <v>37</v>
      </c>
      <c r="N403" s="6" t="s">
        <v>33</v>
      </c>
    </row>
    <row r="404" spans="1:14" x14ac:dyDescent="0.25">
      <c r="A404" s="6" t="s">
        <v>747</v>
      </c>
      <c r="B404" s="4">
        <v>45772</v>
      </c>
      <c r="C404" s="6" t="s">
        <v>2801</v>
      </c>
      <c r="D404" s="7">
        <v>0.56736111111111109</v>
      </c>
      <c r="E404" s="6" t="s">
        <v>16</v>
      </c>
      <c r="F404" s="6" t="s">
        <v>98</v>
      </c>
      <c r="G404" s="4">
        <v>26841</v>
      </c>
      <c r="H404" s="6" t="s">
        <v>104</v>
      </c>
      <c r="I404">
        <v>281</v>
      </c>
      <c r="J404">
        <v>2</v>
      </c>
      <c r="K404">
        <v>562</v>
      </c>
      <c r="L404" s="6" t="s">
        <v>19</v>
      </c>
      <c r="M404" s="6" t="s">
        <v>55</v>
      </c>
      <c r="N404" s="6" t="s">
        <v>48</v>
      </c>
    </row>
    <row r="405" spans="1:14" x14ac:dyDescent="0.25">
      <c r="A405" s="6" t="s">
        <v>748</v>
      </c>
      <c r="B405" s="4">
        <v>45825</v>
      </c>
      <c r="C405" s="6" t="s">
        <v>2800</v>
      </c>
      <c r="D405" s="7">
        <v>0.84097222222222223</v>
      </c>
      <c r="E405" s="6" t="s">
        <v>16</v>
      </c>
      <c r="F405" s="6" t="s">
        <v>240</v>
      </c>
      <c r="G405" s="4">
        <v>31663</v>
      </c>
      <c r="H405" s="6" t="s">
        <v>85</v>
      </c>
      <c r="I405">
        <v>297</v>
      </c>
      <c r="J405">
        <v>2</v>
      </c>
      <c r="K405">
        <v>595</v>
      </c>
      <c r="L405" s="6" t="s">
        <v>19</v>
      </c>
      <c r="M405" s="6" t="s">
        <v>37</v>
      </c>
      <c r="N405" s="6" t="s">
        <v>33</v>
      </c>
    </row>
    <row r="406" spans="1:14" x14ac:dyDescent="0.25">
      <c r="A406" s="6" t="s">
        <v>750</v>
      </c>
      <c r="B406" s="4">
        <v>45672</v>
      </c>
      <c r="C406" s="6" t="s">
        <v>2794</v>
      </c>
      <c r="D406" s="7">
        <v>0.60577546296296292</v>
      </c>
      <c r="E406" s="6" t="s">
        <v>16</v>
      </c>
      <c r="F406" s="6" t="s">
        <v>189</v>
      </c>
      <c r="G406" s="4">
        <v>39922</v>
      </c>
      <c r="H406" s="6" t="s">
        <v>178</v>
      </c>
      <c r="I406">
        <v>301</v>
      </c>
      <c r="J406">
        <v>2</v>
      </c>
      <c r="K406">
        <v>603</v>
      </c>
      <c r="L406" s="6" t="s">
        <v>2787</v>
      </c>
      <c r="M406" s="6" t="s">
        <v>32</v>
      </c>
      <c r="N406" s="6" t="s">
        <v>27</v>
      </c>
    </row>
    <row r="407" spans="1:14" x14ac:dyDescent="0.25">
      <c r="A407" s="6" t="s">
        <v>751</v>
      </c>
      <c r="B407" s="4">
        <v>45773</v>
      </c>
      <c r="C407" s="6" t="s">
        <v>2801</v>
      </c>
      <c r="D407" s="7">
        <v>0.9912037037037037</v>
      </c>
      <c r="E407" s="6" t="s">
        <v>16</v>
      </c>
      <c r="F407" s="6" t="s">
        <v>125</v>
      </c>
      <c r="G407" s="4">
        <v>25751</v>
      </c>
      <c r="H407" s="6" t="s">
        <v>199</v>
      </c>
      <c r="I407">
        <v>235</v>
      </c>
      <c r="J407">
        <v>2</v>
      </c>
      <c r="K407">
        <v>471</v>
      </c>
      <c r="L407" s="6" t="s">
        <v>67</v>
      </c>
      <c r="M407" s="6" t="s">
        <v>47</v>
      </c>
      <c r="N407" s="6" t="s">
        <v>27</v>
      </c>
    </row>
    <row r="408" spans="1:14" x14ac:dyDescent="0.25">
      <c r="A408" s="6" t="s">
        <v>752</v>
      </c>
      <c r="B408" s="4">
        <v>45842</v>
      </c>
      <c r="C408" s="6" t="s">
        <v>2795</v>
      </c>
      <c r="D408" s="7">
        <v>0.46886574074074072</v>
      </c>
      <c r="E408" s="6" t="s">
        <v>16</v>
      </c>
      <c r="F408" s="6" t="s">
        <v>101</v>
      </c>
      <c r="G408" s="4">
        <v>26616</v>
      </c>
      <c r="H408" s="6" t="s">
        <v>24</v>
      </c>
      <c r="I408">
        <v>199</v>
      </c>
      <c r="J408">
        <v>1</v>
      </c>
      <c r="K408">
        <v>200</v>
      </c>
      <c r="L408" s="6" t="s">
        <v>41</v>
      </c>
      <c r="M408" s="6" t="s">
        <v>37</v>
      </c>
      <c r="N408" s="6" t="s">
        <v>27</v>
      </c>
    </row>
    <row r="409" spans="1:14" x14ac:dyDescent="0.25">
      <c r="A409" s="6" t="s">
        <v>753</v>
      </c>
      <c r="B409" s="4">
        <v>45918</v>
      </c>
      <c r="C409" s="6" t="s">
        <v>2797</v>
      </c>
      <c r="D409" s="7">
        <v>0.75347222222222221</v>
      </c>
      <c r="E409" s="6" t="s">
        <v>16</v>
      </c>
      <c r="F409" s="6" t="s">
        <v>206</v>
      </c>
      <c r="G409" s="4">
        <v>26616</v>
      </c>
      <c r="H409" s="6" t="s">
        <v>85</v>
      </c>
      <c r="I409">
        <v>84</v>
      </c>
      <c r="J409">
        <v>1</v>
      </c>
      <c r="K409">
        <v>84</v>
      </c>
      <c r="L409" s="6" t="s">
        <v>41</v>
      </c>
      <c r="M409" s="6" t="s">
        <v>32</v>
      </c>
      <c r="N409" s="6" t="s">
        <v>56</v>
      </c>
    </row>
    <row r="410" spans="1:14" x14ac:dyDescent="0.25">
      <c r="A410" s="6" t="s">
        <v>754</v>
      </c>
      <c r="B410" s="4">
        <v>45718</v>
      </c>
      <c r="C410" s="6" t="s">
        <v>2798</v>
      </c>
      <c r="D410" s="7">
        <v>0.60972222222222228</v>
      </c>
      <c r="E410" s="6" t="s">
        <v>16</v>
      </c>
      <c r="F410" s="6" t="s">
        <v>458</v>
      </c>
      <c r="G410" s="4">
        <v>26616</v>
      </c>
      <c r="H410" s="6" t="s">
        <v>73</v>
      </c>
      <c r="I410">
        <v>55</v>
      </c>
      <c r="J410">
        <v>1</v>
      </c>
      <c r="K410">
        <v>56</v>
      </c>
      <c r="L410" s="6" t="s">
        <v>19</v>
      </c>
      <c r="M410" s="6" t="s">
        <v>37</v>
      </c>
      <c r="N410" s="6" t="s">
        <v>56</v>
      </c>
    </row>
    <row r="411" spans="1:14" x14ac:dyDescent="0.25">
      <c r="A411" s="6" t="s">
        <v>755</v>
      </c>
      <c r="B411" s="4">
        <v>45661</v>
      </c>
      <c r="C411" s="6" t="s">
        <v>2794</v>
      </c>
      <c r="D411" s="7">
        <v>0.82013888888888886</v>
      </c>
      <c r="E411" s="6" t="s">
        <v>16</v>
      </c>
      <c r="F411" s="6" t="s">
        <v>144</v>
      </c>
      <c r="G411" s="4">
        <v>29170</v>
      </c>
      <c r="H411" s="6" t="s">
        <v>199</v>
      </c>
      <c r="I411">
        <v>198</v>
      </c>
      <c r="J411">
        <v>1</v>
      </c>
      <c r="K411">
        <v>198</v>
      </c>
      <c r="L411" s="6" t="s">
        <v>19</v>
      </c>
      <c r="M411" s="6" t="s">
        <v>47</v>
      </c>
      <c r="N411" s="6" t="s">
        <v>56</v>
      </c>
    </row>
    <row r="412" spans="1:14" x14ac:dyDescent="0.25">
      <c r="A412" s="6" t="s">
        <v>758</v>
      </c>
      <c r="B412" s="4">
        <v>45912</v>
      </c>
      <c r="C412" s="6" t="s">
        <v>2797</v>
      </c>
      <c r="D412" s="7">
        <v>0.55486111111111114</v>
      </c>
      <c r="E412" s="6" t="s">
        <v>16</v>
      </c>
      <c r="F412" s="6" t="s">
        <v>512</v>
      </c>
      <c r="G412" s="4">
        <v>28745</v>
      </c>
      <c r="H412" s="6" t="s">
        <v>30</v>
      </c>
      <c r="I412">
        <v>241</v>
      </c>
      <c r="J412">
        <v>2</v>
      </c>
      <c r="K412">
        <v>484</v>
      </c>
      <c r="L412" s="6" t="s">
        <v>54</v>
      </c>
      <c r="M412" s="6" t="s">
        <v>61</v>
      </c>
      <c r="N412" s="6" t="s">
        <v>33</v>
      </c>
    </row>
    <row r="413" spans="1:14" x14ac:dyDescent="0.25">
      <c r="A413" s="6" t="s">
        <v>759</v>
      </c>
      <c r="B413" s="4">
        <v>45811</v>
      </c>
      <c r="C413" s="6" t="s">
        <v>2800</v>
      </c>
      <c r="D413" s="7">
        <v>0.67515046296296299</v>
      </c>
      <c r="E413" s="6" t="s">
        <v>16</v>
      </c>
      <c r="F413" s="6" t="s">
        <v>659</v>
      </c>
      <c r="G413" s="4">
        <v>39433</v>
      </c>
      <c r="H413" s="6" t="s">
        <v>259</v>
      </c>
      <c r="I413">
        <v>276</v>
      </c>
      <c r="J413">
        <v>1</v>
      </c>
      <c r="K413">
        <v>280</v>
      </c>
      <c r="L413" s="6" t="s">
        <v>19</v>
      </c>
      <c r="M413" s="6" t="s">
        <v>32</v>
      </c>
      <c r="N413" s="6" t="s">
        <v>56</v>
      </c>
    </row>
    <row r="414" spans="1:14" x14ac:dyDescent="0.25">
      <c r="A414" s="6" t="s">
        <v>761</v>
      </c>
      <c r="B414" s="4">
        <v>45775</v>
      </c>
      <c r="C414" s="6" t="s">
        <v>2801</v>
      </c>
      <c r="D414" s="7">
        <v>0.9868055555555556</v>
      </c>
      <c r="E414" s="6" t="s">
        <v>16</v>
      </c>
      <c r="F414" s="6" t="s">
        <v>295</v>
      </c>
      <c r="G414" s="4">
        <v>36534</v>
      </c>
      <c r="H414" s="6" t="s">
        <v>60</v>
      </c>
      <c r="I414">
        <v>173</v>
      </c>
      <c r="J414">
        <v>2</v>
      </c>
      <c r="K414">
        <v>347</v>
      </c>
      <c r="L414" s="6" t="s">
        <v>41</v>
      </c>
      <c r="M414" s="6" t="s">
        <v>20</v>
      </c>
      <c r="N414" s="6" t="s">
        <v>27</v>
      </c>
    </row>
    <row r="415" spans="1:14" x14ac:dyDescent="0.25">
      <c r="A415" s="6" t="s">
        <v>763</v>
      </c>
      <c r="B415" s="4">
        <v>45706</v>
      </c>
      <c r="C415" s="6" t="s">
        <v>2799</v>
      </c>
      <c r="D415" s="7">
        <v>0.91041666666666665</v>
      </c>
      <c r="E415" s="6" t="s">
        <v>16</v>
      </c>
      <c r="F415" s="6" t="s">
        <v>764</v>
      </c>
      <c r="G415" s="4">
        <v>29236</v>
      </c>
      <c r="H415" s="6" t="s">
        <v>199</v>
      </c>
      <c r="I415">
        <v>232</v>
      </c>
      <c r="J415">
        <v>2</v>
      </c>
      <c r="K415">
        <v>465</v>
      </c>
      <c r="L415" s="6" t="s">
        <v>41</v>
      </c>
      <c r="M415" s="6" t="s">
        <v>37</v>
      </c>
      <c r="N415" s="6" t="s">
        <v>21</v>
      </c>
    </row>
    <row r="416" spans="1:14" x14ac:dyDescent="0.25">
      <c r="A416" s="6" t="s">
        <v>765</v>
      </c>
      <c r="B416" s="4">
        <v>45624</v>
      </c>
      <c r="C416" s="6" t="s">
        <v>2802</v>
      </c>
      <c r="D416" s="7">
        <v>0.47638888888888886</v>
      </c>
      <c r="E416" s="6" t="s">
        <v>16</v>
      </c>
      <c r="F416" s="6" t="s">
        <v>98</v>
      </c>
      <c r="G416" s="4">
        <v>33584</v>
      </c>
      <c r="H416" s="6" t="s">
        <v>116</v>
      </c>
      <c r="I416">
        <v>107</v>
      </c>
      <c r="J416">
        <v>2</v>
      </c>
      <c r="K416">
        <v>216</v>
      </c>
      <c r="L416" s="6" t="s">
        <v>67</v>
      </c>
      <c r="M416" s="6" t="s">
        <v>37</v>
      </c>
      <c r="N416" s="6" t="s">
        <v>33</v>
      </c>
    </row>
    <row r="417" spans="1:14" x14ac:dyDescent="0.25">
      <c r="A417" s="6" t="s">
        <v>766</v>
      </c>
      <c r="B417" s="4">
        <v>45880</v>
      </c>
      <c r="C417" s="6" t="s">
        <v>2793</v>
      </c>
      <c r="D417" s="7">
        <v>0.5708333333333333</v>
      </c>
      <c r="E417" s="6" t="s">
        <v>16</v>
      </c>
      <c r="F417" s="6" t="s">
        <v>622</v>
      </c>
      <c r="G417" s="4">
        <v>31146</v>
      </c>
      <c r="H417" s="6" t="s">
        <v>85</v>
      </c>
      <c r="I417">
        <v>115</v>
      </c>
      <c r="J417">
        <v>2</v>
      </c>
      <c r="K417">
        <v>232</v>
      </c>
      <c r="L417" s="6" t="s">
        <v>41</v>
      </c>
      <c r="M417" s="6" t="s">
        <v>55</v>
      </c>
      <c r="N417" s="6" t="s">
        <v>27</v>
      </c>
    </row>
    <row r="418" spans="1:14" x14ac:dyDescent="0.25">
      <c r="A418" s="6" t="s">
        <v>767</v>
      </c>
      <c r="B418" s="4">
        <v>45941</v>
      </c>
      <c r="C418" s="6" t="s">
        <v>2791</v>
      </c>
      <c r="D418" s="7">
        <v>0.51736111111111116</v>
      </c>
      <c r="E418" s="6" t="s">
        <v>16</v>
      </c>
      <c r="F418" s="6" t="s">
        <v>50</v>
      </c>
      <c r="G418" s="4">
        <v>40464</v>
      </c>
      <c r="H418" s="6" t="s">
        <v>259</v>
      </c>
      <c r="I418">
        <v>208</v>
      </c>
      <c r="J418">
        <v>3</v>
      </c>
      <c r="K418">
        <v>626</v>
      </c>
      <c r="L418" s="6" t="s">
        <v>19</v>
      </c>
      <c r="M418" s="6" t="s">
        <v>89</v>
      </c>
      <c r="N418" s="6" t="s">
        <v>21</v>
      </c>
    </row>
    <row r="419" spans="1:14" x14ac:dyDescent="0.25">
      <c r="A419" s="6" t="s">
        <v>768</v>
      </c>
      <c r="B419" s="4">
        <v>45804</v>
      </c>
      <c r="C419" s="6" t="s">
        <v>2792</v>
      </c>
      <c r="D419" s="7">
        <v>0.75555555555555554</v>
      </c>
      <c r="E419" s="6" t="s">
        <v>16</v>
      </c>
      <c r="F419" s="6" t="s">
        <v>208</v>
      </c>
      <c r="G419" s="4">
        <v>28651</v>
      </c>
      <c r="H419" s="6" t="s">
        <v>53</v>
      </c>
      <c r="I419">
        <v>117</v>
      </c>
      <c r="J419">
        <v>2</v>
      </c>
      <c r="K419">
        <v>236</v>
      </c>
      <c r="L419" s="6" t="s">
        <v>54</v>
      </c>
      <c r="M419" s="6" t="s">
        <v>32</v>
      </c>
      <c r="N419" s="6" t="s">
        <v>21</v>
      </c>
    </row>
    <row r="420" spans="1:14" x14ac:dyDescent="0.25">
      <c r="A420" s="6" t="s">
        <v>769</v>
      </c>
      <c r="B420" s="4">
        <v>45734</v>
      </c>
      <c r="C420" s="6" t="s">
        <v>2798</v>
      </c>
      <c r="D420" s="7">
        <v>0.63194444444444442</v>
      </c>
      <c r="E420" s="6" t="s">
        <v>16</v>
      </c>
      <c r="F420" s="6" t="s">
        <v>770</v>
      </c>
      <c r="G420" s="4">
        <v>29118</v>
      </c>
      <c r="H420" s="6" t="s">
        <v>141</v>
      </c>
      <c r="I420">
        <v>131</v>
      </c>
      <c r="J420">
        <v>1</v>
      </c>
      <c r="K420">
        <v>131</v>
      </c>
      <c r="L420" s="6" t="s">
        <v>2787</v>
      </c>
      <c r="M420" s="6" t="s">
        <v>47</v>
      </c>
      <c r="N420" s="6" t="s">
        <v>21</v>
      </c>
    </row>
    <row r="421" spans="1:14" x14ac:dyDescent="0.25">
      <c r="A421" s="6" t="s">
        <v>771</v>
      </c>
      <c r="B421" s="4">
        <v>45647</v>
      </c>
      <c r="C421" s="6" t="s">
        <v>2796</v>
      </c>
      <c r="D421" s="7">
        <v>0.52083333333333337</v>
      </c>
      <c r="E421" s="6" t="s">
        <v>16</v>
      </c>
      <c r="F421" s="6" t="s">
        <v>84</v>
      </c>
      <c r="G421" s="4">
        <v>34979</v>
      </c>
      <c r="H421" s="6" t="s">
        <v>53</v>
      </c>
      <c r="I421">
        <v>86</v>
      </c>
      <c r="J421">
        <v>1</v>
      </c>
      <c r="K421">
        <v>87</v>
      </c>
      <c r="L421" s="6" t="s">
        <v>19</v>
      </c>
      <c r="M421" s="6" t="s">
        <v>61</v>
      </c>
      <c r="N421" s="6" t="s">
        <v>33</v>
      </c>
    </row>
    <row r="422" spans="1:14" x14ac:dyDescent="0.25">
      <c r="A422" s="6" t="s">
        <v>772</v>
      </c>
      <c r="B422" s="4">
        <v>45955</v>
      </c>
      <c r="C422" s="6" t="s">
        <v>2791</v>
      </c>
      <c r="D422" s="7">
        <v>0.78309027777777773</v>
      </c>
      <c r="E422" s="6" t="s">
        <v>16</v>
      </c>
      <c r="F422" s="6" t="s">
        <v>458</v>
      </c>
      <c r="G422" s="4">
        <v>33360</v>
      </c>
      <c r="H422" s="6" t="s">
        <v>126</v>
      </c>
      <c r="I422">
        <v>226</v>
      </c>
      <c r="J422">
        <v>2</v>
      </c>
      <c r="K422">
        <v>453</v>
      </c>
      <c r="L422" s="6" t="s">
        <v>19</v>
      </c>
      <c r="M422" s="6" t="s">
        <v>20</v>
      </c>
      <c r="N422" s="6" t="s">
        <v>74</v>
      </c>
    </row>
    <row r="423" spans="1:14" x14ac:dyDescent="0.25">
      <c r="A423" s="6" t="s">
        <v>773</v>
      </c>
      <c r="B423" s="4">
        <v>45646</v>
      </c>
      <c r="C423" s="6" t="s">
        <v>2796</v>
      </c>
      <c r="D423" s="7">
        <v>0.99081018518518515</v>
      </c>
      <c r="E423" s="6" t="s">
        <v>16</v>
      </c>
      <c r="F423" s="6" t="s">
        <v>158</v>
      </c>
      <c r="G423" s="4">
        <v>33360</v>
      </c>
      <c r="H423" s="6" t="s">
        <v>126</v>
      </c>
      <c r="I423">
        <v>102</v>
      </c>
      <c r="J423">
        <v>2</v>
      </c>
      <c r="K423">
        <v>206</v>
      </c>
      <c r="L423" s="6" t="s">
        <v>41</v>
      </c>
      <c r="M423" s="6" t="s">
        <v>20</v>
      </c>
      <c r="N423" s="6" t="s">
        <v>105</v>
      </c>
    </row>
    <row r="424" spans="1:14" x14ac:dyDescent="0.25">
      <c r="A424" s="6" t="s">
        <v>774</v>
      </c>
      <c r="B424" s="4">
        <v>45925</v>
      </c>
      <c r="C424" s="6" t="s">
        <v>2797</v>
      </c>
      <c r="D424" s="7">
        <v>0.79583333333333328</v>
      </c>
      <c r="E424" s="6" t="s">
        <v>16</v>
      </c>
      <c r="F424" s="6" t="s">
        <v>206</v>
      </c>
      <c r="G424" s="4">
        <v>35269</v>
      </c>
      <c r="H424" s="6" t="s">
        <v>53</v>
      </c>
      <c r="I424">
        <v>117</v>
      </c>
      <c r="J424">
        <v>2</v>
      </c>
      <c r="K424">
        <v>235</v>
      </c>
      <c r="L424" s="6" t="s">
        <v>54</v>
      </c>
      <c r="M424" s="6" t="s">
        <v>61</v>
      </c>
      <c r="N424" s="6" t="s">
        <v>48</v>
      </c>
    </row>
    <row r="425" spans="1:14" x14ac:dyDescent="0.25">
      <c r="A425" s="6" t="s">
        <v>775</v>
      </c>
      <c r="B425" s="4">
        <v>45800</v>
      </c>
      <c r="C425" s="6" t="s">
        <v>2792</v>
      </c>
      <c r="D425" s="7">
        <v>0.63561342592592596</v>
      </c>
      <c r="E425" s="6" t="s">
        <v>16</v>
      </c>
      <c r="F425" s="6" t="s">
        <v>776</v>
      </c>
      <c r="G425" s="4">
        <v>31478</v>
      </c>
      <c r="H425" s="6" t="s">
        <v>85</v>
      </c>
      <c r="I425">
        <v>39</v>
      </c>
      <c r="J425">
        <v>2</v>
      </c>
      <c r="K425">
        <v>79</v>
      </c>
      <c r="L425" s="6" t="s">
        <v>19</v>
      </c>
      <c r="M425" s="6" t="s">
        <v>20</v>
      </c>
      <c r="N425" s="6" t="s">
        <v>56</v>
      </c>
    </row>
    <row r="426" spans="1:14" x14ac:dyDescent="0.25">
      <c r="A426" s="6" t="s">
        <v>777</v>
      </c>
      <c r="B426" s="4">
        <v>45935</v>
      </c>
      <c r="C426" s="6" t="s">
        <v>2791</v>
      </c>
      <c r="D426" s="7">
        <v>0.93347222222222226</v>
      </c>
      <c r="E426" s="6" t="s">
        <v>16</v>
      </c>
      <c r="F426" s="6" t="s">
        <v>101</v>
      </c>
      <c r="G426" s="4">
        <v>34034</v>
      </c>
      <c r="H426" s="6" t="s">
        <v>85</v>
      </c>
      <c r="I426">
        <v>116</v>
      </c>
      <c r="J426">
        <v>2</v>
      </c>
      <c r="K426">
        <v>234</v>
      </c>
      <c r="L426" s="6" t="s">
        <v>19</v>
      </c>
      <c r="M426" s="6" t="s">
        <v>32</v>
      </c>
      <c r="N426" s="6" t="s">
        <v>74</v>
      </c>
    </row>
    <row r="427" spans="1:14" x14ac:dyDescent="0.25">
      <c r="A427" s="6" t="s">
        <v>778</v>
      </c>
      <c r="B427" s="4">
        <v>45685</v>
      </c>
      <c r="C427" s="6" t="s">
        <v>2794</v>
      </c>
      <c r="D427" s="7">
        <v>0.99157407407407405</v>
      </c>
      <c r="E427" s="6" t="s">
        <v>16</v>
      </c>
      <c r="F427" s="6" t="s">
        <v>360</v>
      </c>
      <c r="G427" s="4">
        <v>30921</v>
      </c>
      <c r="H427" s="6" t="s">
        <v>18</v>
      </c>
      <c r="I427">
        <v>105</v>
      </c>
      <c r="J427">
        <v>1</v>
      </c>
      <c r="K427">
        <v>105</v>
      </c>
      <c r="L427" s="6" t="s">
        <v>19</v>
      </c>
      <c r="M427" s="6" t="s">
        <v>61</v>
      </c>
      <c r="N427" s="6" t="s">
        <v>74</v>
      </c>
    </row>
    <row r="428" spans="1:14" x14ac:dyDescent="0.25">
      <c r="A428" s="6" t="s">
        <v>779</v>
      </c>
      <c r="B428" s="4">
        <v>45901</v>
      </c>
      <c r="C428" s="6" t="s">
        <v>2797</v>
      </c>
      <c r="D428" s="7">
        <v>0.6743055555555556</v>
      </c>
      <c r="E428" s="6" t="s">
        <v>16</v>
      </c>
      <c r="F428" s="6" t="s">
        <v>227</v>
      </c>
      <c r="G428" s="4">
        <v>34677</v>
      </c>
      <c r="H428" s="6" t="s">
        <v>40</v>
      </c>
      <c r="I428">
        <v>229</v>
      </c>
      <c r="J428">
        <v>1</v>
      </c>
      <c r="K428">
        <v>230</v>
      </c>
      <c r="L428" s="6" t="s">
        <v>19</v>
      </c>
      <c r="M428" s="6" t="s">
        <v>61</v>
      </c>
      <c r="N428" s="6" t="s">
        <v>74</v>
      </c>
    </row>
    <row r="429" spans="1:14" x14ac:dyDescent="0.25">
      <c r="A429" s="6" t="s">
        <v>780</v>
      </c>
      <c r="B429" s="4">
        <v>45777</v>
      </c>
      <c r="C429" s="6" t="s">
        <v>2801</v>
      </c>
      <c r="D429" s="7">
        <v>0.89027777777777772</v>
      </c>
      <c r="E429" s="6" t="s">
        <v>16</v>
      </c>
      <c r="F429" s="6" t="s">
        <v>256</v>
      </c>
      <c r="G429" s="4">
        <v>32077</v>
      </c>
      <c r="H429" s="6" t="s">
        <v>199</v>
      </c>
      <c r="I429">
        <v>212</v>
      </c>
      <c r="J429">
        <v>1</v>
      </c>
      <c r="K429">
        <v>212</v>
      </c>
      <c r="L429" s="6" t="s">
        <v>2787</v>
      </c>
      <c r="M429" s="6" t="s">
        <v>55</v>
      </c>
      <c r="N429" s="6" t="s">
        <v>74</v>
      </c>
    </row>
    <row r="430" spans="1:14" x14ac:dyDescent="0.25">
      <c r="A430" s="6" t="s">
        <v>781</v>
      </c>
      <c r="B430" s="4">
        <v>45837</v>
      </c>
      <c r="C430" s="6" t="s">
        <v>2800</v>
      </c>
      <c r="D430" s="7">
        <v>0.67618055555555556</v>
      </c>
      <c r="E430" s="6" t="s">
        <v>16</v>
      </c>
      <c r="F430" s="6" t="s">
        <v>158</v>
      </c>
      <c r="G430" s="4">
        <v>30981</v>
      </c>
      <c r="H430" s="6" t="s">
        <v>199</v>
      </c>
      <c r="I430">
        <v>249</v>
      </c>
      <c r="J430">
        <v>2</v>
      </c>
      <c r="K430">
        <v>499</v>
      </c>
      <c r="L430" s="6" t="s">
        <v>67</v>
      </c>
      <c r="M430" s="6" t="s">
        <v>37</v>
      </c>
      <c r="N430" s="6" t="s">
        <v>27</v>
      </c>
    </row>
    <row r="431" spans="1:14" x14ac:dyDescent="0.25">
      <c r="A431" s="6" t="s">
        <v>782</v>
      </c>
      <c r="B431" s="4">
        <v>45632</v>
      </c>
      <c r="C431" s="6" t="s">
        <v>2796</v>
      </c>
      <c r="D431" s="7">
        <v>0.87986111111111109</v>
      </c>
      <c r="E431" s="6" t="s">
        <v>16</v>
      </c>
      <c r="F431" s="6" t="s">
        <v>622</v>
      </c>
      <c r="G431" s="4">
        <v>34528</v>
      </c>
      <c r="H431" s="6" t="s">
        <v>178</v>
      </c>
      <c r="I431">
        <v>313</v>
      </c>
      <c r="J431">
        <v>1</v>
      </c>
      <c r="K431">
        <v>313</v>
      </c>
      <c r="L431" s="6" t="s">
        <v>2787</v>
      </c>
      <c r="M431" s="6" t="s">
        <v>55</v>
      </c>
      <c r="N431" s="6" t="s">
        <v>105</v>
      </c>
    </row>
    <row r="432" spans="1:14" x14ac:dyDescent="0.25">
      <c r="A432" s="6" t="s">
        <v>784</v>
      </c>
      <c r="B432" s="4">
        <v>45902</v>
      </c>
      <c r="C432" s="6" t="s">
        <v>2797</v>
      </c>
      <c r="D432" s="7">
        <v>0.46527777777777779</v>
      </c>
      <c r="E432" s="6" t="s">
        <v>16</v>
      </c>
      <c r="F432" s="6" t="s">
        <v>66</v>
      </c>
      <c r="G432" s="4">
        <v>39002</v>
      </c>
      <c r="H432" s="6" t="s">
        <v>45</v>
      </c>
      <c r="I432">
        <v>333</v>
      </c>
      <c r="J432">
        <v>1</v>
      </c>
      <c r="K432">
        <v>333</v>
      </c>
      <c r="L432" s="6" t="s">
        <v>2787</v>
      </c>
      <c r="M432" s="6" t="s">
        <v>55</v>
      </c>
      <c r="N432" s="6" t="s">
        <v>105</v>
      </c>
    </row>
    <row r="433" spans="1:14" x14ac:dyDescent="0.25">
      <c r="A433" s="6" t="s">
        <v>785</v>
      </c>
      <c r="B433" s="4">
        <v>45892</v>
      </c>
      <c r="C433" s="6" t="s">
        <v>2793</v>
      </c>
      <c r="D433" s="7">
        <v>0.95785879629629633</v>
      </c>
      <c r="E433" s="6" t="s">
        <v>16</v>
      </c>
      <c r="F433" s="6" t="s">
        <v>324</v>
      </c>
      <c r="G433" s="4">
        <v>29267</v>
      </c>
      <c r="H433" s="6" t="s">
        <v>36</v>
      </c>
      <c r="I433">
        <v>131</v>
      </c>
      <c r="J433">
        <v>2</v>
      </c>
      <c r="K433">
        <v>263</v>
      </c>
      <c r="L433" s="6" t="s">
        <v>19</v>
      </c>
      <c r="M433" s="6" t="s">
        <v>55</v>
      </c>
      <c r="N433" s="6" t="s">
        <v>105</v>
      </c>
    </row>
    <row r="434" spans="1:14" x14ac:dyDescent="0.25">
      <c r="A434" s="6" t="s">
        <v>786</v>
      </c>
      <c r="B434" s="4">
        <v>45954</v>
      </c>
      <c r="C434" s="6" t="s">
        <v>2791</v>
      </c>
      <c r="D434" s="7">
        <v>0.98124999999999996</v>
      </c>
      <c r="E434" s="6" t="s">
        <v>16</v>
      </c>
      <c r="F434" s="6" t="s">
        <v>181</v>
      </c>
      <c r="G434" s="4">
        <v>38243</v>
      </c>
      <c r="H434" s="6" t="s">
        <v>141</v>
      </c>
      <c r="I434">
        <v>164</v>
      </c>
      <c r="J434">
        <v>3</v>
      </c>
      <c r="K434">
        <v>494</v>
      </c>
      <c r="L434" s="6" t="s">
        <v>2787</v>
      </c>
      <c r="M434" s="6" t="s">
        <v>55</v>
      </c>
      <c r="N434" s="6" t="s">
        <v>105</v>
      </c>
    </row>
    <row r="435" spans="1:14" x14ac:dyDescent="0.25">
      <c r="A435" s="6" t="s">
        <v>787</v>
      </c>
      <c r="B435" s="4">
        <v>45638</v>
      </c>
      <c r="C435" s="6" t="s">
        <v>2796</v>
      </c>
      <c r="D435" s="7">
        <v>0.62291666666666667</v>
      </c>
      <c r="E435" s="6" t="s">
        <v>16</v>
      </c>
      <c r="F435" s="6" t="s">
        <v>138</v>
      </c>
      <c r="G435" s="4">
        <v>26908</v>
      </c>
      <c r="H435" s="6" t="s">
        <v>36</v>
      </c>
      <c r="I435">
        <v>44</v>
      </c>
      <c r="J435">
        <v>2</v>
      </c>
      <c r="K435">
        <v>89</v>
      </c>
      <c r="L435" s="6" t="s">
        <v>19</v>
      </c>
      <c r="M435" s="6" t="s">
        <v>26</v>
      </c>
      <c r="N435" s="6" t="s">
        <v>33</v>
      </c>
    </row>
    <row r="436" spans="1:14" x14ac:dyDescent="0.25">
      <c r="A436" s="6" t="s">
        <v>788</v>
      </c>
      <c r="B436" s="4">
        <v>45870</v>
      </c>
      <c r="C436" s="6" t="s">
        <v>2793</v>
      </c>
      <c r="D436" s="7">
        <v>0.45763888888888887</v>
      </c>
      <c r="E436" s="6" t="s">
        <v>16</v>
      </c>
      <c r="F436" s="6" t="s">
        <v>789</v>
      </c>
      <c r="G436" s="4">
        <v>31378</v>
      </c>
      <c r="H436" s="6" t="s">
        <v>40</v>
      </c>
      <c r="I436">
        <v>230</v>
      </c>
      <c r="J436">
        <v>3</v>
      </c>
      <c r="K436">
        <v>693</v>
      </c>
      <c r="L436" s="6" t="s">
        <v>2787</v>
      </c>
      <c r="M436" s="6" t="s">
        <v>47</v>
      </c>
      <c r="N436" s="6" t="s">
        <v>48</v>
      </c>
    </row>
    <row r="437" spans="1:14" x14ac:dyDescent="0.25">
      <c r="A437" s="6" t="s">
        <v>790</v>
      </c>
      <c r="B437" s="4">
        <v>45826</v>
      </c>
      <c r="C437" s="6" t="s">
        <v>2800</v>
      </c>
      <c r="D437" s="7">
        <v>0.97666666666666668</v>
      </c>
      <c r="E437" s="6" t="s">
        <v>16</v>
      </c>
      <c r="F437" s="6" t="s">
        <v>792</v>
      </c>
      <c r="G437" s="4">
        <v>34722</v>
      </c>
      <c r="H437" s="6" t="s">
        <v>104</v>
      </c>
      <c r="I437">
        <v>235</v>
      </c>
      <c r="J437">
        <v>2</v>
      </c>
      <c r="K437">
        <v>470</v>
      </c>
      <c r="L437" s="6" t="s">
        <v>2787</v>
      </c>
      <c r="M437" s="6" t="s">
        <v>26</v>
      </c>
      <c r="N437" s="6" t="s">
        <v>21</v>
      </c>
    </row>
    <row r="438" spans="1:14" x14ac:dyDescent="0.25">
      <c r="A438" s="6" t="s">
        <v>793</v>
      </c>
      <c r="B438" s="4">
        <v>45819</v>
      </c>
      <c r="C438" s="6" t="s">
        <v>2800</v>
      </c>
      <c r="D438" s="7">
        <v>0.48326388888888888</v>
      </c>
      <c r="E438" s="6" t="s">
        <v>16</v>
      </c>
      <c r="F438" s="6" t="s">
        <v>794</v>
      </c>
      <c r="G438" s="4">
        <v>36560</v>
      </c>
      <c r="H438" s="6" t="s">
        <v>18</v>
      </c>
      <c r="I438">
        <v>89</v>
      </c>
      <c r="J438">
        <v>1</v>
      </c>
      <c r="K438">
        <v>89</v>
      </c>
      <c r="L438" s="6" t="s">
        <v>54</v>
      </c>
      <c r="M438" s="6" t="s">
        <v>55</v>
      </c>
      <c r="N438" s="6" t="s">
        <v>27</v>
      </c>
    </row>
    <row r="439" spans="1:14" x14ac:dyDescent="0.25">
      <c r="A439" s="6" t="s">
        <v>795</v>
      </c>
      <c r="B439" s="4">
        <v>45791</v>
      </c>
      <c r="C439" s="6" t="s">
        <v>2792</v>
      </c>
      <c r="D439" s="7">
        <v>0.51527777777777772</v>
      </c>
      <c r="E439" s="6" t="s">
        <v>16</v>
      </c>
      <c r="F439" s="6" t="s">
        <v>346</v>
      </c>
      <c r="G439" s="4">
        <v>32389</v>
      </c>
      <c r="H439" s="6" t="s">
        <v>243</v>
      </c>
      <c r="I439">
        <v>112</v>
      </c>
      <c r="J439">
        <v>1</v>
      </c>
      <c r="K439">
        <v>112</v>
      </c>
      <c r="L439" s="6" t="s">
        <v>41</v>
      </c>
      <c r="M439" s="6" t="s">
        <v>32</v>
      </c>
      <c r="N439" s="6" t="s">
        <v>56</v>
      </c>
    </row>
    <row r="440" spans="1:14" x14ac:dyDescent="0.25">
      <c r="A440" s="6" t="s">
        <v>796</v>
      </c>
      <c r="B440" s="4">
        <v>45636</v>
      </c>
      <c r="C440" s="6" t="s">
        <v>2796</v>
      </c>
      <c r="D440" s="7">
        <v>0.84305555555555556</v>
      </c>
      <c r="E440" s="6" t="s">
        <v>16</v>
      </c>
      <c r="F440" s="6" t="s">
        <v>797</v>
      </c>
      <c r="G440" s="4">
        <v>38776</v>
      </c>
      <c r="H440" s="6" t="s">
        <v>60</v>
      </c>
      <c r="I440">
        <v>174</v>
      </c>
      <c r="J440">
        <v>2</v>
      </c>
      <c r="K440">
        <v>350</v>
      </c>
      <c r="L440" s="6" t="s">
        <v>41</v>
      </c>
      <c r="M440" s="6" t="s">
        <v>32</v>
      </c>
      <c r="N440" s="6" t="s">
        <v>33</v>
      </c>
    </row>
    <row r="441" spans="1:14" x14ac:dyDescent="0.25">
      <c r="A441" s="6" t="s">
        <v>798</v>
      </c>
      <c r="B441" s="4">
        <v>45690</v>
      </c>
      <c r="C441" s="6" t="s">
        <v>2799</v>
      </c>
      <c r="D441" s="7">
        <v>0.67777777777777781</v>
      </c>
      <c r="E441" s="6" t="s">
        <v>16</v>
      </c>
      <c r="F441" s="6" t="s">
        <v>473</v>
      </c>
      <c r="G441" s="4">
        <v>26525</v>
      </c>
      <c r="H441" s="6" t="s">
        <v>30</v>
      </c>
      <c r="I441">
        <v>315</v>
      </c>
      <c r="J441">
        <v>2</v>
      </c>
      <c r="K441">
        <v>631</v>
      </c>
      <c r="L441" s="6" t="s">
        <v>67</v>
      </c>
      <c r="M441" s="6" t="s">
        <v>47</v>
      </c>
      <c r="N441" s="6" t="s">
        <v>33</v>
      </c>
    </row>
    <row r="442" spans="1:14" x14ac:dyDescent="0.25">
      <c r="A442" s="6" t="s">
        <v>799</v>
      </c>
      <c r="B442" s="4">
        <v>45981</v>
      </c>
      <c r="C442" s="6" t="s">
        <v>2802</v>
      </c>
      <c r="D442" s="7">
        <v>0.99027777777777781</v>
      </c>
      <c r="E442" s="6" t="s">
        <v>16</v>
      </c>
      <c r="F442" s="6" t="s">
        <v>451</v>
      </c>
      <c r="G442" s="4">
        <v>35237</v>
      </c>
      <c r="H442" s="6" t="s">
        <v>141</v>
      </c>
      <c r="I442">
        <v>162</v>
      </c>
      <c r="J442">
        <v>2</v>
      </c>
      <c r="K442">
        <v>325</v>
      </c>
      <c r="L442" s="6" t="s">
        <v>67</v>
      </c>
      <c r="M442" s="6" t="s">
        <v>55</v>
      </c>
      <c r="N442" s="6" t="s">
        <v>33</v>
      </c>
    </row>
    <row r="443" spans="1:14" x14ac:dyDescent="0.25">
      <c r="A443" s="6" t="s">
        <v>800</v>
      </c>
      <c r="B443" s="4">
        <v>45814</v>
      </c>
      <c r="C443" s="6" t="s">
        <v>2800</v>
      </c>
      <c r="D443" s="7">
        <v>0.61597222222222225</v>
      </c>
      <c r="E443" s="6" t="s">
        <v>16</v>
      </c>
      <c r="F443" s="6" t="s">
        <v>328</v>
      </c>
      <c r="G443" s="4">
        <v>29047</v>
      </c>
      <c r="H443" s="6" t="s">
        <v>77</v>
      </c>
      <c r="I443">
        <v>153</v>
      </c>
      <c r="J443">
        <v>1</v>
      </c>
      <c r="K443">
        <v>154</v>
      </c>
      <c r="L443" s="6" t="s">
        <v>19</v>
      </c>
      <c r="M443" s="6" t="s">
        <v>47</v>
      </c>
      <c r="N443" s="6" t="s">
        <v>27</v>
      </c>
    </row>
    <row r="444" spans="1:14" x14ac:dyDescent="0.25">
      <c r="A444" s="6" t="s">
        <v>801</v>
      </c>
      <c r="B444" s="4">
        <v>45726</v>
      </c>
      <c r="C444" s="6" t="s">
        <v>2798</v>
      </c>
      <c r="D444" s="7">
        <v>0.6527546296296296</v>
      </c>
      <c r="E444" s="6" t="s">
        <v>16</v>
      </c>
      <c r="F444" s="6" t="s">
        <v>50</v>
      </c>
      <c r="G444" s="4">
        <v>32267</v>
      </c>
      <c r="H444" s="6" t="s">
        <v>45</v>
      </c>
      <c r="I444">
        <v>145</v>
      </c>
      <c r="J444">
        <v>1</v>
      </c>
      <c r="K444">
        <v>145</v>
      </c>
      <c r="L444" s="6" t="s">
        <v>19</v>
      </c>
      <c r="M444" s="6" t="s">
        <v>26</v>
      </c>
      <c r="N444" s="6" t="s">
        <v>105</v>
      </c>
    </row>
    <row r="445" spans="1:14" x14ac:dyDescent="0.25">
      <c r="A445" s="6" t="s">
        <v>802</v>
      </c>
      <c r="B445" s="4">
        <v>45686</v>
      </c>
      <c r="C445" s="6" t="s">
        <v>2794</v>
      </c>
      <c r="D445" s="7">
        <v>0.6875</v>
      </c>
      <c r="E445" s="6" t="s">
        <v>16</v>
      </c>
      <c r="F445" s="6" t="s">
        <v>332</v>
      </c>
      <c r="G445" s="4">
        <v>29799</v>
      </c>
      <c r="H445" s="6" t="s">
        <v>40</v>
      </c>
      <c r="I445">
        <v>158</v>
      </c>
      <c r="J445">
        <v>1</v>
      </c>
      <c r="K445">
        <v>159</v>
      </c>
      <c r="L445" s="6" t="s">
        <v>19</v>
      </c>
      <c r="M445" s="6" t="s">
        <v>32</v>
      </c>
      <c r="N445" s="6" t="s">
        <v>105</v>
      </c>
    </row>
    <row r="446" spans="1:14" x14ac:dyDescent="0.25">
      <c r="A446" s="6" t="s">
        <v>804</v>
      </c>
      <c r="B446" s="4">
        <v>45625</v>
      </c>
      <c r="C446" s="6" t="s">
        <v>2802</v>
      </c>
      <c r="D446" s="7">
        <v>0.51659722222222226</v>
      </c>
      <c r="E446" s="6" t="s">
        <v>16</v>
      </c>
      <c r="F446" s="6" t="s">
        <v>133</v>
      </c>
      <c r="G446" s="4">
        <v>26156</v>
      </c>
      <c r="H446" s="6" t="s">
        <v>73</v>
      </c>
      <c r="I446">
        <v>42</v>
      </c>
      <c r="J446">
        <v>3</v>
      </c>
      <c r="L446" s="6" t="s">
        <v>41</v>
      </c>
      <c r="M446" s="6" t="s">
        <v>47</v>
      </c>
      <c r="N446" s="6" t="s">
        <v>105</v>
      </c>
    </row>
    <row r="447" spans="1:14" x14ac:dyDescent="0.25">
      <c r="A447" s="6" t="s">
        <v>807</v>
      </c>
      <c r="B447" s="4">
        <v>45811</v>
      </c>
      <c r="C447" s="6" t="s">
        <v>2800</v>
      </c>
      <c r="D447" s="7">
        <v>0.8919097222222222</v>
      </c>
      <c r="E447" s="6" t="s">
        <v>16</v>
      </c>
      <c r="F447" s="6" t="s">
        <v>338</v>
      </c>
      <c r="G447" s="4">
        <v>33947</v>
      </c>
      <c r="H447" s="6" t="s">
        <v>213</v>
      </c>
      <c r="I447">
        <v>42</v>
      </c>
      <c r="J447">
        <v>1</v>
      </c>
      <c r="L447" s="6" t="s">
        <v>19</v>
      </c>
      <c r="M447" s="6" t="s">
        <v>37</v>
      </c>
      <c r="N447" s="6" t="s">
        <v>56</v>
      </c>
    </row>
    <row r="448" spans="1:14" x14ac:dyDescent="0.25">
      <c r="A448" s="6" t="s">
        <v>808</v>
      </c>
      <c r="B448" s="4">
        <v>45650</v>
      </c>
      <c r="C448" s="6" t="s">
        <v>2796</v>
      </c>
      <c r="D448" s="7">
        <v>0.92013888888888884</v>
      </c>
      <c r="E448" s="6" t="s">
        <v>16</v>
      </c>
      <c r="F448" s="6" t="s">
        <v>66</v>
      </c>
      <c r="G448" s="4">
        <v>39849</v>
      </c>
      <c r="H448" s="6" t="s">
        <v>213</v>
      </c>
      <c r="I448">
        <v>152</v>
      </c>
      <c r="J448">
        <v>1</v>
      </c>
      <c r="K448">
        <v>189</v>
      </c>
      <c r="L448" s="6" t="s">
        <v>54</v>
      </c>
      <c r="M448" s="6" t="s">
        <v>26</v>
      </c>
      <c r="N448" s="6" t="s">
        <v>74</v>
      </c>
    </row>
    <row r="449" spans="1:14" x14ac:dyDescent="0.25">
      <c r="A449" s="6" t="s">
        <v>809</v>
      </c>
      <c r="B449" s="4">
        <v>45781</v>
      </c>
      <c r="C449" s="6" t="s">
        <v>2792</v>
      </c>
      <c r="D449" s="7">
        <v>0.74444444444444446</v>
      </c>
      <c r="E449" s="6" t="s">
        <v>16</v>
      </c>
      <c r="F449" s="6" t="s">
        <v>387</v>
      </c>
      <c r="G449" s="4">
        <v>39849</v>
      </c>
      <c r="H449" s="6" t="s">
        <v>178</v>
      </c>
      <c r="I449">
        <v>346</v>
      </c>
      <c r="J449">
        <v>1</v>
      </c>
      <c r="K449">
        <v>347</v>
      </c>
      <c r="L449" s="6" t="s">
        <v>67</v>
      </c>
      <c r="M449" s="6" t="s">
        <v>37</v>
      </c>
      <c r="N449" s="6" t="s">
        <v>74</v>
      </c>
    </row>
    <row r="450" spans="1:14" x14ac:dyDescent="0.25">
      <c r="A450" s="6" t="s">
        <v>810</v>
      </c>
      <c r="B450" s="4">
        <v>45942</v>
      </c>
      <c r="C450" s="6" t="s">
        <v>2791</v>
      </c>
      <c r="D450" s="7">
        <v>0.80972222222222223</v>
      </c>
      <c r="E450" s="6" t="s">
        <v>16</v>
      </c>
      <c r="F450" s="6" t="s">
        <v>330</v>
      </c>
      <c r="G450" s="4">
        <v>31291</v>
      </c>
      <c r="H450" s="6" t="s">
        <v>24</v>
      </c>
      <c r="I450">
        <v>195</v>
      </c>
      <c r="J450">
        <v>2</v>
      </c>
      <c r="K450">
        <v>436</v>
      </c>
      <c r="L450" s="6" t="s">
        <v>19</v>
      </c>
      <c r="M450" s="6" t="s">
        <v>32</v>
      </c>
      <c r="N450" s="6" t="s">
        <v>21</v>
      </c>
    </row>
    <row r="451" spans="1:14" x14ac:dyDescent="0.25">
      <c r="A451" s="6" t="s">
        <v>811</v>
      </c>
      <c r="B451" s="4">
        <v>45908</v>
      </c>
      <c r="C451" s="6" t="s">
        <v>2797</v>
      </c>
      <c r="D451" s="7">
        <v>0.72415509259259259</v>
      </c>
      <c r="E451" s="6" t="s">
        <v>16</v>
      </c>
      <c r="F451" s="6" t="s">
        <v>451</v>
      </c>
      <c r="G451" s="4">
        <v>38328</v>
      </c>
      <c r="H451" s="6" t="s">
        <v>129</v>
      </c>
      <c r="I451">
        <v>217</v>
      </c>
      <c r="J451">
        <v>2</v>
      </c>
      <c r="L451" s="6" t="s">
        <v>41</v>
      </c>
      <c r="M451" s="6" t="s">
        <v>32</v>
      </c>
      <c r="N451" s="6" t="s">
        <v>74</v>
      </c>
    </row>
    <row r="452" spans="1:14" x14ac:dyDescent="0.25">
      <c r="A452" s="6" t="s">
        <v>813</v>
      </c>
      <c r="B452" s="4">
        <v>45940</v>
      </c>
      <c r="C452" s="6" t="s">
        <v>2791</v>
      </c>
      <c r="D452" s="7">
        <v>0.43541666666666667</v>
      </c>
      <c r="E452" s="6" t="s">
        <v>16</v>
      </c>
      <c r="F452" s="6" t="s">
        <v>35</v>
      </c>
      <c r="G452" s="4">
        <v>27772</v>
      </c>
      <c r="H452" s="6" t="s">
        <v>141</v>
      </c>
      <c r="I452">
        <v>157</v>
      </c>
      <c r="J452">
        <v>1</v>
      </c>
      <c r="K452">
        <v>158</v>
      </c>
      <c r="L452" s="6" t="s">
        <v>19</v>
      </c>
      <c r="M452" s="6" t="s">
        <v>26</v>
      </c>
      <c r="N452" s="6" t="s">
        <v>21</v>
      </c>
    </row>
    <row r="453" spans="1:14" x14ac:dyDescent="0.25">
      <c r="A453" s="6" t="s">
        <v>814</v>
      </c>
      <c r="B453" s="4">
        <v>45782</v>
      </c>
      <c r="C453" s="6" t="s">
        <v>2792</v>
      </c>
      <c r="D453" s="7">
        <v>0.51079861111111113</v>
      </c>
      <c r="E453" s="6" t="s">
        <v>16</v>
      </c>
      <c r="F453" s="6" t="s">
        <v>84</v>
      </c>
      <c r="G453" s="4">
        <v>40248</v>
      </c>
      <c r="H453" s="6" t="s">
        <v>145</v>
      </c>
      <c r="I453">
        <v>181</v>
      </c>
      <c r="J453">
        <v>2</v>
      </c>
      <c r="K453">
        <v>364</v>
      </c>
      <c r="L453" s="6" t="s">
        <v>19</v>
      </c>
      <c r="M453" s="6" t="s">
        <v>47</v>
      </c>
      <c r="N453" s="6" t="s">
        <v>56</v>
      </c>
    </row>
    <row r="454" spans="1:14" x14ac:dyDescent="0.25">
      <c r="A454" s="6" t="s">
        <v>815</v>
      </c>
      <c r="B454" s="4">
        <v>45941</v>
      </c>
      <c r="C454" s="6" t="s">
        <v>2791</v>
      </c>
      <c r="D454" s="7">
        <v>0.92887731481481484</v>
      </c>
      <c r="E454" s="6" t="s">
        <v>16</v>
      </c>
      <c r="F454" s="6" t="s">
        <v>332</v>
      </c>
      <c r="G454" s="4">
        <v>33196</v>
      </c>
      <c r="H454" s="6" t="s">
        <v>116</v>
      </c>
      <c r="I454">
        <v>136</v>
      </c>
      <c r="J454">
        <v>1</v>
      </c>
      <c r="K454">
        <v>136</v>
      </c>
      <c r="L454" s="6" t="s">
        <v>19</v>
      </c>
      <c r="M454" s="6" t="s">
        <v>61</v>
      </c>
      <c r="N454" s="6" t="s">
        <v>48</v>
      </c>
    </row>
    <row r="455" spans="1:14" x14ac:dyDescent="0.25">
      <c r="A455" s="6" t="s">
        <v>818</v>
      </c>
      <c r="B455" s="4">
        <v>45651</v>
      </c>
      <c r="C455" s="6" t="s">
        <v>2796</v>
      </c>
      <c r="D455" s="7">
        <v>0.9506944444444444</v>
      </c>
      <c r="E455" s="6" t="s">
        <v>16</v>
      </c>
      <c r="F455" s="6" t="s">
        <v>764</v>
      </c>
      <c r="G455" s="4">
        <v>33196</v>
      </c>
      <c r="H455" s="6" t="s">
        <v>40</v>
      </c>
      <c r="I455">
        <v>223</v>
      </c>
      <c r="J455">
        <v>3</v>
      </c>
      <c r="K455">
        <v>669</v>
      </c>
      <c r="L455" s="6" t="s">
        <v>67</v>
      </c>
      <c r="M455" s="6" t="s">
        <v>26</v>
      </c>
      <c r="N455" s="6" t="s">
        <v>48</v>
      </c>
    </row>
    <row r="456" spans="1:14" x14ac:dyDescent="0.25">
      <c r="A456" s="6" t="s">
        <v>819</v>
      </c>
      <c r="B456" s="4">
        <v>45648</v>
      </c>
      <c r="C456" s="6" t="s">
        <v>2796</v>
      </c>
      <c r="D456" s="7">
        <v>0.78578703703703701</v>
      </c>
      <c r="E456" s="6" t="s">
        <v>16</v>
      </c>
      <c r="F456" s="6" t="s">
        <v>84</v>
      </c>
      <c r="G456" s="4">
        <v>33584</v>
      </c>
      <c r="H456" s="6" t="s">
        <v>202</v>
      </c>
      <c r="I456">
        <v>99</v>
      </c>
      <c r="J456">
        <v>2</v>
      </c>
      <c r="K456">
        <v>200</v>
      </c>
      <c r="L456" s="6" t="s">
        <v>2787</v>
      </c>
      <c r="M456" s="6" t="s">
        <v>61</v>
      </c>
      <c r="N456" s="6" t="s">
        <v>48</v>
      </c>
    </row>
    <row r="457" spans="1:14" x14ac:dyDescent="0.25">
      <c r="A457" s="6" t="s">
        <v>820</v>
      </c>
      <c r="B457" s="4">
        <v>45718</v>
      </c>
      <c r="C457" s="6" t="s">
        <v>2798</v>
      </c>
      <c r="D457" s="7">
        <v>0.59027777777777779</v>
      </c>
      <c r="E457" s="6" t="s">
        <v>16</v>
      </c>
      <c r="F457" s="6" t="s">
        <v>473</v>
      </c>
      <c r="G457" s="4">
        <v>33584</v>
      </c>
      <c r="H457" s="6" t="s">
        <v>73</v>
      </c>
      <c r="I457">
        <v>48</v>
      </c>
      <c r="J457">
        <v>3</v>
      </c>
      <c r="K457">
        <v>162</v>
      </c>
      <c r="L457" s="6" t="s">
        <v>41</v>
      </c>
      <c r="M457" s="6" t="s">
        <v>61</v>
      </c>
      <c r="N457" s="6" t="s">
        <v>21</v>
      </c>
    </row>
    <row r="458" spans="1:14" x14ac:dyDescent="0.25">
      <c r="A458" s="6" t="s">
        <v>822</v>
      </c>
      <c r="B458" s="4">
        <v>45651</v>
      </c>
      <c r="C458" s="6" t="s">
        <v>2796</v>
      </c>
      <c r="D458" s="7">
        <v>0.75694444444444442</v>
      </c>
      <c r="E458" s="6" t="s">
        <v>16</v>
      </c>
      <c r="F458" s="6" t="s">
        <v>324</v>
      </c>
      <c r="G458" s="4">
        <v>35241</v>
      </c>
      <c r="H458" s="6" t="s">
        <v>126</v>
      </c>
      <c r="I458">
        <v>305</v>
      </c>
      <c r="J458">
        <v>1</v>
      </c>
      <c r="K458">
        <v>305</v>
      </c>
      <c r="L458" s="6" t="s">
        <v>54</v>
      </c>
      <c r="M458" s="6" t="s">
        <v>47</v>
      </c>
      <c r="N458" s="6" t="s">
        <v>21</v>
      </c>
    </row>
    <row r="459" spans="1:14" x14ac:dyDescent="0.25">
      <c r="A459" s="6" t="s">
        <v>823</v>
      </c>
      <c r="B459" s="4">
        <v>45638</v>
      </c>
      <c r="C459" s="6" t="s">
        <v>2796</v>
      </c>
      <c r="D459" s="7">
        <v>0.53819444444444442</v>
      </c>
      <c r="E459" s="6" t="s">
        <v>16</v>
      </c>
      <c r="F459" s="6" t="s">
        <v>652</v>
      </c>
      <c r="G459" s="4">
        <v>34716</v>
      </c>
      <c r="H459" s="6" t="s">
        <v>24</v>
      </c>
      <c r="I459">
        <v>210</v>
      </c>
      <c r="J459">
        <v>2</v>
      </c>
      <c r="K459">
        <v>420</v>
      </c>
      <c r="L459" s="6" t="s">
        <v>19</v>
      </c>
      <c r="M459" s="6" t="s">
        <v>37</v>
      </c>
      <c r="N459" s="6" t="s">
        <v>74</v>
      </c>
    </row>
    <row r="460" spans="1:14" x14ac:dyDescent="0.25">
      <c r="A460" s="6" t="s">
        <v>825</v>
      </c>
      <c r="B460" s="4">
        <v>45725</v>
      </c>
      <c r="C460" s="6" t="s">
        <v>2798</v>
      </c>
      <c r="D460" s="7">
        <v>0.8664236111111111</v>
      </c>
      <c r="E460" s="6" t="s">
        <v>16</v>
      </c>
      <c r="F460" s="6" t="s">
        <v>158</v>
      </c>
      <c r="G460" s="4">
        <v>30233</v>
      </c>
      <c r="H460" s="6" t="s">
        <v>243</v>
      </c>
      <c r="I460">
        <v>109</v>
      </c>
      <c r="J460">
        <v>1</v>
      </c>
      <c r="K460">
        <v>110</v>
      </c>
      <c r="L460" s="6" t="s">
        <v>67</v>
      </c>
      <c r="M460" s="6" t="s">
        <v>89</v>
      </c>
      <c r="N460" s="6" t="s">
        <v>33</v>
      </c>
    </row>
    <row r="461" spans="1:14" x14ac:dyDescent="0.25">
      <c r="A461" s="6" t="s">
        <v>826</v>
      </c>
      <c r="B461" s="4">
        <v>45920</v>
      </c>
      <c r="C461" s="6" t="s">
        <v>2797</v>
      </c>
      <c r="D461" s="7">
        <v>0.7104166666666667</v>
      </c>
      <c r="E461" s="6" t="s">
        <v>16</v>
      </c>
      <c r="F461" s="6" t="s">
        <v>699</v>
      </c>
      <c r="G461" s="4">
        <v>30560</v>
      </c>
      <c r="H461" s="6" t="s">
        <v>259</v>
      </c>
      <c r="I461">
        <v>289</v>
      </c>
      <c r="J461">
        <v>1</v>
      </c>
      <c r="K461">
        <v>290</v>
      </c>
      <c r="L461" s="6" t="s">
        <v>54</v>
      </c>
      <c r="M461" s="6" t="s">
        <v>55</v>
      </c>
      <c r="N461" s="6" t="s">
        <v>105</v>
      </c>
    </row>
    <row r="462" spans="1:14" x14ac:dyDescent="0.25">
      <c r="A462" s="6" t="s">
        <v>827</v>
      </c>
      <c r="B462" s="4">
        <v>45622</v>
      </c>
      <c r="C462" s="6" t="s">
        <v>2802</v>
      </c>
      <c r="D462" s="7">
        <v>0.60277777777777775</v>
      </c>
      <c r="E462" s="6" t="s">
        <v>16</v>
      </c>
      <c r="F462" s="6" t="s">
        <v>161</v>
      </c>
      <c r="G462" s="4">
        <v>30560</v>
      </c>
      <c r="H462" s="6" t="s">
        <v>85</v>
      </c>
      <c r="I462">
        <v>242</v>
      </c>
      <c r="J462">
        <v>1</v>
      </c>
      <c r="K462">
        <v>243</v>
      </c>
      <c r="L462" s="6" t="s">
        <v>41</v>
      </c>
      <c r="M462" s="6" t="s">
        <v>55</v>
      </c>
      <c r="N462" s="6" t="s">
        <v>21</v>
      </c>
    </row>
    <row r="463" spans="1:14" x14ac:dyDescent="0.25">
      <c r="A463" s="6" t="s">
        <v>828</v>
      </c>
      <c r="B463" s="4">
        <v>45661</v>
      </c>
      <c r="C463" s="6" t="s">
        <v>2794</v>
      </c>
      <c r="D463" s="7">
        <v>0.99722222222222223</v>
      </c>
      <c r="E463" s="6" t="s">
        <v>16</v>
      </c>
      <c r="F463" s="6" t="s">
        <v>548</v>
      </c>
      <c r="G463" s="4">
        <v>36580</v>
      </c>
      <c r="H463" s="6" t="s">
        <v>116</v>
      </c>
      <c r="I463">
        <v>302</v>
      </c>
      <c r="J463">
        <v>2</v>
      </c>
      <c r="K463">
        <v>605</v>
      </c>
      <c r="L463" s="6" t="s">
        <v>67</v>
      </c>
      <c r="M463" s="6" t="s">
        <v>89</v>
      </c>
      <c r="N463" s="6" t="s">
        <v>105</v>
      </c>
    </row>
    <row r="464" spans="1:14" x14ac:dyDescent="0.25">
      <c r="A464" s="6" t="s">
        <v>829</v>
      </c>
      <c r="B464" s="4">
        <v>45960</v>
      </c>
      <c r="C464" s="6" t="s">
        <v>2791</v>
      </c>
      <c r="D464" s="7">
        <v>0.57222222222222219</v>
      </c>
      <c r="E464" s="6" t="s">
        <v>16</v>
      </c>
      <c r="F464" s="6" t="s">
        <v>346</v>
      </c>
      <c r="G464" s="4">
        <v>35696</v>
      </c>
      <c r="H464" s="6" t="s">
        <v>164</v>
      </c>
      <c r="I464">
        <v>311</v>
      </c>
      <c r="J464">
        <v>1</v>
      </c>
      <c r="K464">
        <v>312</v>
      </c>
      <c r="L464" s="6" t="s">
        <v>41</v>
      </c>
      <c r="M464" s="6" t="s">
        <v>37</v>
      </c>
      <c r="N464" s="6" t="s">
        <v>74</v>
      </c>
    </row>
    <row r="465" spans="1:14" x14ac:dyDescent="0.25">
      <c r="A465" s="6" t="s">
        <v>830</v>
      </c>
      <c r="B465" s="4">
        <v>45807</v>
      </c>
      <c r="C465" s="6" t="s">
        <v>2792</v>
      </c>
      <c r="D465" s="7">
        <v>0.9291666666666667</v>
      </c>
      <c r="E465" s="6" t="s">
        <v>16</v>
      </c>
      <c r="F465" s="6" t="s">
        <v>240</v>
      </c>
      <c r="G465" s="4">
        <v>27676</v>
      </c>
      <c r="H465" s="6" t="s">
        <v>24</v>
      </c>
      <c r="I465">
        <v>225</v>
      </c>
      <c r="J465">
        <v>3</v>
      </c>
      <c r="K465">
        <v>675</v>
      </c>
      <c r="L465" s="6" t="s">
        <v>67</v>
      </c>
      <c r="M465" s="6" t="s">
        <v>20</v>
      </c>
      <c r="N465" s="6" t="s">
        <v>21</v>
      </c>
    </row>
    <row r="466" spans="1:14" x14ac:dyDescent="0.25">
      <c r="A466" s="6" t="s">
        <v>831</v>
      </c>
      <c r="B466" s="4">
        <v>45831</v>
      </c>
      <c r="C466" s="6" t="s">
        <v>2800</v>
      </c>
      <c r="D466" s="7">
        <v>0.75416666666666665</v>
      </c>
      <c r="E466" s="6" t="s">
        <v>16</v>
      </c>
      <c r="F466" s="6" t="s">
        <v>158</v>
      </c>
      <c r="G466" s="4">
        <v>31009</v>
      </c>
      <c r="H466" s="6" t="s">
        <v>45</v>
      </c>
      <c r="I466">
        <v>131</v>
      </c>
      <c r="J466">
        <v>1</v>
      </c>
      <c r="K466">
        <v>132</v>
      </c>
      <c r="L466" s="6" t="s">
        <v>67</v>
      </c>
      <c r="M466" s="6" t="s">
        <v>55</v>
      </c>
      <c r="N466" s="6" t="s">
        <v>21</v>
      </c>
    </row>
    <row r="467" spans="1:14" x14ac:dyDescent="0.25">
      <c r="A467" s="6" t="s">
        <v>832</v>
      </c>
      <c r="B467" s="4">
        <v>45672</v>
      </c>
      <c r="C467" s="6" t="s">
        <v>2794</v>
      </c>
      <c r="D467" s="7">
        <v>0.88836805555555554</v>
      </c>
      <c r="E467" s="6" t="s">
        <v>16</v>
      </c>
      <c r="F467" s="6" t="s">
        <v>330</v>
      </c>
      <c r="G467" s="4">
        <v>29952</v>
      </c>
      <c r="H467" s="6" t="s">
        <v>164</v>
      </c>
      <c r="I467">
        <v>266</v>
      </c>
      <c r="J467">
        <v>2</v>
      </c>
      <c r="K467">
        <v>534</v>
      </c>
      <c r="L467" s="6" t="s">
        <v>67</v>
      </c>
      <c r="M467" s="6" t="s">
        <v>55</v>
      </c>
      <c r="N467" s="6" t="s">
        <v>21</v>
      </c>
    </row>
    <row r="468" spans="1:14" x14ac:dyDescent="0.25">
      <c r="A468" s="6" t="s">
        <v>833</v>
      </c>
      <c r="B468" s="4">
        <v>45633</v>
      </c>
      <c r="C468" s="6" t="s">
        <v>2796</v>
      </c>
      <c r="D468" s="7">
        <v>0.42828703703703702</v>
      </c>
      <c r="E468" s="6" t="s">
        <v>16</v>
      </c>
      <c r="F468" s="6" t="s">
        <v>191</v>
      </c>
      <c r="G468" s="4">
        <v>39367</v>
      </c>
      <c r="H468" s="6" t="s">
        <v>85</v>
      </c>
      <c r="I468">
        <v>113</v>
      </c>
      <c r="J468">
        <v>2</v>
      </c>
      <c r="K468">
        <v>226</v>
      </c>
      <c r="L468" s="6" t="s">
        <v>67</v>
      </c>
      <c r="M468" s="6" t="s">
        <v>55</v>
      </c>
      <c r="N468" s="6" t="s">
        <v>56</v>
      </c>
    </row>
    <row r="469" spans="1:14" x14ac:dyDescent="0.25">
      <c r="A469" s="6" t="s">
        <v>834</v>
      </c>
      <c r="B469" s="4">
        <v>45775</v>
      </c>
      <c r="C469" s="6" t="s">
        <v>2801</v>
      </c>
      <c r="D469" s="7">
        <v>0.56874999999999998</v>
      </c>
      <c r="E469" s="6" t="s">
        <v>16</v>
      </c>
      <c r="F469" s="6" t="s">
        <v>582</v>
      </c>
      <c r="G469" s="4">
        <v>26191</v>
      </c>
      <c r="H469" s="6" t="s">
        <v>110</v>
      </c>
      <c r="I469">
        <v>119</v>
      </c>
      <c r="J469">
        <v>2</v>
      </c>
      <c r="K469">
        <v>239</v>
      </c>
      <c r="L469" s="6" t="s">
        <v>19</v>
      </c>
      <c r="M469" s="6" t="s">
        <v>47</v>
      </c>
      <c r="N469" s="6" t="s">
        <v>56</v>
      </c>
    </row>
    <row r="470" spans="1:14" x14ac:dyDescent="0.25">
      <c r="A470" s="6" t="s">
        <v>835</v>
      </c>
      <c r="B470" s="4">
        <v>45865</v>
      </c>
      <c r="C470" s="6" t="s">
        <v>2795</v>
      </c>
      <c r="D470" s="7">
        <v>0.94930555555555551</v>
      </c>
      <c r="E470" s="6" t="s">
        <v>16</v>
      </c>
      <c r="F470" s="6" t="s">
        <v>837</v>
      </c>
      <c r="G470" s="4">
        <v>33561</v>
      </c>
      <c r="H470" s="6" t="s">
        <v>104</v>
      </c>
      <c r="I470">
        <v>235</v>
      </c>
      <c r="J470">
        <v>2</v>
      </c>
      <c r="K470">
        <v>488</v>
      </c>
      <c r="L470" s="6" t="s">
        <v>19</v>
      </c>
      <c r="M470" s="6" t="s">
        <v>26</v>
      </c>
      <c r="N470" s="6" t="s">
        <v>74</v>
      </c>
    </row>
    <row r="471" spans="1:14" x14ac:dyDescent="0.25">
      <c r="A471" s="6" t="s">
        <v>838</v>
      </c>
      <c r="B471" s="4">
        <v>45859</v>
      </c>
      <c r="C471" s="6" t="s">
        <v>2795</v>
      </c>
      <c r="D471" s="7">
        <v>0.78055555555555556</v>
      </c>
      <c r="E471" s="6" t="s">
        <v>16</v>
      </c>
      <c r="F471" s="6" t="s">
        <v>246</v>
      </c>
      <c r="G471" s="4">
        <v>33829</v>
      </c>
      <c r="H471" s="6" t="s">
        <v>178</v>
      </c>
      <c r="I471">
        <v>235</v>
      </c>
      <c r="J471">
        <v>1</v>
      </c>
      <c r="K471">
        <v>236</v>
      </c>
      <c r="L471" s="6" t="s">
        <v>54</v>
      </c>
      <c r="M471" s="6" t="s">
        <v>47</v>
      </c>
      <c r="N471" s="6" t="s">
        <v>33</v>
      </c>
    </row>
    <row r="472" spans="1:14" x14ac:dyDescent="0.25">
      <c r="A472" s="6" t="s">
        <v>839</v>
      </c>
      <c r="B472" s="4">
        <v>45692</v>
      </c>
      <c r="C472" s="6" t="s">
        <v>2799</v>
      </c>
      <c r="D472" s="7">
        <v>0.43263888888888891</v>
      </c>
      <c r="E472" s="6" t="s">
        <v>16</v>
      </c>
      <c r="F472" s="6" t="s">
        <v>405</v>
      </c>
      <c r="G472" s="4">
        <v>37631</v>
      </c>
      <c r="H472" s="6" t="s">
        <v>30</v>
      </c>
      <c r="I472">
        <v>283</v>
      </c>
      <c r="J472">
        <v>1</v>
      </c>
      <c r="K472">
        <v>283</v>
      </c>
      <c r="L472" s="6" t="s">
        <v>41</v>
      </c>
      <c r="M472" s="6" t="s">
        <v>26</v>
      </c>
      <c r="N472" s="6" t="s">
        <v>33</v>
      </c>
    </row>
    <row r="473" spans="1:14" x14ac:dyDescent="0.25">
      <c r="A473" s="6" t="s">
        <v>840</v>
      </c>
      <c r="B473" s="4">
        <v>45879</v>
      </c>
      <c r="C473" s="6" t="s">
        <v>2793</v>
      </c>
      <c r="D473" s="7">
        <v>0.79861111111111116</v>
      </c>
      <c r="E473" s="6" t="s">
        <v>16</v>
      </c>
      <c r="F473" s="6" t="s">
        <v>520</v>
      </c>
      <c r="G473" s="4">
        <v>37631</v>
      </c>
      <c r="H473" s="6" t="s">
        <v>36</v>
      </c>
      <c r="I473">
        <v>232</v>
      </c>
      <c r="J473">
        <v>3</v>
      </c>
      <c r="K473">
        <v>696</v>
      </c>
      <c r="L473" s="6" t="s">
        <v>41</v>
      </c>
      <c r="M473" s="6" t="s">
        <v>47</v>
      </c>
      <c r="N473" s="6" t="s">
        <v>33</v>
      </c>
    </row>
    <row r="474" spans="1:14" x14ac:dyDescent="0.25">
      <c r="A474" s="6" t="s">
        <v>841</v>
      </c>
      <c r="B474" s="4">
        <v>45764</v>
      </c>
      <c r="C474" s="6" t="s">
        <v>2801</v>
      </c>
      <c r="D474" s="7">
        <v>0.69306712962962957</v>
      </c>
      <c r="E474" s="6" t="s">
        <v>16</v>
      </c>
      <c r="F474" s="6" t="s">
        <v>17</v>
      </c>
      <c r="G474" s="4">
        <v>29161</v>
      </c>
      <c r="H474" s="6" t="s">
        <v>141</v>
      </c>
      <c r="I474">
        <v>158</v>
      </c>
      <c r="J474">
        <v>3</v>
      </c>
      <c r="K474">
        <v>475</v>
      </c>
      <c r="L474" s="6" t="s">
        <v>41</v>
      </c>
      <c r="M474" s="6" t="s">
        <v>61</v>
      </c>
      <c r="N474" s="6" t="s">
        <v>56</v>
      </c>
    </row>
    <row r="475" spans="1:14" x14ac:dyDescent="0.25">
      <c r="A475" s="6" t="s">
        <v>842</v>
      </c>
      <c r="B475" s="4">
        <v>45663</v>
      </c>
      <c r="C475" s="6" t="s">
        <v>2794</v>
      </c>
      <c r="D475" s="7">
        <v>0.7729166666666667</v>
      </c>
      <c r="E475" s="6" t="s">
        <v>16</v>
      </c>
      <c r="F475" s="6" t="s">
        <v>420</v>
      </c>
      <c r="G475" s="4">
        <v>32433</v>
      </c>
      <c r="H475" s="6" t="s">
        <v>40</v>
      </c>
      <c r="I475">
        <v>235</v>
      </c>
      <c r="J475">
        <v>1</v>
      </c>
      <c r="K475">
        <v>236</v>
      </c>
      <c r="L475" s="6" t="s">
        <v>41</v>
      </c>
      <c r="M475" s="6" t="s">
        <v>89</v>
      </c>
      <c r="N475" s="6" t="s">
        <v>33</v>
      </c>
    </row>
    <row r="476" spans="1:14" x14ac:dyDescent="0.25">
      <c r="A476" s="6" t="s">
        <v>843</v>
      </c>
      <c r="B476" s="4">
        <v>45968</v>
      </c>
      <c r="C476" s="6" t="s">
        <v>2802</v>
      </c>
      <c r="D476" s="7">
        <v>0.57708333333333328</v>
      </c>
      <c r="E476" s="6" t="s">
        <v>16</v>
      </c>
      <c r="F476" s="6" t="s">
        <v>377</v>
      </c>
      <c r="G476" s="4">
        <v>32455</v>
      </c>
      <c r="H476" s="6" t="s">
        <v>40</v>
      </c>
      <c r="I476">
        <v>173</v>
      </c>
      <c r="J476">
        <v>2</v>
      </c>
      <c r="K476">
        <v>348</v>
      </c>
      <c r="L476" s="6" t="s">
        <v>41</v>
      </c>
      <c r="M476" s="6" t="s">
        <v>55</v>
      </c>
      <c r="N476" s="6" t="s">
        <v>21</v>
      </c>
    </row>
    <row r="477" spans="1:14" x14ac:dyDescent="0.25">
      <c r="A477" s="6" t="s">
        <v>844</v>
      </c>
      <c r="B477" s="4">
        <v>45713</v>
      </c>
      <c r="C477" s="6" t="s">
        <v>2799</v>
      </c>
      <c r="D477" s="7">
        <v>0.72847222222222219</v>
      </c>
      <c r="E477" s="6" t="s">
        <v>16</v>
      </c>
      <c r="F477" s="6" t="s">
        <v>466</v>
      </c>
      <c r="G477" s="4">
        <v>31791</v>
      </c>
      <c r="H477" s="6" t="s">
        <v>104</v>
      </c>
      <c r="I477">
        <v>232</v>
      </c>
      <c r="J477">
        <v>3</v>
      </c>
      <c r="K477">
        <v>698</v>
      </c>
      <c r="L477" s="6" t="s">
        <v>41</v>
      </c>
      <c r="M477" s="6" t="s">
        <v>47</v>
      </c>
      <c r="N477" s="6" t="s">
        <v>105</v>
      </c>
    </row>
    <row r="478" spans="1:14" x14ac:dyDescent="0.25">
      <c r="A478" s="6" t="s">
        <v>845</v>
      </c>
      <c r="B478" s="4">
        <v>45955</v>
      </c>
      <c r="C478" s="6" t="s">
        <v>2791</v>
      </c>
      <c r="D478" s="7">
        <v>0.47291666666666665</v>
      </c>
      <c r="E478" s="6" t="s">
        <v>16</v>
      </c>
      <c r="F478" s="6" t="s">
        <v>299</v>
      </c>
      <c r="G478" s="4">
        <v>40105</v>
      </c>
      <c r="H478" s="6" t="s">
        <v>45</v>
      </c>
      <c r="I478">
        <v>127</v>
      </c>
      <c r="J478">
        <v>1</v>
      </c>
      <c r="K478">
        <v>127</v>
      </c>
      <c r="L478" s="6" t="s">
        <v>2787</v>
      </c>
      <c r="M478" s="6" t="s">
        <v>61</v>
      </c>
      <c r="N478" s="6" t="s">
        <v>21</v>
      </c>
    </row>
    <row r="479" spans="1:14" x14ac:dyDescent="0.25">
      <c r="A479" s="6" t="s">
        <v>846</v>
      </c>
      <c r="B479" s="4">
        <v>45665</v>
      </c>
      <c r="C479" s="6" t="s">
        <v>2794</v>
      </c>
      <c r="D479" s="7">
        <v>0.55208333333333337</v>
      </c>
      <c r="E479" s="6" t="s">
        <v>16</v>
      </c>
      <c r="F479" s="6" t="s">
        <v>35</v>
      </c>
      <c r="G479" s="4">
        <v>25680</v>
      </c>
      <c r="H479" s="6" t="s">
        <v>18</v>
      </c>
      <c r="I479">
        <v>76</v>
      </c>
      <c r="J479">
        <v>2</v>
      </c>
      <c r="K479">
        <v>199</v>
      </c>
      <c r="L479" s="6" t="s">
        <v>2787</v>
      </c>
      <c r="M479" s="6" t="s">
        <v>20</v>
      </c>
      <c r="N479" s="6" t="s">
        <v>21</v>
      </c>
    </row>
    <row r="480" spans="1:14" x14ac:dyDescent="0.25">
      <c r="A480" s="6" t="s">
        <v>848</v>
      </c>
      <c r="B480" s="4">
        <v>45792</v>
      </c>
      <c r="C480" s="6" t="s">
        <v>2792</v>
      </c>
      <c r="D480" s="7">
        <v>0.77736111111111106</v>
      </c>
      <c r="E480" s="6" t="s">
        <v>16</v>
      </c>
      <c r="F480" s="6" t="s">
        <v>198</v>
      </c>
      <c r="G480" s="4">
        <v>39804</v>
      </c>
      <c r="H480" s="6" t="s">
        <v>110</v>
      </c>
      <c r="I480">
        <v>102</v>
      </c>
      <c r="J480">
        <v>1</v>
      </c>
      <c r="K480">
        <v>102</v>
      </c>
      <c r="L480" s="6" t="s">
        <v>54</v>
      </c>
      <c r="M480" s="6" t="s">
        <v>20</v>
      </c>
      <c r="N480" s="6" t="s">
        <v>56</v>
      </c>
    </row>
    <row r="481" spans="1:14" x14ac:dyDescent="0.25">
      <c r="A481" s="6" t="s">
        <v>850</v>
      </c>
      <c r="B481" s="4">
        <v>45801</v>
      </c>
      <c r="C481" s="6" t="s">
        <v>2792</v>
      </c>
      <c r="D481" s="7">
        <v>0.69893518518518516</v>
      </c>
      <c r="E481" s="6" t="s">
        <v>16</v>
      </c>
      <c r="F481" s="6" t="s">
        <v>622</v>
      </c>
      <c r="G481" s="4">
        <v>34105</v>
      </c>
      <c r="H481" s="6" t="s">
        <v>24</v>
      </c>
      <c r="I481">
        <v>291</v>
      </c>
      <c r="J481">
        <v>1</v>
      </c>
      <c r="K481">
        <v>292</v>
      </c>
      <c r="L481" s="6" t="s">
        <v>2787</v>
      </c>
      <c r="M481" s="6" t="s">
        <v>61</v>
      </c>
      <c r="N481" s="6" t="s">
        <v>27</v>
      </c>
    </row>
    <row r="482" spans="1:14" x14ac:dyDescent="0.25">
      <c r="A482" s="6" t="s">
        <v>852</v>
      </c>
      <c r="B482" s="4">
        <v>45767</v>
      </c>
      <c r="C482" s="6" t="s">
        <v>2801</v>
      </c>
      <c r="D482" s="7">
        <v>0.62152777777777779</v>
      </c>
      <c r="E482" s="6" t="s">
        <v>16</v>
      </c>
      <c r="F482" s="6" t="s">
        <v>84</v>
      </c>
      <c r="G482" s="4">
        <v>30732</v>
      </c>
      <c r="H482" s="6" t="s">
        <v>141</v>
      </c>
      <c r="I482">
        <v>140</v>
      </c>
      <c r="J482">
        <v>1</v>
      </c>
      <c r="K482">
        <v>141</v>
      </c>
      <c r="L482" s="6" t="s">
        <v>41</v>
      </c>
      <c r="M482" s="6" t="s">
        <v>26</v>
      </c>
      <c r="N482" s="6" t="s">
        <v>27</v>
      </c>
    </row>
    <row r="483" spans="1:14" x14ac:dyDescent="0.25">
      <c r="A483" s="6" t="s">
        <v>854</v>
      </c>
      <c r="B483" s="4">
        <v>45900</v>
      </c>
      <c r="C483" s="6" t="s">
        <v>2793</v>
      </c>
      <c r="D483" s="7">
        <v>0.52361111111111114</v>
      </c>
      <c r="E483" s="6" t="s">
        <v>16</v>
      </c>
      <c r="F483" s="6" t="s">
        <v>855</v>
      </c>
      <c r="G483" s="4">
        <v>30732</v>
      </c>
      <c r="H483" s="6" t="s">
        <v>145</v>
      </c>
      <c r="I483">
        <v>111</v>
      </c>
      <c r="J483">
        <v>3</v>
      </c>
      <c r="K483">
        <v>334</v>
      </c>
      <c r="L483" s="6" t="s">
        <v>41</v>
      </c>
      <c r="M483" s="6" t="s">
        <v>37</v>
      </c>
      <c r="N483" s="6" t="s">
        <v>21</v>
      </c>
    </row>
    <row r="484" spans="1:14" x14ac:dyDescent="0.25">
      <c r="A484" s="6" t="s">
        <v>856</v>
      </c>
      <c r="B484" s="4">
        <v>45982</v>
      </c>
      <c r="C484" s="6" t="s">
        <v>2802</v>
      </c>
      <c r="D484" s="7">
        <v>0.47499999999999998</v>
      </c>
      <c r="E484" s="6" t="s">
        <v>16</v>
      </c>
      <c r="F484" s="6" t="s">
        <v>166</v>
      </c>
      <c r="G484" s="4">
        <v>34960</v>
      </c>
      <c r="H484" s="6" t="s">
        <v>213</v>
      </c>
      <c r="I484">
        <v>142</v>
      </c>
      <c r="J484">
        <v>1</v>
      </c>
      <c r="K484">
        <v>143</v>
      </c>
      <c r="L484" s="6" t="s">
        <v>19</v>
      </c>
      <c r="M484" s="6" t="s">
        <v>89</v>
      </c>
      <c r="N484" s="6" t="s">
        <v>21</v>
      </c>
    </row>
    <row r="485" spans="1:14" x14ac:dyDescent="0.25">
      <c r="A485" s="6" t="s">
        <v>857</v>
      </c>
      <c r="B485" s="4">
        <v>45926</v>
      </c>
      <c r="C485" s="6" t="s">
        <v>2797</v>
      </c>
      <c r="D485" s="7">
        <v>0.67986111111111114</v>
      </c>
      <c r="E485" s="6" t="s">
        <v>16</v>
      </c>
      <c r="F485" s="6" t="s">
        <v>858</v>
      </c>
      <c r="G485" s="4">
        <v>35759</v>
      </c>
      <c r="H485" s="6" t="s">
        <v>53</v>
      </c>
      <c r="I485">
        <v>92</v>
      </c>
      <c r="J485">
        <v>2</v>
      </c>
      <c r="K485">
        <v>184</v>
      </c>
      <c r="L485" s="6" t="s">
        <v>19</v>
      </c>
      <c r="M485" s="6" t="s">
        <v>47</v>
      </c>
      <c r="N485" s="6" t="s">
        <v>21</v>
      </c>
    </row>
    <row r="486" spans="1:14" x14ac:dyDescent="0.25">
      <c r="A486" s="6" t="s">
        <v>860</v>
      </c>
      <c r="B486" s="4">
        <v>45683</v>
      </c>
      <c r="C486" s="6" t="s">
        <v>2794</v>
      </c>
      <c r="D486" s="7">
        <v>0.54791666666666672</v>
      </c>
      <c r="E486" s="6" t="s">
        <v>16</v>
      </c>
      <c r="F486" s="6" t="s">
        <v>420</v>
      </c>
      <c r="G486" s="4">
        <v>34666</v>
      </c>
      <c r="H486" s="6" t="s">
        <v>24</v>
      </c>
      <c r="I486">
        <v>287</v>
      </c>
      <c r="J486">
        <v>1</v>
      </c>
      <c r="K486">
        <v>287</v>
      </c>
      <c r="L486" s="6" t="s">
        <v>2787</v>
      </c>
      <c r="M486" s="6" t="s">
        <v>55</v>
      </c>
      <c r="N486" s="6" t="s">
        <v>105</v>
      </c>
    </row>
    <row r="487" spans="1:14" x14ac:dyDescent="0.25">
      <c r="A487" s="6" t="s">
        <v>861</v>
      </c>
      <c r="B487" s="4">
        <v>45877</v>
      </c>
      <c r="C487" s="6" t="s">
        <v>2793</v>
      </c>
      <c r="D487" s="7">
        <v>0.43640046296296298</v>
      </c>
      <c r="E487" s="6" t="s">
        <v>16</v>
      </c>
      <c r="F487" s="6" t="s">
        <v>50</v>
      </c>
      <c r="G487" s="4">
        <v>33995</v>
      </c>
      <c r="H487" s="6" t="s">
        <v>36</v>
      </c>
      <c r="I487">
        <v>105</v>
      </c>
      <c r="J487">
        <v>2</v>
      </c>
      <c r="K487">
        <v>211</v>
      </c>
      <c r="L487" s="6" t="s">
        <v>41</v>
      </c>
      <c r="M487" s="6" t="s">
        <v>37</v>
      </c>
      <c r="N487" s="6" t="s">
        <v>33</v>
      </c>
    </row>
    <row r="488" spans="1:14" x14ac:dyDescent="0.25">
      <c r="A488" s="6" t="s">
        <v>862</v>
      </c>
      <c r="B488" s="4">
        <v>45664</v>
      </c>
      <c r="C488" s="6" t="s">
        <v>2794</v>
      </c>
      <c r="D488" s="7">
        <v>0.67638888888888893</v>
      </c>
      <c r="E488" s="6" t="s">
        <v>16</v>
      </c>
      <c r="F488" s="6" t="s">
        <v>136</v>
      </c>
      <c r="G488" s="4">
        <v>38821</v>
      </c>
      <c r="H488" s="6" t="s">
        <v>199</v>
      </c>
      <c r="I488">
        <v>251</v>
      </c>
      <c r="J488">
        <v>1</v>
      </c>
      <c r="K488">
        <v>251</v>
      </c>
      <c r="L488" s="6" t="s">
        <v>19</v>
      </c>
      <c r="M488" s="6" t="s">
        <v>61</v>
      </c>
      <c r="N488" s="6" t="s">
        <v>56</v>
      </c>
    </row>
    <row r="489" spans="1:14" x14ac:dyDescent="0.25">
      <c r="A489" s="6" t="s">
        <v>863</v>
      </c>
      <c r="B489" s="4">
        <v>45932</v>
      </c>
      <c r="C489" s="6" t="s">
        <v>2791</v>
      </c>
      <c r="D489" s="7">
        <v>0.97916666666666663</v>
      </c>
      <c r="E489" s="6" t="s">
        <v>16</v>
      </c>
      <c r="F489" s="6" t="s">
        <v>237</v>
      </c>
      <c r="G489" s="4">
        <v>33564</v>
      </c>
      <c r="H489" s="6" t="s">
        <v>213</v>
      </c>
      <c r="I489">
        <v>154</v>
      </c>
      <c r="J489">
        <v>2</v>
      </c>
      <c r="K489">
        <v>334</v>
      </c>
      <c r="L489" s="6" t="s">
        <v>2787</v>
      </c>
      <c r="M489" s="6" t="s">
        <v>26</v>
      </c>
      <c r="N489" s="6" t="s">
        <v>27</v>
      </c>
    </row>
    <row r="490" spans="1:14" x14ac:dyDescent="0.25">
      <c r="A490" s="6" t="s">
        <v>864</v>
      </c>
      <c r="B490" s="4">
        <v>45901</v>
      </c>
      <c r="C490" s="6" t="s">
        <v>2797</v>
      </c>
      <c r="D490" s="7">
        <v>0.56180555555555556</v>
      </c>
      <c r="E490" s="6" t="s">
        <v>16</v>
      </c>
      <c r="F490" s="6" t="s">
        <v>17</v>
      </c>
      <c r="G490" s="4">
        <v>34899</v>
      </c>
      <c r="H490" s="6" t="s">
        <v>85</v>
      </c>
      <c r="I490">
        <v>340</v>
      </c>
      <c r="J490">
        <v>2</v>
      </c>
      <c r="K490">
        <v>682</v>
      </c>
      <c r="L490" s="6" t="s">
        <v>2787</v>
      </c>
      <c r="M490" s="6" t="s">
        <v>20</v>
      </c>
      <c r="N490" s="6" t="s">
        <v>33</v>
      </c>
    </row>
    <row r="491" spans="1:14" x14ac:dyDescent="0.25">
      <c r="A491" s="6" t="s">
        <v>865</v>
      </c>
      <c r="B491" s="4">
        <v>45824</v>
      </c>
      <c r="C491" s="6" t="s">
        <v>2800</v>
      </c>
      <c r="D491" s="7">
        <v>0.59375</v>
      </c>
      <c r="E491" s="6" t="s">
        <v>16</v>
      </c>
      <c r="F491" s="6" t="s">
        <v>475</v>
      </c>
      <c r="G491" s="4">
        <v>27428</v>
      </c>
      <c r="H491" s="6" t="s">
        <v>213</v>
      </c>
      <c r="I491">
        <v>112</v>
      </c>
      <c r="J491">
        <v>2</v>
      </c>
      <c r="K491">
        <v>225</v>
      </c>
      <c r="L491" s="6" t="s">
        <v>41</v>
      </c>
      <c r="M491" s="6" t="s">
        <v>89</v>
      </c>
      <c r="N491" s="6" t="s">
        <v>56</v>
      </c>
    </row>
    <row r="492" spans="1:14" x14ac:dyDescent="0.25">
      <c r="A492" s="6" t="s">
        <v>866</v>
      </c>
      <c r="B492" s="4">
        <v>45668</v>
      </c>
      <c r="C492" s="6" t="s">
        <v>2794</v>
      </c>
      <c r="D492" s="7">
        <v>0.44374999999999998</v>
      </c>
      <c r="E492" s="6" t="s">
        <v>16</v>
      </c>
      <c r="F492" s="6" t="s">
        <v>328</v>
      </c>
      <c r="G492" s="4">
        <v>32060</v>
      </c>
      <c r="H492" s="6" t="s">
        <v>243</v>
      </c>
      <c r="I492">
        <v>144</v>
      </c>
      <c r="J492">
        <v>1</v>
      </c>
      <c r="K492">
        <v>144</v>
      </c>
      <c r="L492" s="6" t="s">
        <v>41</v>
      </c>
      <c r="M492" s="6" t="s">
        <v>61</v>
      </c>
      <c r="N492" s="6" t="s">
        <v>56</v>
      </c>
    </row>
    <row r="493" spans="1:14" x14ac:dyDescent="0.25">
      <c r="A493" s="6" t="s">
        <v>867</v>
      </c>
      <c r="B493" s="4">
        <v>45800</v>
      </c>
      <c r="C493" s="6" t="s">
        <v>2792</v>
      </c>
      <c r="D493" s="7">
        <v>0.61232638888888891</v>
      </c>
      <c r="E493" s="6" t="s">
        <v>16</v>
      </c>
      <c r="F493" s="6" t="s">
        <v>95</v>
      </c>
      <c r="G493" s="4">
        <v>32971</v>
      </c>
      <c r="H493" s="6" t="s">
        <v>93</v>
      </c>
      <c r="I493">
        <v>162</v>
      </c>
      <c r="J493">
        <v>2</v>
      </c>
      <c r="K493">
        <v>324</v>
      </c>
      <c r="L493" s="6" t="s">
        <v>2787</v>
      </c>
      <c r="M493" s="6" t="s">
        <v>47</v>
      </c>
      <c r="N493" s="6" t="s">
        <v>56</v>
      </c>
    </row>
    <row r="494" spans="1:14" x14ac:dyDescent="0.25">
      <c r="A494" s="6" t="s">
        <v>868</v>
      </c>
      <c r="B494" s="4">
        <v>45952</v>
      </c>
      <c r="C494" s="6" t="s">
        <v>2791</v>
      </c>
      <c r="D494" s="7">
        <v>0.67500000000000004</v>
      </c>
      <c r="E494" s="6" t="s">
        <v>16</v>
      </c>
      <c r="F494" s="6" t="s">
        <v>66</v>
      </c>
      <c r="G494" s="4">
        <v>34420</v>
      </c>
      <c r="H494" s="6" t="s">
        <v>243</v>
      </c>
      <c r="I494">
        <v>115</v>
      </c>
      <c r="J494">
        <v>1</v>
      </c>
      <c r="K494">
        <v>166</v>
      </c>
      <c r="L494" s="6" t="s">
        <v>2787</v>
      </c>
      <c r="M494" s="6" t="s">
        <v>20</v>
      </c>
      <c r="N494" s="6" t="s">
        <v>21</v>
      </c>
    </row>
    <row r="495" spans="1:14" x14ac:dyDescent="0.25">
      <c r="A495" s="6" t="s">
        <v>869</v>
      </c>
      <c r="B495" s="4">
        <v>45866</v>
      </c>
      <c r="C495" s="6" t="s">
        <v>2795</v>
      </c>
      <c r="D495" s="7">
        <v>0.50138888888888888</v>
      </c>
      <c r="E495" s="6" t="s">
        <v>16</v>
      </c>
      <c r="F495" s="6" t="s">
        <v>133</v>
      </c>
      <c r="G495" s="4">
        <v>30291</v>
      </c>
      <c r="H495" s="6" t="s">
        <v>129</v>
      </c>
      <c r="I495">
        <v>144</v>
      </c>
      <c r="J495">
        <v>3</v>
      </c>
      <c r="K495">
        <v>433</v>
      </c>
      <c r="L495" s="6" t="s">
        <v>67</v>
      </c>
      <c r="M495" s="6" t="s">
        <v>20</v>
      </c>
      <c r="N495" s="6" t="s">
        <v>105</v>
      </c>
    </row>
    <row r="496" spans="1:14" x14ac:dyDescent="0.25">
      <c r="A496" s="6" t="s">
        <v>870</v>
      </c>
      <c r="B496" s="4">
        <v>45849</v>
      </c>
      <c r="C496" s="6" t="s">
        <v>2795</v>
      </c>
      <c r="D496" s="7">
        <v>0.78333333333333333</v>
      </c>
      <c r="E496" s="6" t="s">
        <v>16</v>
      </c>
      <c r="F496" s="6" t="s">
        <v>871</v>
      </c>
      <c r="G496" s="4">
        <v>27268</v>
      </c>
      <c r="H496" s="6" t="s">
        <v>129</v>
      </c>
      <c r="I496">
        <v>210</v>
      </c>
      <c r="J496">
        <v>3</v>
      </c>
      <c r="K496">
        <v>632</v>
      </c>
      <c r="L496" s="6" t="s">
        <v>67</v>
      </c>
      <c r="M496" s="6" t="s">
        <v>55</v>
      </c>
      <c r="N496" s="6" t="s">
        <v>33</v>
      </c>
    </row>
    <row r="497" spans="1:14" x14ac:dyDescent="0.25">
      <c r="A497" s="6" t="s">
        <v>872</v>
      </c>
      <c r="B497" s="4">
        <v>45847</v>
      </c>
      <c r="C497" s="6" t="s">
        <v>2795</v>
      </c>
      <c r="D497" s="7">
        <v>0.66879629629629633</v>
      </c>
      <c r="E497" s="6" t="s">
        <v>16</v>
      </c>
      <c r="F497" s="6" t="s">
        <v>873</v>
      </c>
      <c r="G497" s="4">
        <v>40323</v>
      </c>
      <c r="H497" s="6" t="s">
        <v>85</v>
      </c>
      <c r="I497">
        <v>278</v>
      </c>
      <c r="J497">
        <v>2</v>
      </c>
      <c r="K497">
        <v>558</v>
      </c>
      <c r="L497" s="6" t="s">
        <v>67</v>
      </c>
      <c r="M497" s="6" t="s">
        <v>55</v>
      </c>
      <c r="N497" s="6" t="s">
        <v>21</v>
      </c>
    </row>
    <row r="498" spans="1:14" x14ac:dyDescent="0.25">
      <c r="A498" s="6" t="s">
        <v>874</v>
      </c>
      <c r="B498" s="4">
        <v>45683</v>
      </c>
      <c r="C498" s="6" t="s">
        <v>2794</v>
      </c>
      <c r="D498" s="7">
        <v>0.52916666666666667</v>
      </c>
      <c r="E498" s="6" t="s">
        <v>16</v>
      </c>
      <c r="F498" s="6" t="s">
        <v>125</v>
      </c>
      <c r="G498" s="4">
        <v>29376</v>
      </c>
      <c r="H498" s="6" t="s">
        <v>164</v>
      </c>
      <c r="I498">
        <v>278</v>
      </c>
      <c r="J498">
        <v>2</v>
      </c>
      <c r="K498">
        <v>558</v>
      </c>
      <c r="L498" s="6" t="s">
        <v>41</v>
      </c>
      <c r="M498" s="6" t="s">
        <v>26</v>
      </c>
      <c r="N498" s="6" t="s">
        <v>21</v>
      </c>
    </row>
    <row r="499" spans="1:14" x14ac:dyDescent="0.25">
      <c r="A499" s="6" t="s">
        <v>875</v>
      </c>
      <c r="B499" s="4">
        <v>45789</v>
      </c>
      <c r="C499" s="6" t="s">
        <v>2792</v>
      </c>
      <c r="D499" s="7">
        <v>0.75486111111111109</v>
      </c>
      <c r="E499" s="6" t="s">
        <v>16</v>
      </c>
      <c r="F499" s="6" t="s">
        <v>466</v>
      </c>
      <c r="G499" s="4">
        <v>27551</v>
      </c>
      <c r="H499" s="6" t="s">
        <v>164</v>
      </c>
      <c r="I499">
        <v>255</v>
      </c>
      <c r="J499">
        <v>2</v>
      </c>
      <c r="K499">
        <v>509</v>
      </c>
      <c r="L499" s="6" t="s">
        <v>41</v>
      </c>
      <c r="M499" s="6" t="s">
        <v>26</v>
      </c>
      <c r="N499" s="6" t="s">
        <v>21</v>
      </c>
    </row>
    <row r="500" spans="1:14" x14ac:dyDescent="0.25">
      <c r="A500" s="6" t="s">
        <v>877</v>
      </c>
      <c r="B500" s="4">
        <v>45823</v>
      </c>
      <c r="C500" s="6" t="s">
        <v>2800</v>
      </c>
      <c r="D500" s="7">
        <v>0.81944444444444442</v>
      </c>
      <c r="E500" s="6" t="s">
        <v>16</v>
      </c>
      <c r="F500" s="6" t="s">
        <v>295</v>
      </c>
      <c r="G500" s="4">
        <v>37159</v>
      </c>
      <c r="H500" s="6" t="s">
        <v>243</v>
      </c>
      <c r="I500">
        <v>119</v>
      </c>
      <c r="J500">
        <v>2</v>
      </c>
      <c r="K500">
        <v>239</v>
      </c>
      <c r="L500" s="6" t="s">
        <v>19</v>
      </c>
      <c r="M500" s="6" t="s">
        <v>61</v>
      </c>
      <c r="N500" s="6" t="s">
        <v>21</v>
      </c>
    </row>
    <row r="501" spans="1:14" x14ac:dyDescent="0.25">
      <c r="A501" s="6" t="s">
        <v>878</v>
      </c>
      <c r="B501" s="4">
        <v>45685</v>
      </c>
      <c r="C501" s="6" t="s">
        <v>2794</v>
      </c>
      <c r="D501" s="7">
        <v>0.79756944444444444</v>
      </c>
      <c r="E501" s="6" t="s">
        <v>16</v>
      </c>
      <c r="F501" s="6" t="s">
        <v>237</v>
      </c>
      <c r="G501" s="4">
        <v>39839</v>
      </c>
      <c r="H501" s="6" t="s">
        <v>24</v>
      </c>
      <c r="I501">
        <v>279</v>
      </c>
      <c r="J501">
        <v>1</v>
      </c>
      <c r="K501">
        <v>279</v>
      </c>
      <c r="L501" s="6" t="s">
        <v>19</v>
      </c>
      <c r="M501" s="6" t="s">
        <v>32</v>
      </c>
      <c r="N501" s="6" t="s">
        <v>21</v>
      </c>
    </row>
    <row r="502" spans="1:14" x14ac:dyDescent="0.25">
      <c r="A502" s="6" t="s">
        <v>879</v>
      </c>
      <c r="B502" s="4">
        <v>45872</v>
      </c>
      <c r="C502" s="6" t="s">
        <v>2793</v>
      </c>
      <c r="D502" s="7">
        <v>0.66737268518518522</v>
      </c>
      <c r="E502" s="6" t="s">
        <v>16</v>
      </c>
      <c r="F502" s="6" t="s">
        <v>475</v>
      </c>
      <c r="G502" s="4">
        <v>37914</v>
      </c>
      <c r="H502" s="6" t="s">
        <v>129</v>
      </c>
      <c r="I502">
        <v>215</v>
      </c>
      <c r="J502">
        <v>3</v>
      </c>
      <c r="K502">
        <v>645</v>
      </c>
      <c r="L502" s="6" t="s">
        <v>19</v>
      </c>
      <c r="M502" s="6" t="s">
        <v>89</v>
      </c>
      <c r="N502" s="6" t="s">
        <v>21</v>
      </c>
    </row>
    <row r="503" spans="1:14" x14ac:dyDescent="0.25">
      <c r="A503" s="6" t="s">
        <v>880</v>
      </c>
      <c r="B503" s="4">
        <v>45953</v>
      </c>
      <c r="C503" s="6" t="s">
        <v>2791</v>
      </c>
      <c r="D503" s="7">
        <v>0.95766203703703701</v>
      </c>
      <c r="E503" s="6" t="s">
        <v>16</v>
      </c>
      <c r="F503" s="6" t="s">
        <v>882</v>
      </c>
      <c r="G503" s="4">
        <v>33584</v>
      </c>
      <c r="H503" s="6" t="s">
        <v>116</v>
      </c>
      <c r="I503">
        <v>204</v>
      </c>
      <c r="J503">
        <v>1</v>
      </c>
      <c r="K503">
        <v>204</v>
      </c>
      <c r="L503" s="6" t="s">
        <v>19</v>
      </c>
      <c r="M503" s="6" t="s">
        <v>55</v>
      </c>
      <c r="N503" s="6" t="s">
        <v>21</v>
      </c>
    </row>
    <row r="504" spans="1:14" x14ac:dyDescent="0.25">
      <c r="A504" s="6" t="s">
        <v>883</v>
      </c>
      <c r="B504" s="4">
        <v>45728</v>
      </c>
      <c r="C504" s="6" t="s">
        <v>2798</v>
      </c>
      <c r="D504" s="7">
        <v>0.53263888888888888</v>
      </c>
      <c r="E504" s="6" t="s">
        <v>16</v>
      </c>
      <c r="F504" s="6" t="s">
        <v>884</v>
      </c>
      <c r="G504" s="4">
        <v>37760</v>
      </c>
      <c r="H504" s="6" t="s">
        <v>73</v>
      </c>
      <c r="I504">
        <v>40</v>
      </c>
      <c r="J504">
        <v>3</v>
      </c>
      <c r="K504">
        <v>121</v>
      </c>
      <c r="L504" s="6" t="s">
        <v>19</v>
      </c>
      <c r="M504" s="6" t="s">
        <v>20</v>
      </c>
      <c r="N504" s="6" t="s">
        <v>48</v>
      </c>
    </row>
    <row r="505" spans="1:14" x14ac:dyDescent="0.25">
      <c r="A505" s="6" t="s">
        <v>885</v>
      </c>
      <c r="B505" s="4">
        <v>45948</v>
      </c>
      <c r="C505" s="6" t="s">
        <v>2791</v>
      </c>
      <c r="D505" s="7">
        <v>0.47569444444444442</v>
      </c>
      <c r="E505" s="6" t="s">
        <v>16</v>
      </c>
      <c r="F505" s="6" t="s">
        <v>76</v>
      </c>
      <c r="G505" s="4">
        <v>39135</v>
      </c>
      <c r="H505" s="6" t="s">
        <v>259</v>
      </c>
      <c r="I505">
        <v>260</v>
      </c>
      <c r="J505">
        <v>1</v>
      </c>
      <c r="K505">
        <v>261</v>
      </c>
      <c r="L505" s="6" t="s">
        <v>19</v>
      </c>
      <c r="M505" s="6" t="s">
        <v>37</v>
      </c>
      <c r="N505" s="6" t="s">
        <v>27</v>
      </c>
    </row>
    <row r="506" spans="1:14" x14ac:dyDescent="0.25">
      <c r="A506" s="6" t="s">
        <v>886</v>
      </c>
      <c r="B506" s="4">
        <v>45948</v>
      </c>
      <c r="C506" s="6" t="s">
        <v>2791</v>
      </c>
      <c r="D506" s="7">
        <v>0.6430555555555556</v>
      </c>
      <c r="E506" s="6" t="s">
        <v>16</v>
      </c>
      <c r="F506" s="6" t="s">
        <v>548</v>
      </c>
      <c r="G506" s="4">
        <v>40244</v>
      </c>
      <c r="H506" s="6" t="s">
        <v>116</v>
      </c>
      <c r="I506">
        <v>109</v>
      </c>
      <c r="J506">
        <v>2</v>
      </c>
      <c r="K506">
        <v>220</v>
      </c>
      <c r="L506" s="6" t="s">
        <v>19</v>
      </c>
      <c r="M506" s="6" t="s">
        <v>89</v>
      </c>
      <c r="N506" s="6" t="s">
        <v>27</v>
      </c>
    </row>
    <row r="507" spans="1:14" x14ac:dyDescent="0.25">
      <c r="A507" s="6" t="s">
        <v>887</v>
      </c>
      <c r="B507" s="4">
        <v>45762</v>
      </c>
      <c r="C507" s="6" t="s">
        <v>2801</v>
      </c>
      <c r="D507" s="7">
        <v>0.91666666666666663</v>
      </c>
      <c r="E507" s="6" t="s">
        <v>16</v>
      </c>
      <c r="F507" s="6" t="s">
        <v>712</v>
      </c>
      <c r="G507" s="4">
        <v>30901</v>
      </c>
      <c r="H507" s="6" t="s">
        <v>116</v>
      </c>
      <c r="I507">
        <v>268</v>
      </c>
      <c r="J507">
        <v>1</v>
      </c>
      <c r="K507">
        <v>269</v>
      </c>
      <c r="L507" s="6" t="s">
        <v>2787</v>
      </c>
      <c r="M507" s="6" t="s">
        <v>26</v>
      </c>
      <c r="N507" s="6" t="s">
        <v>48</v>
      </c>
    </row>
    <row r="508" spans="1:14" x14ac:dyDescent="0.25">
      <c r="A508" s="6" t="s">
        <v>888</v>
      </c>
      <c r="B508" s="4">
        <v>45954</v>
      </c>
      <c r="C508" s="6" t="s">
        <v>2791</v>
      </c>
      <c r="D508" s="7">
        <v>0.89236111111111116</v>
      </c>
      <c r="E508" s="6" t="s">
        <v>16</v>
      </c>
      <c r="F508" s="6" t="s">
        <v>659</v>
      </c>
      <c r="G508" s="4">
        <v>31369</v>
      </c>
      <c r="H508" s="6" t="s">
        <v>145</v>
      </c>
      <c r="I508">
        <v>175</v>
      </c>
      <c r="J508">
        <v>2</v>
      </c>
      <c r="L508" s="6" t="s">
        <v>67</v>
      </c>
      <c r="M508" s="6" t="s">
        <v>37</v>
      </c>
      <c r="N508" s="6" t="s">
        <v>21</v>
      </c>
    </row>
    <row r="509" spans="1:14" x14ac:dyDescent="0.25">
      <c r="A509" s="6" t="s">
        <v>891</v>
      </c>
      <c r="B509" s="4">
        <v>45773</v>
      </c>
      <c r="C509" s="6" t="s">
        <v>2801</v>
      </c>
      <c r="D509" s="7">
        <v>0.61447916666666669</v>
      </c>
      <c r="E509" s="6" t="s">
        <v>16</v>
      </c>
      <c r="F509" s="6" t="s">
        <v>198</v>
      </c>
      <c r="G509" s="4">
        <v>39740</v>
      </c>
      <c r="H509" s="6" t="s">
        <v>24</v>
      </c>
      <c r="I509">
        <v>279</v>
      </c>
      <c r="J509">
        <v>1</v>
      </c>
      <c r="K509">
        <v>279</v>
      </c>
      <c r="L509" s="6" t="s">
        <v>67</v>
      </c>
      <c r="M509" s="6" t="s">
        <v>20</v>
      </c>
      <c r="N509" s="6" t="s">
        <v>105</v>
      </c>
    </row>
    <row r="510" spans="1:14" x14ac:dyDescent="0.25">
      <c r="A510" s="6" t="s">
        <v>893</v>
      </c>
      <c r="B510" s="4">
        <v>45721</v>
      </c>
      <c r="C510" s="6" t="s">
        <v>2798</v>
      </c>
      <c r="D510" s="7">
        <v>0.48859953703703701</v>
      </c>
      <c r="E510" s="6" t="s">
        <v>16</v>
      </c>
      <c r="F510" s="6" t="s">
        <v>279</v>
      </c>
      <c r="G510" s="4">
        <v>34002</v>
      </c>
      <c r="H510" s="6" t="s">
        <v>30</v>
      </c>
      <c r="I510">
        <v>217</v>
      </c>
      <c r="J510">
        <v>1</v>
      </c>
      <c r="K510">
        <v>256</v>
      </c>
      <c r="L510" s="6" t="s">
        <v>41</v>
      </c>
      <c r="M510" s="6" t="s">
        <v>55</v>
      </c>
      <c r="N510" s="6" t="s">
        <v>105</v>
      </c>
    </row>
    <row r="511" spans="1:14" x14ac:dyDescent="0.25">
      <c r="A511" s="6" t="s">
        <v>894</v>
      </c>
      <c r="B511" s="4">
        <v>45727</v>
      </c>
      <c r="C511" s="6" t="s">
        <v>2798</v>
      </c>
      <c r="D511" s="7">
        <v>0.46180555555555558</v>
      </c>
      <c r="E511" s="6" t="s">
        <v>16</v>
      </c>
      <c r="F511" s="6" t="s">
        <v>699</v>
      </c>
      <c r="G511" s="4">
        <v>33584</v>
      </c>
      <c r="H511" s="6" t="s">
        <v>104</v>
      </c>
      <c r="I511">
        <v>333</v>
      </c>
      <c r="J511">
        <v>1</v>
      </c>
      <c r="K511">
        <v>334</v>
      </c>
      <c r="L511" s="6" t="s">
        <v>41</v>
      </c>
      <c r="M511" s="6" t="s">
        <v>89</v>
      </c>
      <c r="N511" s="6" t="s">
        <v>105</v>
      </c>
    </row>
    <row r="512" spans="1:14" x14ac:dyDescent="0.25">
      <c r="A512" s="6" t="s">
        <v>895</v>
      </c>
      <c r="B512" s="4">
        <v>45648</v>
      </c>
      <c r="C512" s="6" t="s">
        <v>2796</v>
      </c>
      <c r="D512" s="7">
        <v>0.79722222222222228</v>
      </c>
      <c r="E512" s="6" t="s">
        <v>16</v>
      </c>
      <c r="F512" s="6" t="s">
        <v>44</v>
      </c>
      <c r="G512" s="4">
        <v>32826</v>
      </c>
      <c r="H512" s="6" t="s">
        <v>178</v>
      </c>
      <c r="I512">
        <v>271</v>
      </c>
      <c r="J512">
        <v>1</v>
      </c>
      <c r="K512">
        <v>272</v>
      </c>
      <c r="L512" s="6" t="s">
        <v>41</v>
      </c>
      <c r="M512" s="6" t="s">
        <v>89</v>
      </c>
      <c r="N512" s="6" t="s">
        <v>105</v>
      </c>
    </row>
    <row r="513" spans="1:14" x14ac:dyDescent="0.25">
      <c r="A513" s="6" t="s">
        <v>896</v>
      </c>
      <c r="B513" s="4">
        <v>45982</v>
      </c>
      <c r="C513" s="6" t="s">
        <v>2802</v>
      </c>
      <c r="D513" s="7">
        <v>0.71527777777777779</v>
      </c>
      <c r="E513" s="6" t="s">
        <v>16</v>
      </c>
      <c r="F513" s="6" t="s">
        <v>169</v>
      </c>
      <c r="G513" s="4">
        <v>29886</v>
      </c>
      <c r="H513" s="6" t="s">
        <v>30</v>
      </c>
      <c r="I513">
        <v>253</v>
      </c>
      <c r="J513">
        <v>1</v>
      </c>
      <c r="K513">
        <v>254</v>
      </c>
      <c r="L513" s="6" t="s">
        <v>19</v>
      </c>
      <c r="M513" s="6" t="s">
        <v>61</v>
      </c>
      <c r="N513" s="6" t="s">
        <v>74</v>
      </c>
    </row>
    <row r="514" spans="1:14" x14ac:dyDescent="0.25">
      <c r="A514" s="6" t="s">
        <v>897</v>
      </c>
      <c r="B514" s="4">
        <v>45949</v>
      </c>
      <c r="C514" s="6" t="s">
        <v>2791</v>
      </c>
      <c r="D514" s="7">
        <v>0.43958333333333333</v>
      </c>
      <c r="E514" s="6" t="s">
        <v>16</v>
      </c>
      <c r="F514" s="6" t="s">
        <v>39</v>
      </c>
      <c r="G514" s="4">
        <v>39694</v>
      </c>
      <c r="H514" s="6" t="s">
        <v>110</v>
      </c>
      <c r="I514">
        <v>106</v>
      </c>
      <c r="J514">
        <v>1</v>
      </c>
      <c r="K514">
        <v>107</v>
      </c>
      <c r="L514" s="6" t="s">
        <v>41</v>
      </c>
      <c r="M514" s="6" t="s">
        <v>61</v>
      </c>
      <c r="N514" s="6" t="s">
        <v>21</v>
      </c>
    </row>
    <row r="515" spans="1:14" x14ac:dyDescent="0.25">
      <c r="A515" s="6" t="s">
        <v>898</v>
      </c>
      <c r="B515" s="4">
        <v>45833</v>
      </c>
      <c r="C515" s="6" t="s">
        <v>2800</v>
      </c>
      <c r="D515" s="7">
        <v>0.90856481481481477</v>
      </c>
      <c r="E515" s="6" t="s">
        <v>16</v>
      </c>
      <c r="F515" s="6" t="s">
        <v>471</v>
      </c>
      <c r="G515" s="4">
        <v>39694</v>
      </c>
      <c r="H515" s="6" t="s">
        <v>36</v>
      </c>
      <c r="I515">
        <v>155</v>
      </c>
      <c r="J515">
        <v>1</v>
      </c>
      <c r="K515">
        <v>155</v>
      </c>
      <c r="L515" s="6" t="s">
        <v>19</v>
      </c>
      <c r="M515" s="6" t="s">
        <v>61</v>
      </c>
      <c r="N515" s="6" t="s">
        <v>21</v>
      </c>
    </row>
    <row r="516" spans="1:14" x14ac:dyDescent="0.25">
      <c r="A516" s="6" t="s">
        <v>899</v>
      </c>
      <c r="B516" s="4">
        <v>45948</v>
      </c>
      <c r="C516" s="6" t="s">
        <v>2791</v>
      </c>
      <c r="D516" s="7">
        <v>0.88150462962962961</v>
      </c>
      <c r="E516" s="6" t="s">
        <v>16</v>
      </c>
      <c r="F516" s="6" t="s">
        <v>882</v>
      </c>
      <c r="G516" s="4">
        <v>32272</v>
      </c>
      <c r="H516" s="6" t="s">
        <v>141</v>
      </c>
      <c r="I516">
        <v>137</v>
      </c>
      <c r="J516">
        <v>2</v>
      </c>
      <c r="K516">
        <v>275</v>
      </c>
      <c r="L516" s="6" t="s">
        <v>41</v>
      </c>
      <c r="M516" s="6" t="s">
        <v>61</v>
      </c>
      <c r="N516" s="6" t="s">
        <v>105</v>
      </c>
    </row>
    <row r="517" spans="1:14" x14ac:dyDescent="0.25">
      <c r="A517" s="6" t="s">
        <v>900</v>
      </c>
      <c r="B517" s="4">
        <v>45639</v>
      </c>
      <c r="C517" s="6" t="s">
        <v>2796</v>
      </c>
      <c r="D517" s="7">
        <v>0.84444444444444444</v>
      </c>
      <c r="E517" s="6" t="s">
        <v>16</v>
      </c>
      <c r="F517" s="6" t="s">
        <v>520</v>
      </c>
      <c r="G517" s="4">
        <v>37758</v>
      </c>
      <c r="H517" s="6" t="s">
        <v>145</v>
      </c>
      <c r="I517">
        <v>334</v>
      </c>
      <c r="J517">
        <v>3</v>
      </c>
      <c r="K517">
        <v>1005</v>
      </c>
      <c r="L517" s="6" t="s">
        <v>54</v>
      </c>
      <c r="M517" s="6" t="s">
        <v>20</v>
      </c>
      <c r="N517" s="6" t="s">
        <v>33</v>
      </c>
    </row>
    <row r="518" spans="1:14" x14ac:dyDescent="0.25">
      <c r="A518" s="6" t="s">
        <v>901</v>
      </c>
      <c r="B518" s="4">
        <v>45740</v>
      </c>
      <c r="C518" s="6" t="s">
        <v>2798</v>
      </c>
      <c r="D518" s="7">
        <v>0.80694444444444446</v>
      </c>
      <c r="E518" s="6" t="s">
        <v>16</v>
      </c>
      <c r="F518" s="6" t="s">
        <v>138</v>
      </c>
      <c r="G518" s="4">
        <v>31781</v>
      </c>
      <c r="H518" s="6" t="s">
        <v>110</v>
      </c>
      <c r="I518">
        <v>121</v>
      </c>
      <c r="J518">
        <v>3</v>
      </c>
      <c r="K518">
        <v>364</v>
      </c>
      <c r="L518" s="6" t="s">
        <v>67</v>
      </c>
      <c r="M518" s="6" t="s">
        <v>26</v>
      </c>
      <c r="N518" s="6" t="s">
        <v>74</v>
      </c>
    </row>
    <row r="519" spans="1:14" x14ac:dyDescent="0.25">
      <c r="A519" s="6" t="s">
        <v>903</v>
      </c>
      <c r="B519" s="4">
        <v>45754</v>
      </c>
      <c r="C519" s="6" t="s">
        <v>2801</v>
      </c>
      <c r="D519" s="7">
        <v>0.53055555555555556</v>
      </c>
      <c r="E519" s="6" t="s">
        <v>16</v>
      </c>
      <c r="F519" s="6" t="s">
        <v>225</v>
      </c>
      <c r="G519" s="4">
        <v>32699</v>
      </c>
      <c r="H519" s="6" t="s">
        <v>259</v>
      </c>
      <c r="I519">
        <v>224</v>
      </c>
      <c r="J519">
        <v>2</v>
      </c>
      <c r="K519">
        <v>450</v>
      </c>
      <c r="L519" s="6" t="s">
        <v>41</v>
      </c>
      <c r="M519" s="6" t="s">
        <v>37</v>
      </c>
      <c r="N519" s="6" t="s">
        <v>56</v>
      </c>
    </row>
    <row r="520" spans="1:14" x14ac:dyDescent="0.25">
      <c r="A520" s="6" t="s">
        <v>904</v>
      </c>
      <c r="B520" s="4">
        <v>45808</v>
      </c>
      <c r="C520" s="6" t="s">
        <v>2792</v>
      </c>
      <c r="D520" s="7">
        <v>0.51736111111111116</v>
      </c>
      <c r="E520" s="6" t="s">
        <v>16</v>
      </c>
      <c r="F520" s="6" t="s">
        <v>151</v>
      </c>
      <c r="G520" s="4">
        <v>32699</v>
      </c>
      <c r="H520" s="6" t="s">
        <v>164</v>
      </c>
      <c r="I520">
        <v>295</v>
      </c>
      <c r="J520">
        <v>1</v>
      </c>
      <c r="K520">
        <v>295</v>
      </c>
      <c r="L520" s="6" t="s">
        <v>19</v>
      </c>
      <c r="M520" s="6" t="s">
        <v>47</v>
      </c>
      <c r="N520" s="6" t="s">
        <v>56</v>
      </c>
    </row>
    <row r="521" spans="1:14" x14ac:dyDescent="0.25">
      <c r="A521" s="6" t="s">
        <v>905</v>
      </c>
      <c r="B521" s="4">
        <v>45974</v>
      </c>
      <c r="C521" s="6" t="s">
        <v>2802</v>
      </c>
      <c r="D521" s="7">
        <v>0.97013888888888888</v>
      </c>
      <c r="E521" s="6" t="s">
        <v>16</v>
      </c>
      <c r="F521" s="6" t="s">
        <v>358</v>
      </c>
      <c r="G521" s="4">
        <v>33248</v>
      </c>
      <c r="H521" s="6" t="s">
        <v>30</v>
      </c>
      <c r="I521">
        <v>318</v>
      </c>
      <c r="J521">
        <v>1</v>
      </c>
      <c r="K521">
        <v>319</v>
      </c>
      <c r="L521" s="6" t="s">
        <v>19</v>
      </c>
      <c r="M521" s="6" t="s">
        <v>26</v>
      </c>
      <c r="N521" s="6" t="s">
        <v>56</v>
      </c>
    </row>
    <row r="522" spans="1:14" x14ac:dyDescent="0.25">
      <c r="A522" s="6" t="s">
        <v>906</v>
      </c>
      <c r="B522" s="4">
        <v>45886</v>
      </c>
      <c r="C522" s="6" t="s">
        <v>2793</v>
      </c>
      <c r="D522" s="7">
        <v>0.75208333333333333</v>
      </c>
      <c r="E522" s="6" t="s">
        <v>16</v>
      </c>
      <c r="F522" s="6" t="s">
        <v>699</v>
      </c>
      <c r="G522" s="4">
        <v>36986</v>
      </c>
      <c r="H522" s="6" t="s">
        <v>259</v>
      </c>
      <c r="I522">
        <v>289</v>
      </c>
      <c r="J522">
        <v>2</v>
      </c>
      <c r="K522">
        <v>579</v>
      </c>
      <c r="L522" s="6" t="s">
        <v>54</v>
      </c>
      <c r="M522" s="6" t="s">
        <v>55</v>
      </c>
      <c r="N522" s="6" t="s">
        <v>27</v>
      </c>
    </row>
    <row r="523" spans="1:14" x14ac:dyDescent="0.25">
      <c r="A523" s="6" t="s">
        <v>907</v>
      </c>
      <c r="B523" s="4">
        <v>45723</v>
      </c>
      <c r="C523" s="6" t="s">
        <v>2798</v>
      </c>
      <c r="D523" s="7">
        <v>0.79607638888888888</v>
      </c>
      <c r="E523" s="6" t="s">
        <v>16</v>
      </c>
      <c r="F523" s="6" t="s">
        <v>17</v>
      </c>
      <c r="G523" s="4">
        <v>25681</v>
      </c>
      <c r="H523" s="6" t="s">
        <v>77</v>
      </c>
      <c r="I523">
        <v>289</v>
      </c>
      <c r="J523">
        <v>2</v>
      </c>
      <c r="K523">
        <v>580</v>
      </c>
      <c r="L523" s="6" t="s">
        <v>2787</v>
      </c>
      <c r="M523" s="6" t="s">
        <v>26</v>
      </c>
      <c r="N523" s="6" t="s">
        <v>21</v>
      </c>
    </row>
    <row r="524" spans="1:14" x14ac:dyDescent="0.25">
      <c r="A524" s="6" t="s">
        <v>908</v>
      </c>
      <c r="B524" s="4">
        <v>45886</v>
      </c>
      <c r="C524" s="6" t="s">
        <v>2793</v>
      </c>
      <c r="D524" s="7">
        <v>0.48194444444444445</v>
      </c>
      <c r="E524" s="6" t="s">
        <v>16</v>
      </c>
      <c r="F524" s="6" t="s">
        <v>84</v>
      </c>
      <c r="G524" s="4">
        <v>26211</v>
      </c>
      <c r="H524" s="6" t="s">
        <v>77</v>
      </c>
      <c r="I524">
        <v>138</v>
      </c>
      <c r="J524">
        <v>2</v>
      </c>
      <c r="K524">
        <v>277</v>
      </c>
      <c r="L524" s="6" t="s">
        <v>54</v>
      </c>
      <c r="M524" s="6" t="s">
        <v>32</v>
      </c>
      <c r="N524" s="6" t="s">
        <v>105</v>
      </c>
    </row>
    <row r="525" spans="1:14" x14ac:dyDescent="0.25">
      <c r="A525" s="6" t="s">
        <v>909</v>
      </c>
      <c r="B525" s="4">
        <v>45789</v>
      </c>
      <c r="C525" s="6" t="s">
        <v>2792</v>
      </c>
      <c r="D525" s="7">
        <v>0.68541666666666667</v>
      </c>
      <c r="E525" s="6" t="s">
        <v>16</v>
      </c>
      <c r="F525" s="6" t="s">
        <v>512</v>
      </c>
      <c r="G525" s="4">
        <v>28696</v>
      </c>
      <c r="H525" s="6" t="s">
        <v>145</v>
      </c>
      <c r="I525">
        <v>120</v>
      </c>
      <c r="J525">
        <v>2</v>
      </c>
      <c r="K525">
        <v>240</v>
      </c>
      <c r="L525" s="6" t="s">
        <v>67</v>
      </c>
      <c r="M525" s="6" t="s">
        <v>26</v>
      </c>
      <c r="N525" s="6" t="s">
        <v>27</v>
      </c>
    </row>
    <row r="526" spans="1:14" x14ac:dyDescent="0.25">
      <c r="A526" s="6" t="s">
        <v>910</v>
      </c>
      <c r="B526" s="4">
        <v>45728</v>
      </c>
      <c r="C526" s="6" t="s">
        <v>2798</v>
      </c>
      <c r="D526" s="7">
        <v>0.62768518518518523</v>
      </c>
      <c r="E526" s="6" t="s">
        <v>16</v>
      </c>
      <c r="F526" s="6" t="s">
        <v>237</v>
      </c>
      <c r="G526" s="4">
        <v>37223</v>
      </c>
      <c r="H526" s="6" t="s">
        <v>145</v>
      </c>
      <c r="I526">
        <v>41</v>
      </c>
      <c r="J526">
        <v>1</v>
      </c>
      <c r="K526">
        <v>100</v>
      </c>
      <c r="L526" s="6" t="s">
        <v>67</v>
      </c>
      <c r="M526" s="6" t="s">
        <v>32</v>
      </c>
      <c r="N526" s="6" t="s">
        <v>48</v>
      </c>
    </row>
    <row r="527" spans="1:14" x14ac:dyDescent="0.25">
      <c r="A527" s="6" t="s">
        <v>911</v>
      </c>
      <c r="B527" s="4">
        <v>45738</v>
      </c>
      <c r="C527" s="6" t="s">
        <v>2798</v>
      </c>
      <c r="D527" s="7">
        <v>0.66805555555555551</v>
      </c>
      <c r="E527" s="6" t="s">
        <v>16</v>
      </c>
      <c r="F527" s="6" t="s">
        <v>181</v>
      </c>
      <c r="G527" s="4">
        <v>28076</v>
      </c>
      <c r="H527" s="6" t="s">
        <v>60</v>
      </c>
      <c r="I527">
        <v>150</v>
      </c>
      <c r="J527">
        <v>3</v>
      </c>
      <c r="K527">
        <v>451</v>
      </c>
      <c r="L527" s="6" t="s">
        <v>41</v>
      </c>
      <c r="M527" s="6" t="s">
        <v>20</v>
      </c>
      <c r="N527" s="6" t="s">
        <v>48</v>
      </c>
    </row>
    <row r="528" spans="1:14" x14ac:dyDescent="0.25">
      <c r="A528" s="6" t="s">
        <v>913</v>
      </c>
      <c r="B528" s="4">
        <v>45899</v>
      </c>
      <c r="C528" s="6" t="s">
        <v>2793</v>
      </c>
      <c r="D528" s="7">
        <v>0.49760416666666668</v>
      </c>
      <c r="E528" s="6" t="s">
        <v>16</v>
      </c>
      <c r="F528" s="6" t="s">
        <v>397</v>
      </c>
      <c r="G528" s="4">
        <v>40459</v>
      </c>
      <c r="H528" s="6" t="s">
        <v>60</v>
      </c>
      <c r="I528">
        <v>155</v>
      </c>
      <c r="J528">
        <v>1</v>
      </c>
      <c r="K528">
        <v>156</v>
      </c>
      <c r="L528" s="6" t="s">
        <v>41</v>
      </c>
      <c r="M528" s="6" t="s">
        <v>20</v>
      </c>
      <c r="N528" s="6" t="s">
        <v>48</v>
      </c>
    </row>
    <row r="529" spans="1:14" x14ac:dyDescent="0.25">
      <c r="A529" s="6" t="s">
        <v>915</v>
      </c>
      <c r="B529" s="4">
        <v>45645</v>
      </c>
      <c r="C529" s="6" t="s">
        <v>2796</v>
      </c>
      <c r="D529" s="7">
        <v>0.77093750000000005</v>
      </c>
      <c r="E529" s="6" t="s">
        <v>16</v>
      </c>
      <c r="F529" s="6" t="s">
        <v>494</v>
      </c>
      <c r="G529" s="4">
        <v>26252</v>
      </c>
      <c r="H529" s="6" t="s">
        <v>145</v>
      </c>
      <c r="I529">
        <v>121</v>
      </c>
      <c r="J529">
        <v>3</v>
      </c>
      <c r="K529">
        <v>364</v>
      </c>
      <c r="L529" s="6" t="s">
        <v>2787</v>
      </c>
      <c r="M529" s="6" t="s">
        <v>55</v>
      </c>
      <c r="N529" s="6" t="s">
        <v>56</v>
      </c>
    </row>
    <row r="530" spans="1:14" x14ac:dyDescent="0.25">
      <c r="A530" s="6" t="s">
        <v>916</v>
      </c>
      <c r="B530" s="4">
        <v>45825</v>
      </c>
      <c r="C530" s="6" t="s">
        <v>2800</v>
      </c>
      <c r="D530" s="7">
        <v>0.5395833333333333</v>
      </c>
      <c r="E530" s="6" t="s">
        <v>16</v>
      </c>
      <c r="F530" s="6" t="s">
        <v>227</v>
      </c>
      <c r="G530" s="4">
        <v>29055</v>
      </c>
      <c r="H530" s="6" t="s">
        <v>213</v>
      </c>
      <c r="I530">
        <v>109</v>
      </c>
      <c r="J530">
        <v>1</v>
      </c>
      <c r="K530">
        <v>100</v>
      </c>
      <c r="L530" s="6" t="s">
        <v>41</v>
      </c>
      <c r="M530" s="6" t="s">
        <v>47</v>
      </c>
      <c r="N530" s="6" t="s">
        <v>56</v>
      </c>
    </row>
    <row r="531" spans="1:14" x14ac:dyDescent="0.25">
      <c r="A531" s="6" t="s">
        <v>917</v>
      </c>
      <c r="B531" s="4">
        <v>45777</v>
      </c>
      <c r="C531" s="6" t="s">
        <v>2801</v>
      </c>
      <c r="D531" s="7">
        <v>0.62027777777777782</v>
      </c>
      <c r="E531" s="6" t="s">
        <v>16</v>
      </c>
      <c r="F531" s="6" t="s">
        <v>191</v>
      </c>
      <c r="G531" s="4">
        <v>33584</v>
      </c>
      <c r="H531" s="6" t="s">
        <v>178</v>
      </c>
      <c r="I531">
        <v>284</v>
      </c>
      <c r="J531">
        <v>2</v>
      </c>
      <c r="K531">
        <v>570</v>
      </c>
      <c r="L531" s="6" t="s">
        <v>54</v>
      </c>
      <c r="M531" s="6" t="s">
        <v>26</v>
      </c>
      <c r="N531" s="6" t="s">
        <v>74</v>
      </c>
    </row>
    <row r="532" spans="1:14" x14ac:dyDescent="0.25">
      <c r="A532" s="6" t="s">
        <v>918</v>
      </c>
      <c r="B532" s="4">
        <v>45874</v>
      </c>
      <c r="C532" s="6" t="s">
        <v>2793</v>
      </c>
      <c r="D532" s="7">
        <v>0.84166666666666667</v>
      </c>
      <c r="E532" s="6" t="s">
        <v>16</v>
      </c>
      <c r="F532" s="6" t="s">
        <v>919</v>
      </c>
      <c r="G532" s="4">
        <v>37641</v>
      </c>
      <c r="H532" s="6" t="s">
        <v>24</v>
      </c>
      <c r="I532">
        <v>236</v>
      </c>
      <c r="J532">
        <v>1</v>
      </c>
      <c r="K532">
        <v>234</v>
      </c>
      <c r="L532" s="6" t="s">
        <v>2787</v>
      </c>
      <c r="M532" s="6" t="s">
        <v>89</v>
      </c>
      <c r="N532" s="6" t="s">
        <v>105</v>
      </c>
    </row>
    <row r="533" spans="1:14" x14ac:dyDescent="0.25">
      <c r="A533" s="6" t="s">
        <v>920</v>
      </c>
      <c r="B533" s="4">
        <v>45870</v>
      </c>
      <c r="C533" s="6" t="s">
        <v>2793</v>
      </c>
      <c r="D533" s="7">
        <v>0.67361111111111116</v>
      </c>
      <c r="E533" s="6" t="s">
        <v>16</v>
      </c>
      <c r="F533" s="6" t="s">
        <v>82</v>
      </c>
      <c r="G533" s="4">
        <v>35374</v>
      </c>
      <c r="H533" s="6" t="s">
        <v>259</v>
      </c>
      <c r="I533">
        <v>210</v>
      </c>
      <c r="J533">
        <v>2</v>
      </c>
      <c r="K533">
        <v>437</v>
      </c>
      <c r="L533" s="6" t="s">
        <v>2787</v>
      </c>
      <c r="M533" s="6" t="s">
        <v>26</v>
      </c>
      <c r="N533" s="6" t="s">
        <v>33</v>
      </c>
    </row>
    <row r="534" spans="1:14" x14ac:dyDescent="0.25">
      <c r="A534" s="6" t="s">
        <v>921</v>
      </c>
      <c r="B534" s="4">
        <v>45718</v>
      </c>
      <c r="C534" s="6" t="s">
        <v>2798</v>
      </c>
      <c r="D534" s="7">
        <v>0.49939814814814815</v>
      </c>
      <c r="E534" s="6" t="s">
        <v>16</v>
      </c>
      <c r="F534" s="6" t="s">
        <v>475</v>
      </c>
      <c r="G534" s="4">
        <v>33584</v>
      </c>
      <c r="H534" s="6" t="s">
        <v>178</v>
      </c>
      <c r="I534">
        <v>309</v>
      </c>
      <c r="J534">
        <v>2</v>
      </c>
      <c r="K534">
        <v>620</v>
      </c>
      <c r="L534" s="6" t="s">
        <v>19</v>
      </c>
      <c r="M534" s="6" t="s">
        <v>20</v>
      </c>
      <c r="N534" s="6" t="s">
        <v>21</v>
      </c>
    </row>
    <row r="535" spans="1:14" x14ac:dyDescent="0.25">
      <c r="A535" s="6" t="s">
        <v>922</v>
      </c>
      <c r="B535" s="4">
        <v>45714</v>
      </c>
      <c r="C535" s="6" t="s">
        <v>2799</v>
      </c>
      <c r="D535" s="7">
        <v>0.85715277777777776</v>
      </c>
      <c r="E535" s="6" t="s">
        <v>16</v>
      </c>
      <c r="F535" s="6" t="s">
        <v>923</v>
      </c>
      <c r="G535" s="4">
        <v>39235</v>
      </c>
      <c r="H535" s="6" t="s">
        <v>73</v>
      </c>
      <c r="I535">
        <v>41</v>
      </c>
      <c r="J535">
        <v>1</v>
      </c>
      <c r="K535">
        <v>42</v>
      </c>
      <c r="L535" s="6" t="s">
        <v>19</v>
      </c>
      <c r="M535" s="6" t="s">
        <v>37</v>
      </c>
      <c r="N535" s="6" t="s">
        <v>27</v>
      </c>
    </row>
    <row r="536" spans="1:14" x14ac:dyDescent="0.25">
      <c r="A536" s="6" t="s">
        <v>924</v>
      </c>
      <c r="B536" s="4">
        <v>45714</v>
      </c>
      <c r="C536" s="6" t="s">
        <v>2799</v>
      </c>
      <c r="D536" s="7">
        <v>0.5278356481481481</v>
      </c>
      <c r="E536" s="6" t="s">
        <v>16</v>
      </c>
      <c r="F536" s="6" t="s">
        <v>138</v>
      </c>
      <c r="G536" s="4">
        <v>30088</v>
      </c>
      <c r="H536" s="6" t="s">
        <v>213</v>
      </c>
      <c r="I536">
        <v>211</v>
      </c>
      <c r="J536">
        <v>1</v>
      </c>
      <c r="K536">
        <v>211</v>
      </c>
      <c r="L536" s="6" t="s">
        <v>19</v>
      </c>
      <c r="M536" s="6" t="s">
        <v>20</v>
      </c>
      <c r="N536" s="6" t="s">
        <v>105</v>
      </c>
    </row>
    <row r="537" spans="1:14" x14ac:dyDescent="0.25">
      <c r="A537" s="6" t="s">
        <v>925</v>
      </c>
      <c r="B537" s="4">
        <v>45790</v>
      </c>
      <c r="C537" s="6" t="s">
        <v>2792</v>
      </c>
      <c r="D537" s="7">
        <v>0.87569444444444444</v>
      </c>
      <c r="E537" s="6" t="s">
        <v>16</v>
      </c>
      <c r="F537" s="6" t="s">
        <v>138</v>
      </c>
      <c r="G537" s="4">
        <v>28353</v>
      </c>
      <c r="H537" s="6" t="s">
        <v>145</v>
      </c>
      <c r="I537">
        <v>117</v>
      </c>
      <c r="J537">
        <v>1</v>
      </c>
      <c r="K537">
        <v>117</v>
      </c>
      <c r="L537" s="6" t="s">
        <v>41</v>
      </c>
      <c r="M537" s="6" t="s">
        <v>47</v>
      </c>
      <c r="N537" s="6" t="s">
        <v>56</v>
      </c>
    </row>
    <row r="538" spans="1:14" x14ac:dyDescent="0.25">
      <c r="A538" s="6" t="s">
        <v>927</v>
      </c>
      <c r="B538" s="4">
        <v>45784</v>
      </c>
      <c r="C538" s="6" t="s">
        <v>2792</v>
      </c>
      <c r="D538" s="7">
        <v>0.69652777777777775</v>
      </c>
      <c r="E538" s="6" t="s">
        <v>16</v>
      </c>
      <c r="F538" s="6" t="s">
        <v>473</v>
      </c>
      <c r="G538" s="4">
        <v>35848</v>
      </c>
      <c r="H538" s="6" t="s">
        <v>164</v>
      </c>
      <c r="I538">
        <v>361</v>
      </c>
      <c r="J538">
        <v>3</v>
      </c>
      <c r="K538">
        <v>1085</v>
      </c>
      <c r="L538" s="6" t="s">
        <v>41</v>
      </c>
      <c r="M538" s="6" t="s">
        <v>89</v>
      </c>
      <c r="N538" s="6" t="s">
        <v>56</v>
      </c>
    </row>
    <row r="539" spans="1:14" x14ac:dyDescent="0.25">
      <c r="A539" s="6" t="s">
        <v>928</v>
      </c>
      <c r="B539" s="4">
        <v>45625</v>
      </c>
      <c r="C539" s="6" t="s">
        <v>2802</v>
      </c>
      <c r="D539" s="7">
        <v>0.45416666666666666</v>
      </c>
      <c r="E539" s="6" t="s">
        <v>16</v>
      </c>
      <c r="F539" s="6" t="s">
        <v>198</v>
      </c>
      <c r="G539" s="4">
        <v>39805</v>
      </c>
      <c r="H539" s="6" t="s">
        <v>259</v>
      </c>
      <c r="I539">
        <v>138</v>
      </c>
      <c r="J539">
        <v>1</v>
      </c>
      <c r="K539">
        <v>139</v>
      </c>
      <c r="L539" s="6" t="s">
        <v>19</v>
      </c>
      <c r="M539" s="6" t="s">
        <v>37</v>
      </c>
      <c r="N539" s="6" t="s">
        <v>33</v>
      </c>
    </row>
    <row r="540" spans="1:14" x14ac:dyDescent="0.25">
      <c r="A540" s="6" t="s">
        <v>929</v>
      </c>
      <c r="B540" s="4">
        <v>45895</v>
      </c>
      <c r="C540" s="6" t="s">
        <v>2793</v>
      </c>
      <c r="D540" s="7">
        <v>0.71666666666666667</v>
      </c>
      <c r="E540" s="6" t="s">
        <v>16</v>
      </c>
      <c r="F540" s="6" t="s">
        <v>59</v>
      </c>
      <c r="G540" s="4">
        <v>34385</v>
      </c>
      <c r="H540" s="6" t="s">
        <v>53</v>
      </c>
      <c r="I540">
        <v>105</v>
      </c>
      <c r="J540">
        <v>1</v>
      </c>
      <c r="K540">
        <v>105</v>
      </c>
      <c r="L540" s="6" t="s">
        <v>19</v>
      </c>
      <c r="M540" s="6" t="s">
        <v>55</v>
      </c>
      <c r="N540" s="6" t="s">
        <v>33</v>
      </c>
    </row>
    <row r="541" spans="1:14" x14ac:dyDescent="0.25">
      <c r="A541" s="6" t="s">
        <v>931</v>
      </c>
      <c r="B541" s="4">
        <v>45779</v>
      </c>
      <c r="C541" s="6" t="s">
        <v>2792</v>
      </c>
      <c r="D541" s="7">
        <v>0.69513888888888886</v>
      </c>
      <c r="E541" s="6" t="s">
        <v>16</v>
      </c>
      <c r="F541" s="6" t="s">
        <v>109</v>
      </c>
      <c r="G541" s="4">
        <v>26265</v>
      </c>
      <c r="H541" s="6" t="s">
        <v>60</v>
      </c>
      <c r="I541">
        <v>164</v>
      </c>
      <c r="J541">
        <v>2</v>
      </c>
      <c r="K541">
        <v>330</v>
      </c>
      <c r="L541" s="6" t="s">
        <v>19</v>
      </c>
      <c r="M541" s="6" t="s">
        <v>20</v>
      </c>
      <c r="N541" s="6" t="s">
        <v>33</v>
      </c>
    </row>
    <row r="542" spans="1:14" x14ac:dyDescent="0.25">
      <c r="A542" s="6" t="s">
        <v>932</v>
      </c>
      <c r="B542" s="4">
        <v>45688</v>
      </c>
      <c r="C542" s="6" t="s">
        <v>2794</v>
      </c>
      <c r="D542" s="7">
        <v>0.52777777777777779</v>
      </c>
      <c r="E542" s="6" t="s">
        <v>16</v>
      </c>
      <c r="F542" s="6" t="s">
        <v>397</v>
      </c>
      <c r="G542" s="4">
        <v>34817</v>
      </c>
      <c r="H542" s="6" t="s">
        <v>129</v>
      </c>
      <c r="I542">
        <v>176</v>
      </c>
      <c r="J542">
        <v>2</v>
      </c>
      <c r="K542">
        <v>353</v>
      </c>
      <c r="L542" s="6" t="s">
        <v>41</v>
      </c>
      <c r="M542" s="6" t="s">
        <v>37</v>
      </c>
      <c r="N542" s="6" t="s">
        <v>27</v>
      </c>
    </row>
    <row r="543" spans="1:14" x14ac:dyDescent="0.25">
      <c r="A543" s="6" t="s">
        <v>933</v>
      </c>
      <c r="B543" s="4">
        <v>45823</v>
      </c>
      <c r="C543" s="6" t="s">
        <v>2800</v>
      </c>
      <c r="D543" s="7">
        <v>0.98905092592592592</v>
      </c>
      <c r="E543" s="6" t="s">
        <v>16</v>
      </c>
      <c r="F543" s="6" t="s">
        <v>169</v>
      </c>
      <c r="G543" s="4">
        <v>30929</v>
      </c>
      <c r="H543" s="6" t="s">
        <v>145</v>
      </c>
      <c r="I543">
        <v>176</v>
      </c>
      <c r="J543">
        <v>2</v>
      </c>
      <c r="K543">
        <v>353</v>
      </c>
      <c r="L543" s="6" t="s">
        <v>2787</v>
      </c>
      <c r="M543" s="6" t="s">
        <v>47</v>
      </c>
      <c r="N543" s="6" t="s">
        <v>105</v>
      </c>
    </row>
    <row r="544" spans="1:14" x14ac:dyDescent="0.25">
      <c r="A544" s="6" t="s">
        <v>934</v>
      </c>
      <c r="B544" s="4">
        <v>45716</v>
      </c>
      <c r="C544" s="6" t="s">
        <v>2799</v>
      </c>
      <c r="D544" s="7">
        <v>0.87291666666666667</v>
      </c>
      <c r="E544" s="6" t="s">
        <v>16</v>
      </c>
      <c r="F544" s="6" t="s">
        <v>246</v>
      </c>
      <c r="G544" s="4">
        <v>29227</v>
      </c>
      <c r="H544" s="6" t="s">
        <v>164</v>
      </c>
      <c r="I544">
        <v>343</v>
      </c>
      <c r="J544">
        <v>1</v>
      </c>
      <c r="K544">
        <v>343</v>
      </c>
      <c r="L544" s="6" t="s">
        <v>67</v>
      </c>
      <c r="M544" s="6" t="s">
        <v>20</v>
      </c>
      <c r="N544" s="6" t="s">
        <v>105</v>
      </c>
    </row>
    <row r="545" spans="1:14" x14ac:dyDescent="0.25">
      <c r="A545" s="6" t="s">
        <v>935</v>
      </c>
      <c r="B545" s="4">
        <v>45885</v>
      </c>
      <c r="C545" s="6" t="s">
        <v>2793</v>
      </c>
      <c r="D545" s="7">
        <v>0.74583333333333335</v>
      </c>
      <c r="E545" s="6" t="s">
        <v>16</v>
      </c>
      <c r="F545" s="6" t="s">
        <v>334</v>
      </c>
      <c r="G545" s="4">
        <v>27905</v>
      </c>
      <c r="H545" s="6" t="s">
        <v>126</v>
      </c>
      <c r="I545">
        <v>139</v>
      </c>
      <c r="J545">
        <v>1</v>
      </c>
      <c r="K545">
        <v>100</v>
      </c>
      <c r="L545" s="6" t="s">
        <v>19</v>
      </c>
      <c r="M545" s="6" t="s">
        <v>20</v>
      </c>
      <c r="N545" s="6" t="s">
        <v>27</v>
      </c>
    </row>
    <row r="546" spans="1:14" x14ac:dyDescent="0.25">
      <c r="A546" s="6" t="s">
        <v>937</v>
      </c>
      <c r="B546" s="4">
        <v>45687</v>
      </c>
      <c r="C546" s="6" t="s">
        <v>2794</v>
      </c>
      <c r="D546" s="7">
        <v>0.66874999999999996</v>
      </c>
      <c r="E546" s="6" t="s">
        <v>16</v>
      </c>
      <c r="F546" s="6" t="s">
        <v>338</v>
      </c>
      <c r="G546" s="4">
        <v>35925</v>
      </c>
      <c r="H546" s="6" t="s">
        <v>45</v>
      </c>
      <c r="I546">
        <v>171</v>
      </c>
      <c r="J546">
        <v>1</v>
      </c>
      <c r="K546">
        <v>171</v>
      </c>
      <c r="L546" s="6" t="s">
        <v>19</v>
      </c>
      <c r="M546" s="6" t="s">
        <v>26</v>
      </c>
      <c r="N546" s="6" t="s">
        <v>74</v>
      </c>
    </row>
    <row r="547" spans="1:14" x14ac:dyDescent="0.25">
      <c r="A547" s="6" t="s">
        <v>939</v>
      </c>
      <c r="B547" s="4">
        <v>45687</v>
      </c>
      <c r="C547" s="6" t="s">
        <v>2794</v>
      </c>
      <c r="D547" s="7">
        <v>0.95833333333333337</v>
      </c>
      <c r="E547" s="6" t="s">
        <v>16</v>
      </c>
      <c r="F547" s="6" t="s">
        <v>582</v>
      </c>
      <c r="G547" s="4">
        <v>30976</v>
      </c>
      <c r="H547" s="6" t="s">
        <v>213</v>
      </c>
      <c r="I547">
        <v>333</v>
      </c>
      <c r="J547">
        <v>1</v>
      </c>
      <c r="K547">
        <v>334</v>
      </c>
      <c r="L547" s="6" t="s">
        <v>41</v>
      </c>
      <c r="M547" s="6" t="s">
        <v>26</v>
      </c>
      <c r="N547" s="6" t="s">
        <v>48</v>
      </c>
    </row>
    <row r="548" spans="1:14" x14ac:dyDescent="0.25">
      <c r="A548" s="6" t="s">
        <v>940</v>
      </c>
      <c r="B548" s="4">
        <v>45772</v>
      </c>
      <c r="C548" s="6" t="s">
        <v>2801</v>
      </c>
      <c r="D548" s="7">
        <v>0.69236111111111109</v>
      </c>
      <c r="E548" s="6" t="s">
        <v>16</v>
      </c>
      <c r="F548" s="6" t="s">
        <v>82</v>
      </c>
      <c r="G548" s="4">
        <v>30878</v>
      </c>
      <c r="H548" s="6" t="s">
        <v>93</v>
      </c>
      <c r="I548">
        <v>216</v>
      </c>
      <c r="J548">
        <v>1</v>
      </c>
      <c r="K548">
        <v>216</v>
      </c>
      <c r="L548" s="6" t="s">
        <v>41</v>
      </c>
      <c r="M548" s="6" t="s">
        <v>26</v>
      </c>
      <c r="N548" s="6" t="s">
        <v>27</v>
      </c>
    </row>
    <row r="549" spans="1:14" x14ac:dyDescent="0.25">
      <c r="A549" s="6" t="s">
        <v>942</v>
      </c>
      <c r="B549" s="4">
        <v>45714</v>
      </c>
      <c r="C549" s="6" t="s">
        <v>2799</v>
      </c>
      <c r="D549" s="7">
        <v>0.56805555555555554</v>
      </c>
      <c r="E549" s="6" t="s">
        <v>16</v>
      </c>
      <c r="F549" s="6" t="s">
        <v>351</v>
      </c>
      <c r="G549" s="4">
        <v>25616</v>
      </c>
      <c r="H549" s="6" t="s">
        <v>40</v>
      </c>
      <c r="I549">
        <v>155</v>
      </c>
      <c r="J549">
        <v>2</v>
      </c>
      <c r="K549">
        <v>310</v>
      </c>
      <c r="L549" s="6" t="s">
        <v>19</v>
      </c>
      <c r="M549" s="6" t="s">
        <v>89</v>
      </c>
      <c r="N549" s="6" t="s">
        <v>27</v>
      </c>
    </row>
    <row r="550" spans="1:14" x14ac:dyDescent="0.25">
      <c r="A550" s="6" t="s">
        <v>943</v>
      </c>
      <c r="B550" s="4">
        <v>45686</v>
      </c>
      <c r="C550" s="6" t="s">
        <v>2794</v>
      </c>
      <c r="D550" s="7">
        <v>0.63124999999999998</v>
      </c>
      <c r="E550" s="6" t="s">
        <v>16</v>
      </c>
      <c r="F550" s="6" t="s">
        <v>189</v>
      </c>
      <c r="G550" s="4">
        <v>31385</v>
      </c>
      <c r="H550" s="6" t="s">
        <v>202</v>
      </c>
      <c r="I550">
        <v>79</v>
      </c>
      <c r="J550">
        <v>3</v>
      </c>
      <c r="K550">
        <v>237</v>
      </c>
      <c r="L550" s="6" t="s">
        <v>54</v>
      </c>
      <c r="M550" s="6" t="s">
        <v>32</v>
      </c>
      <c r="N550" s="6" t="s">
        <v>27</v>
      </c>
    </row>
    <row r="551" spans="1:14" x14ac:dyDescent="0.25">
      <c r="A551" s="6" t="s">
        <v>944</v>
      </c>
      <c r="B551" s="4">
        <v>45705</v>
      </c>
      <c r="C551" s="6" t="s">
        <v>2799</v>
      </c>
      <c r="D551" s="7">
        <v>0.8930555555555556</v>
      </c>
      <c r="E551" s="6" t="s">
        <v>16</v>
      </c>
      <c r="F551" s="6" t="s">
        <v>622</v>
      </c>
      <c r="G551" s="4">
        <v>39134</v>
      </c>
      <c r="H551" s="6" t="s">
        <v>202</v>
      </c>
      <c r="I551">
        <v>312</v>
      </c>
      <c r="J551">
        <v>2</v>
      </c>
      <c r="K551">
        <v>626</v>
      </c>
      <c r="L551" s="6" t="s">
        <v>54</v>
      </c>
      <c r="M551" s="6" t="s">
        <v>61</v>
      </c>
      <c r="N551" s="6" t="s">
        <v>33</v>
      </c>
    </row>
    <row r="552" spans="1:14" x14ac:dyDescent="0.25">
      <c r="A552" s="6" t="s">
        <v>945</v>
      </c>
      <c r="B552" s="4">
        <v>45699</v>
      </c>
      <c r="C552" s="6" t="s">
        <v>2799</v>
      </c>
      <c r="D552" s="7">
        <v>0.5427777777777778</v>
      </c>
      <c r="E552" s="6" t="s">
        <v>16</v>
      </c>
      <c r="F552" s="6" t="s">
        <v>299</v>
      </c>
      <c r="G552" s="4">
        <v>37187</v>
      </c>
      <c r="H552" s="6" t="s">
        <v>199</v>
      </c>
      <c r="I552">
        <v>178</v>
      </c>
      <c r="J552">
        <v>3</v>
      </c>
      <c r="K552">
        <v>536</v>
      </c>
      <c r="L552" s="6" t="s">
        <v>67</v>
      </c>
      <c r="M552" s="6" t="s">
        <v>61</v>
      </c>
      <c r="N552" s="6" t="s">
        <v>56</v>
      </c>
    </row>
    <row r="553" spans="1:14" x14ac:dyDescent="0.25">
      <c r="A553" s="6" t="s">
        <v>946</v>
      </c>
      <c r="B553" s="4">
        <v>45687</v>
      </c>
      <c r="C553" s="6" t="s">
        <v>2794</v>
      </c>
      <c r="D553" s="7">
        <v>0.50624999999999998</v>
      </c>
      <c r="E553" s="6" t="s">
        <v>16</v>
      </c>
      <c r="F553" s="6" t="s">
        <v>229</v>
      </c>
      <c r="G553" s="4">
        <v>26914</v>
      </c>
      <c r="H553" s="6" t="s">
        <v>145</v>
      </c>
      <c r="I553">
        <v>115</v>
      </c>
      <c r="J553">
        <v>3</v>
      </c>
      <c r="K553">
        <v>346</v>
      </c>
      <c r="L553" s="6" t="s">
        <v>41</v>
      </c>
      <c r="M553" s="6" t="s">
        <v>55</v>
      </c>
      <c r="N553" s="6" t="s">
        <v>105</v>
      </c>
    </row>
    <row r="554" spans="1:14" x14ac:dyDescent="0.25">
      <c r="A554" s="6" t="s">
        <v>947</v>
      </c>
      <c r="B554" s="4">
        <v>45687</v>
      </c>
      <c r="C554" s="6" t="s">
        <v>2794</v>
      </c>
      <c r="D554" s="7">
        <v>0.5944328703703704</v>
      </c>
      <c r="E554" s="6" t="s">
        <v>16</v>
      </c>
      <c r="F554" s="6" t="s">
        <v>494</v>
      </c>
      <c r="G554" s="4">
        <v>38872</v>
      </c>
      <c r="H554" s="6" t="s">
        <v>199</v>
      </c>
      <c r="I554">
        <v>232</v>
      </c>
      <c r="J554">
        <v>1</v>
      </c>
      <c r="K554">
        <v>232</v>
      </c>
      <c r="L554" s="6" t="s">
        <v>67</v>
      </c>
      <c r="M554" s="6" t="s">
        <v>55</v>
      </c>
      <c r="N554" s="6" t="s">
        <v>33</v>
      </c>
    </row>
    <row r="555" spans="1:14" x14ac:dyDescent="0.25">
      <c r="A555" s="6" t="s">
        <v>948</v>
      </c>
      <c r="B555" s="4">
        <v>45619</v>
      </c>
      <c r="C555" s="6" t="s">
        <v>2802</v>
      </c>
      <c r="D555" s="7">
        <v>0.46736111111111112</v>
      </c>
      <c r="E555" s="6" t="s">
        <v>16</v>
      </c>
      <c r="F555" s="6" t="s">
        <v>208</v>
      </c>
      <c r="G555" s="4">
        <v>34720</v>
      </c>
      <c r="H555" s="6" t="s">
        <v>73</v>
      </c>
      <c r="I555">
        <v>45</v>
      </c>
      <c r="J555">
        <v>2</v>
      </c>
      <c r="K555">
        <v>91</v>
      </c>
      <c r="L555" s="6" t="s">
        <v>54</v>
      </c>
      <c r="M555" s="6" t="s">
        <v>26</v>
      </c>
      <c r="N555" s="6" t="s">
        <v>105</v>
      </c>
    </row>
    <row r="556" spans="1:14" x14ac:dyDescent="0.25">
      <c r="A556" s="6" t="s">
        <v>950</v>
      </c>
      <c r="B556" s="4">
        <v>45845</v>
      </c>
      <c r="C556" s="6" t="s">
        <v>2795</v>
      </c>
      <c r="D556" s="7">
        <v>0.86597222222222225</v>
      </c>
      <c r="E556" s="6" t="s">
        <v>16</v>
      </c>
      <c r="F556" s="6" t="s">
        <v>307</v>
      </c>
      <c r="G556" s="4">
        <v>30326</v>
      </c>
      <c r="H556" s="6" t="s">
        <v>243</v>
      </c>
      <c r="I556">
        <v>147</v>
      </c>
      <c r="J556">
        <v>1</v>
      </c>
      <c r="K556">
        <v>147</v>
      </c>
      <c r="L556" s="6" t="s">
        <v>41</v>
      </c>
      <c r="M556" s="6" t="s">
        <v>37</v>
      </c>
      <c r="N556" s="6" t="s">
        <v>56</v>
      </c>
    </row>
    <row r="557" spans="1:14" x14ac:dyDescent="0.25">
      <c r="A557" s="6" t="s">
        <v>951</v>
      </c>
      <c r="B557" s="4">
        <v>45621</v>
      </c>
      <c r="C557" s="6" t="s">
        <v>2802</v>
      </c>
      <c r="D557" s="7">
        <v>0.50668981481481479</v>
      </c>
      <c r="E557" s="6" t="s">
        <v>16</v>
      </c>
      <c r="F557" s="6" t="s">
        <v>952</v>
      </c>
      <c r="G557" s="4">
        <v>30313</v>
      </c>
      <c r="H557" s="6" t="s">
        <v>213</v>
      </c>
      <c r="I557">
        <v>215</v>
      </c>
      <c r="J557">
        <v>3</v>
      </c>
      <c r="K557">
        <v>647</v>
      </c>
      <c r="L557" s="6" t="s">
        <v>41</v>
      </c>
      <c r="M557" s="6" t="s">
        <v>55</v>
      </c>
      <c r="N557" s="6" t="s">
        <v>21</v>
      </c>
    </row>
    <row r="558" spans="1:14" x14ac:dyDescent="0.25">
      <c r="A558" s="6" t="s">
        <v>954</v>
      </c>
      <c r="B558" s="4">
        <v>45734</v>
      </c>
      <c r="C558" s="6" t="s">
        <v>2798</v>
      </c>
      <c r="D558" s="7">
        <v>0.51194444444444442</v>
      </c>
      <c r="E558" s="6" t="s">
        <v>16</v>
      </c>
      <c r="F558" s="6" t="s">
        <v>379</v>
      </c>
      <c r="G558" s="4">
        <v>32574</v>
      </c>
      <c r="H558" s="6" t="s">
        <v>199</v>
      </c>
      <c r="I558">
        <v>174</v>
      </c>
      <c r="J558">
        <v>2</v>
      </c>
      <c r="K558">
        <v>375</v>
      </c>
      <c r="L558" s="6" t="s">
        <v>41</v>
      </c>
      <c r="M558" s="6" t="s">
        <v>26</v>
      </c>
      <c r="N558" s="6" t="s">
        <v>74</v>
      </c>
    </row>
    <row r="559" spans="1:14" x14ac:dyDescent="0.25">
      <c r="A559" s="6" t="s">
        <v>955</v>
      </c>
      <c r="B559" s="4">
        <v>45835</v>
      </c>
      <c r="C559" s="6" t="s">
        <v>2800</v>
      </c>
      <c r="D559" s="7">
        <v>0.67638888888888893</v>
      </c>
      <c r="E559" s="6" t="s">
        <v>16</v>
      </c>
      <c r="F559" s="6" t="s">
        <v>158</v>
      </c>
      <c r="G559" s="4">
        <v>33398</v>
      </c>
      <c r="H559" s="6" t="s">
        <v>18</v>
      </c>
      <c r="I559">
        <v>100</v>
      </c>
      <c r="J559">
        <v>2</v>
      </c>
      <c r="K559">
        <v>200</v>
      </c>
      <c r="L559" s="6" t="s">
        <v>41</v>
      </c>
      <c r="M559" s="6" t="s">
        <v>32</v>
      </c>
      <c r="N559" s="6" t="s">
        <v>74</v>
      </c>
    </row>
    <row r="560" spans="1:14" x14ac:dyDescent="0.25">
      <c r="A560" s="6" t="s">
        <v>957</v>
      </c>
      <c r="B560" s="4">
        <v>45774</v>
      </c>
      <c r="C560" s="6" t="s">
        <v>2801</v>
      </c>
      <c r="D560" s="7">
        <v>0.73452546296296295</v>
      </c>
      <c r="E560" s="6" t="s">
        <v>16</v>
      </c>
      <c r="F560" s="6" t="s">
        <v>173</v>
      </c>
      <c r="G560" s="4">
        <v>31183</v>
      </c>
      <c r="H560" s="6" t="s">
        <v>104</v>
      </c>
      <c r="I560">
        <v>221</v>
      </c>
      <c r="J560">
        <v>2</v>
      </c>
      <c r="K560">
        <v>443</v>
      </c>
      <c r="L560" s="6" t="s">
        <v>41</v>
      </c>
      <c r="M560" s="6" t="s">
        <v>89</v>
      </c>
      <c r="N560" s="6" t="s">
        <v>21</v>
      </c>
    </row>
    <row r="561" spans="1:14" x14ac:dyDescent="0.25">
      <c r="A561" s="6" t="s">
        <v>958</v>
      </c>
      <c r="B561" s="4">
        <v>45867</v>
      </c>
      <c r="C561" s="6" t="s">
        <v>2795</v>
      </c>
      <c r="D561" s="7">
        <v>0.75</v>
      </c>
      <c r="E561" s="6" t="s">
        <v>16</v>
      </c>
      <c r="F561" s="6" t="s">
        <v>151</v>
      </c>
      <c r="G561" s="4">
        <v>26271</v>
      </c>
      <c r="H561" s="6" t="s">
        <v>73</v>
      </c>
      <c r="I561">
        <v>45</v>
      </c>
      <c r="J561">
        <v>2</v>
      </c>
      <c r="K561">
        <v>90</v>
      </c>
      <c r="L561" s="6" t="s">
        <v>41</v>
      </c>
      <c r="M561" s="6" t="s">
        <v>89</v>
      </c>
      <c r="N561" s="6" t="s">
        <v>33</v>
      </c>
    </row>
    <row r="562" spans="1:14" x14ac:dyDescent="0.25">
      <c r="A562" s="6" t="s">
        <v>959</v>
      </c>
      <c r="B562" s="4">
        <v>45822</v>
      </c>
      <c r="C562" s="6" t="s">
        <v>2800</v>
      </c>
      <c r="D562" s="7">
        <v>0.4177777777777778</v>
      </c>
      <c r="E562" s="6" t="s">
        <v>16</v>
      </c>
      <c r="F562" s="6" t="s">
        <v>764</v>
      </c>
      <c r="G562" s="4">
        <v>33830</v>
      </c>
      <c r="H562" s="6" t="s">
        <v>129</v>
      </c>
      <c r="I562">
        <v>159</v>
      </c>
      <c r="J562">
        <v>2</v>
      </c>
      <c r="K562">
        <v>320</v>
      </c>
      <c r="L562" s="6" t="s">
        <v>41</v>
      </c>
      <c r="M562" s="6" t="s">
        <v>20</v>
      </c>
      <c r="N562" s="6" t="s">
        <v>27</v>
      </c>
    </row>
    <row r="563" spans="1:14" x14ac:dyDescent="0.25">
      <c r="A563" s="6" t="s">
        <v>960</v>
      </c>
      <c r="B563" s="4">
        <v>45657</v>
      </c>
      <c r="C563" s="6" t="s">
        <v>2796</v>
      </c>
      <c r="D563" s="7">
        <v>0.76041666666666663</v>
      </c>
      <c r="E563" s="6" t="s">
        <v>16</v>
      </c>
      <c r="F563" s="6" t="s">
        <v>961</v>
      </c>
      <c r="G563" s="4">
        <v>31972</v>
      </c>
      <c r="H563" s="6" t="s">
        <v>213</v>
      </c>
      <c r="I563">
        <v>194</v>
      </c>
      <c r="J563">
        <v>1</v>
      </c>
      <c r="K563">
        <v>100</v>
      </c>
      <c r="L563" s="6" t="s">
        <v>19</v>
      </c>
      <c r="M563" s="6" t="s">
        <v>89</v>
      </c>
      <c r="N563" s="6" t="s">
        <v>105</v>
      </c>
    </row>
    <row r="564" spans="1:14" x14ac:dyDescent="0.25">
      <c r="A564" s="6" t="s">
        <v>962</v>
      </c>
      <c r="B564" s="4">
        <v>45778</v>
      </c>
      <c r="C564" s="6" t="s">
        <v>2792</v>
      </c>
      <c r="D564" s="7">
        <v>0.65972222222222221</v>
      </c>
      <c r="E564" s="6" t="s">
        <v>16</v>
      </c>
      <c r="F564" s="6" t="s">
        <v>963</v>
      </c>
      <c r="G564" s="4">
        <v>39223</v>
      </c>
      <c r="H564" s="6" t="s">
        <v>202</v>
      </c>
      <c r="I564">
        <v>293</v>
      </c>
      <c r="J564">
        <v>2</v>
      </c>
      <c r="K564">
        <v>588</v>
      </c>
      <c r="L564" s="6" t="s">
        <v>19</v>
      </c>
      <c r="M564" s="6" t="s">
        <v>37</v>
      </c>
      <c r="N564" s="6" t="s">
        <v>33</v>
      </c>
    </row>
    <row r="565" spans="1:14" x14ac:dyDescent="0.25">
      <c r="A565" s="6" t="s">
        <v>964</v>
      </c>
      <c r="B565" s="4">
        <v>45865</v>
      </c>
      <c r="C565" s="6" t="s">
        <v>2795</v>
      </c>
      <c r="D565" s="7">
        <v>0.72958333333333336</v>
      </c>
      <c r="E565" s="6" t="s">
        <v>16</v>
      </c>
      <c r="F565" s="6" t="s">
        <v>628</v>
      </c>
      <c r="G565" s="4">
        <v>35496</v>
      </c>
      <c r="H565" s="6" t="s">
        <v>77</v>
      </c>
      <c r="I565">
        <v>104</v>
      </c>
      <c r="J565">
        <v>1</v>
      </c>
      <c r="K565">
        <v>113</v>
      </c>
      <c r="L565" s="6" t="s">
        <v>19</v>
      </c>
      <c r="M565" s="6" t="s">
        <v>37</v>
      </c>
      <c r="N565" s="6" t="s">
        <v>21</v>
      </c>
    </row>
    <row r="566" spans="1:14" x14ac:dyDescent="0.25">
      <c r="A566" s="6" t="s">
        <v>965</v>
      </c>
      <c r="B566" s="4">
        <v>45662</v>
      </c>
      <c r="C566" s="6" t="s">
        <v>2794</v>
      </c>
      <c r="D566" s="7">
        <v>0.86250000000000004</v>
      </c>
      <c r="E566" s="6" t="s">
        <v>16</v>
      </c>
      <c r="F566" s="6" t="s">
        <v>225</v>
      </c>
      <c r="G566" s="4">
        <v>38025</v>
      </c>
      <c r="H566" s="6" t="s">
        <v>93</v>
      </c>
      <c r="I566">
        <v>104</v>
      </c>
      <c r="J566">
        <v>3</v>
      </c>
      <c r="K566">
        <v>113</v>
      </c>
      <c r="L566" s="6" t="s">
        <v>2787</v>
      </c>
      <c r="M566" s="6" t="s">
        <v>55</v>
      </c>
      <c r="N566" s="6" t="s">
        <v>21</v>
      </c>
    </row>
    <row r="567" spans="1:14" x14ac:dyDescent="0.25">
      <c r="A567" s="6" t="s">
        <v>966</v>
      </c>
      <c r="B567" s="4">
        <v>45896</v>
      </c>
      <c r="C567" s="6" t="s">
        <v>2793</v>
      </c>
      <c r="D567" s="7">
        <v>0.6069444444444444</v>
      </c>
      <c r="E567" s="6" t="s">
        <v>16</v>
      </c>
      <c r="F567" s="6" t="s">
        <v>123</v>
      </c>
      <c r="G567" s="4">
        <v>37888</v>
      </c>
      <c r="H567" s="6" t="s">
        <v>199</v>
      </c>
      <c r="I567">
        <v>210</v>
      </c>
      <c r="J567">
        <v>2</v>
      </c>
      <c r="K567">
        <v>421</v>
      </c>
      <c r="L567" s="6" t="s">
        <v>41</v>
      </c>
      <c r="M567" s="6" t="s">
        <v>47</v>
      </c>
      <c r="N567" s="6" t="s">
        <v>74</v>
      </c>
    </row>
    <row r="568" spans="1:14" x14ac:dyDescent="0.25">
      <c r="A568" s="6" t="s">
        <v>967</v>
      </c>
      <c r="B568" s="4">
        <v>45905</v>
      </c>
      <c r="C568" s="6" t="s">
        <v>2797</v>
      </c>
      <c r="D568" s="7">
        <v>0.49166666666666664</v>
      </c>
      <c r="E568" s="6" t="s">
        <v>16</v>
      </c>
      <c r="F568" s="6" t="s">
        <v>229</v>
      </c>
      <c r="G568" s="4">
        <v>39228</v>
      </c>
      <c r="H568" s="6" t="s">
        <v>259</v>
      </c>
      <c r="I568">
        <v>98</v>
      </c>
      <c r="J568">
        <v>2</v>
      </c>
      <c r="K568">
        <v>197</v>
      </c>
      <c r="L568" s="6" t="s">
        <v>19</v>
      </c>
      <c r="M568" s="6" t="s">
        <v>20</v>
      </c>
      <c r="N568" s="6" t="s">
        <v>21</v>
      </c>
    </row>
    <row r="569" spans="1:14" x14ac:dyDescent="0.25">
      <c r="A569" s="6" t="s">
        <v>969</v>
      </c>
      <c r="B569" s="4">
        <v>45798</v>
      </c>
      <c r="C569" s="6" t="s">
        <v>2792</v>
      </c>
      <c r="D569" s="7">
        <v>0.77847222222222223</v>
      </c>
      <c r="E569" s="6" t="s">
        <v>16</v>
      </c>
      <c r="F569" s="6" t="s">
        <v>562</v>
      </c>
      <c r="G569" s="4">
        <v>38603</v>
      </c>
      <c r="H569" s="6" t="s">
        <v>178</v>
      </c>
      <c r="I569">
        <v>261</v>
      </c>
      <c r="J569">
        <v>2</v>
      </c>
      <c r="K569">
        <v>523</v>
      </c>
      <c r="L569" s="6" t="s">
        <v>67</v>
      </c>
      <c r="M569" s="6" t="s">
        <v>89</v>
      </c>
      <c r="N569" s="6" t="s">
        <v>74</v>
      </c>
    </row>
    <row r="570" spans="1:14" x14ac:dyDescent="0.25">
      <c r="A570" s="6" t="s">
        <v>972</v>
      </c>
      <c r="B570" s="4">
        <v>45630</v>
      </c>
      <c r="C570" s="6" t="s">
        <v>2796</v>
      </c>
      <c r="D570" s="7">
        <v>0.50277777777777777</v>
      </c>
      <c r="E570" s="6" t="s">
        <v>16</v>
      </c>
      <c r="F570" s="6" t="s">
        <v>397</v>
      </c>
      <c r="G570" s="4">
        <v>29391</v>
      </c>
      <c r="H570" s="6" t="s">
        <v>199</v>
      </c>
      <c r="I570">
        <v>207</v>
      </c>
      <c r="J570">
        <v>3</v>
      </c>
      <c r="K570">
        <v>627</v>
      </c>
      <c r="L570" s="6" t="s">
        <v>2787</v>
      </c>
      <c r="M570" s="6" t="s">
        <v>20</v>
      </c>
      <c r="N570" s="6" t="s">
        <v>74</v>
      </c>
    </row>
    <row r="571" spans="1:14" x14ac:dyDescent="0.25">
      <c r="A571" s="6" t="s">
        <v>973</v>
      </c>
      <c r="B571" s="4">
        <v>45694</v>
      </c>
      <c r="C571" s="6" t="s">
        <v>2799</v>
      </c>
      <c r="D571" s="7">
        <v>0.81671296296296292</v>
      </c>
      <c r="E571" s="6" t="s">
        <v>16</v>
      </c>
      <c r="F571" s="6" t="s">
        <v>334</v>
      </c>
      <c r="G571" s="4">
        <v>27146</v>
      </c>
      <c r="H571" s="6" t="s">
        <v>30</v>
      </c>
      <c r="I571">
        <v>289</v>
      </c>
      <c r="J571">
        <v>1</v>
      </c>
      <c r="K571">
        <v>289</v>
      </c>
      <c r="L571" s="6" t="s">
        <v>19</v>
      </c>
      <c r="M571" s="6" t="s">
        <v>20</v>
      </c>
      <c r="N571" s="6" t="s">
        <v>56</v>
      </c>
    </row>
    <row r="572" spans="1:14" x14ac:dyDescent="0.25">
      <c r="A572" s="6" t="s">
        <v>974</v>
      </c>
      <c r="B572" s="4">
        <v>45694</v>
      </c>
      <c r="C572" s="6" t="s">
        <v>2799</v>
      </c>
      <c r="D572" s="7">
        <v>0.51664351851851853</v>
      </c>
      <c r="E572" s="6" t="s">
        <v>16</v>
      </c>
      <c r="F572" s="6" t="s">
        <v>166</v>
      </c>
      <c r="G572" s="4">
        <v>27952</v>
      </c>
      <c r="H572" s="6" t="s">
        <v>53</v>
      </c>
      <c r="I572">
        <v>119</v>
      </c>
      <c r="J572">
        <v>2</v>
      </c>
      <c r="K572">
        <v>238</v>
      </c>
      <c r="L572" s="6" t="s">
        <v>54</v>
      </c>
      <c r="M572" s="6" t="s">
        <v>55</v>
      </c>
      <c r="N572" s="6" t="s">
        <v>74</v>
      </c>
    </row>
    <row r="573" spans="1:14" x14ac:dyDescent="0.25">
      <c r="A573" s="6" t="s">
        <v>975</v>
      </c>
      <c r="B573" s="4">
        <v>45853</v>
      </c>
      <c r="C573" s="6" t="s">
        <v>2795</v>
      </c>
      <c r="D573" s="7">
        <v>0.47019675925925924</v>
      </c>
      <c r="E573" s="6" t="s">
        <v>16</v>
      </c>
      <c r="F573" s="6" t="s">
        <v>125</v>
      </c>
      <c r="G573" s="4">
        <v>30853</v>
      </c>
      <c r="H573" s="6" t="s">
        <v>77</v>
      </c>
      <c r="I573">
        <v>187</v>
      </c>
      <c r="J573">
        <v>3</v>
      </c>
      <c r="K573">
        <v>561</v>
      </c>
      <c r="L573" s="6" t="s">
        <v>19</v>
      </c>
      <c r="M573" s="6" t="s">
        <v>32</v>
      </c>
      <c r="N573" s="6" t="s">
        <v>56</v>
      </c>
    </row>
    <row r="574" spans="1:14" x14ac:dyDescent="0.25">
      <c r="A574" s="6" t="s">
        <v>976</v>
      </c>
      <c r="B574" s="4">
        <v>45918</v>
      </c>
      <c r="C574" s="6" t="s">
        <v>2797</v>
      </c>
      <c r="D574" s="7">
        <v>0.9458333333333333</v>
      </c>
      <c r="E574" s="6" t="s">
        <v>16</v>
      </c>
      <c r="F574" s="6" t="s">
        <v>712</v>
      </c>
      <c r="G574" s="4">
        <v>29614</v>
      </c>
      <c r="H574" s="6" t="s">
        <v>126</v>
      </c>
      <c r="I574">
        <v>193</v>
      </c>
      <c r="J574">
        <v>3</v>
      </c>
      <c r="K574">
        <v>581</v>
      </c>
      <c r="L574" s="6" t="s">
        <v>19</v>
      </c>
      <c r="M574" s="6" t="s">
        <v>47</v>
      </c>
      <c r="N574" s="6" t="s">
        <v>74</v>
      </c>
    </row>
    <row r="575" spans="1:14" x14ac:dyDescent="0.25">
      <c r="A575" s="6" t="s">
        <v>977</v>
      </c>
      <c r="B575" s="4">
        <v>45980</v>
      </c>
      <c r="C575" s="6" t="s">
        <v>2802</v>
      </c>
      <c r="D575" s="7">
        <v>0.77587962962962964</v>
      </c>
      <c r="E575" s="6" t="s">
        <v>16</v>
      </c>
      <c r="F575" s="6" t="s">
        <v>978</v>
      </c>
      <c r="G575" s="4">
        <v>26684</v>
      </c>
      <c r="H575" s="6" t="s">
        <v>178</v>
      </c>
      <c r="I575">
        <v>230</v>
      </c>
      <c r="J575">
        <v>3</v>
      </c>
      <c r="K575">
        <v>693</v>
      </c>
      <c r="L575" s="6" t="s">
        <v>54</v>
      </c>
      <c r="M575" s="6" t="s">
        <v>32</v>
      </c>
      <c r="N575" s="6" t="s">
        <v>74</v>
      </c>
    </row>
    <row r="576" spans="1:14" x14ac:dyDescent="0.25">
      <c r="A576" s="6" t="s">
        <v>979</v>
      </c>
      <c r="B576" s="4">
        <v>45751</v>
      </c>
      <c r="C576" s="6" t="s">
        <v>2801</v>
      </c>
      <c r="D576" s="7">
        <v>0.64438657407407407</v>
      </c>
      <c r="E576" s="6" t="s">
        <v>16</v>
      </c>
      <c r="F576" s="6" t="s">
        <v>98</v>
      </c>
      <c r="G576" s="4">
        <v>38955</v>
      </c>
      <c r="H576" s="6" t="s">
        <v>73</v>
      </c>
      <c r="I576">
        <v>38</v>
      </c>
      <c r="J576">
        <v>1</v>
      </c>
      <c r="K576">
        <v>39</v>
      </c>
      <c r="L576" s="6" t="s">
        <v>2787</v>
      </c>
      <c r="M576" s="6" t="s">
        <v>55</v>
      </c>
      <c r="N576" s="6" t="s">
        <v>21</v>
      </c>
    </row>
    <row r="577" spans="1:14" x14ac:dyDescent="0.25">
      <c r="A577" s="6" t="s">
        <v>980</v>
      </c>
      <c r="B577" s="4">
        <v>45820</v>
      </c>
      <c r="C577" s="6" t="s">
        <v>2800</v>
      </c>
      <c r="D577" s="7">
        <v>0.58263888888888893</v>
      </c>
      <c r="E577" s="6" t="s">
        <v>16</v>
      </c>
      <c r="F577" s="6" t="s">
        <v>131</v>
      </c>
      <c r="G577" s="4">
        <v>29655</v>
      </c>
      <c r="H577" s="6" t="s">
        <v>126</v>
      </c>
      <c r="I577">
        <v>181</v>
      </c>
      <c r="J577">
        <v>1</v>
      </c>
      <c r="K577">
        <v>182</v>
      </c>
      <c r="L577" s="6" t="s">
        <v>2787</v>
      </c>
      <c r="M577" s="6" t="s">
        <v>20</v>
      </c>
      <c r="N577" s="6" t="s">
        <v>105</v>
      </c>
    </row>
    <row r="578" spans="1:14" x14ac:dyDescent="0.25">
      <c r="A578" s="6" t="s">
        <v>981</v>
      </c>
      <c r="B578" s="4">
        <v>45620</v>
      </c>
      <c r="C578" s="6" t="s">
        <v>2802</v>
      </c>
      <c r="D578" s="7">
        <v>0.47916666666666669</v>
      </c>
      <c r="E578" s="6" t="s">
        <v>16</v>
      </c>
      <c r="F578" s="6" t="s">
        <v>267</v>
      </c>
      <c r="G578" s="4">
        <v>28608</v>
      </c>
      <c r="H578" s="6" t="s">
        <v>213</v>
      </c>
      <c r="I578">
        <v>190</v>
      </c>
      <c r="J578">
        <v>1</v>
      </c>
      <c r="K578">
        <v>191</v>
      </c>
      <c r="L578" s="6" t="s">
        <v>2787</v>
      </c>
      <c r="M578" s="6" t="s">
        <v>47</v>
      </c>
      <c r="N578" s="6" t="s">
        <v>105</v>
      </c>
    </row>
    <row r="579" spans="1:14" x14ac:dyDescent="0.25">
      <c r="A579" s="6" t="s">
        <v>982</v>
      </c>
      <c r="B579" s="4">
        <v>45792</v>
      </c>
      <c r="C579" s="6" t="s">
        <v>2792</v>
      </c>
      <c r="D579" s="7">
        <v>0.90122685185185181</v>
      </c>
      <c r="E579" s="6" t="s">
        <v>16</v>
      </c>
      <c r="F579" s="6" t="s">
        <v>140</v>
      </c>
      <c r="G579" s="4">
        <v>40249</v>
      </c>
      <c r="H579" s="6" t="s">
        <v>145</v>
      </c>
      <c r="I579">
        <v>334</v>
      </c>
      <c r="J579">
        <v>2</v>
      </c>
      <c r="K579">
        <v>670</v>
      </c>
      <c r="L579" s="6" t="s">
        <v>2787</v>
      </c>
      <c r="M579" s="6" t="s">
        <v>32</v>
      </c>
      <c r="N579" s="6" t="s">
        <v>27</v>
      </c>
    </row>
    <row r="580" spans="1:14" x14ac:dyDescent="0.25">
      <c r="A580" s="6" t="s">
        <v>983</v>
      </c>
      <c r="B580" s="4">
        <v>45717</v>
      </c>
      <c r="C580" s="6" t="s">
        <v>2798</v>
      </c>
      <c r="D580" s="7">
        <v>0.46388888888888891</v>
      </c>
      <c r="E580" s="6" t="s">
        <v>16</v>
      </c>
      <c r="F580" s="6" t="s">
        <v>101</v>
      </c>
      <c r="G580" s="4">
        <v>37215</v>
      </c>
      <c r="H580" s="6" t="s">
        <v>85</v>
      </c>
      <c r="I580">
        <v>245</v>
      </c>
      <c r="J580">
        <v>3</v>
      </c>
      <c r="K580">
        <v>735</v>
      </c>
      <c r="L580" s="6" t="s">
        <v>19</v>
      </c>
      <c r="M580" s="6" t="s">
        <v>61</v>
      </c>
      <c r="N580" s="6" t="s">
        <v>56</v>
      </c>
    </row>
    <row r="581" spans="1:14" x14ac:dyDescent="0.25">
      <c r="A581" s="6" t="s">
        <v>984</v>
      </c>
      <c r="B581" s="4">
        <v>45717</v>
      </c>
      <c r="C581" s="6" t="s">
        <v>2798</v>
      </c>
      <c r="D581" s="7">
        <v>0.75208333333333333</v>
      </c>
      <c r="E581" s="6" t="s">
        <v>16</v>
      </c>
      <c r="F581" s="6" t="s">
        <v>227</v>
      </c>
      <c r="G581" s="4">
        <v>31586</v>
      </c>
      <c r="H581" s="6" t="s">
        <v>129</v>
      </c>
      <c r="I581">
        <v>201</v>
      </c>
      <c r="J581">
        <v>1</v>
      </c>
      <c r="K581">
        <v>241</v>
      </c>
      <c r="L581" s="6" t="s">
        <v>19</v>
      </c>
      <c r="M581" s="6" t="s">
        <v>26</v>
      </c>
      <c r="N581" s="6" t="s">
        <v>74</v>
      </c>
    </row>
    <row r="582" spans="1:14" x14ac:dyDescent="0.25">
      <c r="A582" s="6" t="s">
        <v>985</v>
      </c>
      <c r="B582" s="4">
        <v>45842</v>
      </c>
      <c r="C582" s="6" t="s">
        <v>2795</v>
      </c>
      <c r="D582" s="7">
        <v>0.78962962962962968</v>
      </c>
      <c r="E582" s="6" t="s">
        <v>16</v>
      </c>
      <c r="F582" s="6" t="s">
        <v>475</v>
      </c>
      <c r="G582" s="4">
        <v>34098</v>
      </c>
      <c r="H582" s="6" t="s">
        <v>126</v>
      </c>
      <c r="I582">
        <v>238</v>
      </c>
      <c r="J582">
        <v>2</v>
      </c>
      <c r="K582">
        <v>478</v>
      </c>
      <c r="L582" s="6" t="s">
        <v>41</v>
      </c>
      <c r="M582" s="6" t="s">
        <v>61</v>
      </c>
      <c r="N582" s="6" t="s">
        <v>74</v>
      </c>
    </row>
    <row r="583" spans="1:14" x14ac:dyDescent="0.25">
      <c r="A583" s="6" t="s">
        <v>986</v>
      </c>
      <c r="B583" s="4">
        <v>45879</v>
      </c>
      <c r="C583" s="6" t="s">
        <v>2793</v>
      </c>
      <c r="D583" s="7">
        <v>0.94374999999999998</v>
      </c>
      <c r="E583" s="6" t="s">
        <v>16</v>
      </c>
      <c r="F583" s="6" t="s">
        <v>107</v>
      </c>
      <c r="G583" s="4">
        <v>39457</v>
      </c>
      <c r="H583" s="6" t="s">
        <v>104</v>
      </c>
      <c r="I583">
        <v>248</v>
      </c>
      <c r="J583">
        <v>3</v>
      </c>
      <c r="K583">
        <v>747</v>
      </c>
      <c r="L583" s="6" t="s">
        <v>2787</v>
      </c>
      <c r="M583" s="6" t="s">
        <v>37</v>
      </c>
      <c r="N583" s="6" t="s">
        <v>48</v>
      </c>
    </row>
    <row r="584" spans="1:14" x14ac:dyDescent="0.25">
      <c r="A584" s="6" t="s">
        <v>988</v>
      </c>
      <c r="B584" s="4">
        <v>45684</v>
      </c>
      <c r="C584" s="6" t="s">
        <v>2794</v>
      </c>
      <c r="D584" s="7">
        <v>0.81111111111111112</v>
      </c>
      <c r="E584" s="6" t="s">
        <v>16</v>
      </c>
      <c r="F584" s="6" t="s">
        <v>628</v>
      </c>
      <c r="G584" s="4">
        <v>28451</v>
      </c>
      <c r="H584" s="6" t="s">
        <v>178</v>
      </c>
      <c r="I584">
        <v>289</v>
      </c>
      <c r="J584">
        <v>1</v>
      </c>
      <c r="K584">
        <v>269</v>
      </c>
      <c r="L584" s="6" t="s">
        <v>54</v>
      </c>
      <c r="M584" s="6" t="s">
        <v>55</v>
      </c>
      <c r="N584" s="6" t="s">
        <v>21</v>
      </c>
    </row>
    <row r="585" spans="1:14" x14ac:dyDescent="0.25">
      <c r="A585" s="6" t="s">
        <v>989</v>
      </c>
      <c r="B585" s="4">
        <v>45971</v>
      </c>
      <c r="C585" s="6" t="s">
        <v>2802</v>
      </c>
      <c r="D585" s="7">
        <v>0.68333333333333335</v>
      </c>
      <c r="E585" s="6" t="s">
        <v>16</v>
      </c>
      <c r="F585" s="6" t="s">
        <v>512</v>
      </c>
      <c r="G585" s="4">
        <v>38672</v>
      </c>
      <c r="H585" s="6" t="s">
        <v>40</v>
      </c>
      <c r="I585">
        <v>185</v>
      </c>
      <c r="J585">
        <v>1</v>
      </c>
      <c r="K585">
        <v>186</v>
      </c>
      <c r="L585" s="6" t="s">
        <v>54</v>
      </c>
      <c r="M585" s="6" t="s">
        <v>61</v>
      </c>
      <c r="N585" s="6" t="s">
        <v>48</v>
      </c>
    </row>
    <row r="586" spans="1:14" x14ac:dyDescent="0.25">
      <c r="A586" s="6" t="s">
        <v>991</v>
      </c>
      <c r="B586" s="4">
        <v>45832</v>
      </c>
      <c r="C586" s="6" t="s">
        <v>2800</v>
      </c>
      <c r="D586" s="7">
        <v>0.55577546296296299</v>
      </c>
      <c r="E586" s="6" t="s">
        <v>16</v>
      </c>
      <c r="F586" s="6" t="s">
        <v>332</v>
      </c>
      <c r="G586" s="4">
        <v>26305</v>
      </c>
      <c r="H586" s="6" t="s">
        <v>199</v>
      </c>
      <c r="I586">
        <v>195</v>
      </c>
      <c r="J586">
        <v>1</v>
      </c>
      <c r="K586">
        <v>195</v>
      </c>
      <c r="L586" s="6" t="s">
        <v>41</v>
      </c>
      <c r="M586" s="6" t="s">
        <v>20</v>
      </c>
      <c r="N586" s="6" t="s">
        <v>74</v>
      </c>
    </row>
    <row r="587" spans="1:14" x14ac:dyDescent="0.25">
      <c r="A587" s="6" t="s">
        <v>992</v>
      </c>
      <c r="B587" s="4">
        <v>45754</v>
      </c>
      <c r="C587" s="6" t="s">
        <v>2801</v>
      </c>
      <c r="D587" s="7">
        <v>0.85136574074074078</v>
      </c>
      <c r="E587" s="6" t="s">
        <v>16</v>
      </c>
      <c r="F587" s="6" t="s">
        <v>528</v>
      </c>
      <c r="G587" s="4">
        <v>30803</v>
      </c>
      <c r="H587" s="6" t="s">
        <v>85</v>
      </c>
      <c r="I587">
        <v>136</v>
      </c>
      <c r="J587">
        <v>2</v>
      </c>
      <c r="K587">
        <v>272</v>
      </c>
      <c r="L587" s="6" t="s">
        <v>41</v>
      </c>
      <c r="M587" s="6" t="s">
        <v>20</v>
      </c>
      <c r="N587" s="6" t="s">
        <v>74</v>
      </c>
    </row>
    <row r="588" spans="1:14" x14ac:dyDescent="0.25">
      <c r="A588" s="6" t="s">
        <v>993</v>
      </c>
      <c r="B588" s="4">
        <v>45907</v>
      </c>
      <c r="C588" s="6" t="s">
        <v>2797</v>
      </c>
      <c r="D588" s="7">
        <v>0.51710648148148153</v>
      </c>
      <c r="E588" s="6" t="s">
        <v>16</v>
      </c>
      <c r="F588" s="6" t="s">
        <v>512</v>
      </c>
      <c r="G588" s="4">
        <v>38616</v>
      </c>
      <c r="H588" s="6" t="s">
        <v>213</v>
      </c>
      <c r="I588">
        <v>112</v>
      </c>
      <c r="J588">
        <v>2</v>
      </c>
      <c r="K588">
        <v>225</v>
      </c>
      <c r="L588" s="6" t="s">
        <v>41</v>
      </c>
      <c r="M588" s="6" t="s">
        <v>20</v>
      </c>
      <c r="N588" s="6" t="s">
        <v>105</v>
      </c>
    </row>
    <row r="589" spans="1:14" x14ac:dyDescent="0.25">
      <c r="A589" s="6" t="s">
        <v>996</v>
      </c>
      <c r="B589" s="4">
        <v>45971</v>
      </c>
      <c r="C589" s="6" t="s">
        <v>2802</v>
      </c>
      <c r="D589" s="7">
        <v>0.42023148148148148</v>
      </c>
      <c r="E589" s="6" t="s">
        <v>16</v>
      </c>
      <c r="F589" s="6" t="s">
        <v>151</v>
      </c>
      <c r="G589" s="4">
        <v>33584</v>
      </c>
      <c r="H589" s="6" t="s">
        <v>164</v>
      </c>
      <c r="I589">
        <v>305</v>
      </c>
      <c r="J589">
        <v>2</v>
      </c>
      <c r="K589">
        <v>612</v>
      </c>
      <c r="L589" s="6" t="s">
        <v>41</v>
      </c>
      <c r="M589" s="6" t="s">
        <v>32</v>
      </c>
      <c r="N589" s="6" t="s">
        <v>56</v>
      </c>
    </row>
    <row r="590" spans="1:14" x14ac:dyDescent="0.25">
      <c r="A590" s="6" t="s">
        <v>998</v>
      </c>
      <c r="B590" s="4">
        <v>45878</v>
      </c>
      <c r="C590" s="6" t="s">
        <v>2793</v>
      </c>
      <c r="D590" s="7">
        <v>0.73019675925925931</v>
      </c>
      <c r="E590" s="6" t="s">
        <v>16</v>
      </c>
      <c r="F590" s="6" t="s">
        <v>295</v>
      </c>
      <c r="G590" s="4">
        <v>32344</v>
      </c>
      <c r="H590" s="6" t="s">
        <v>110</v>
      </c>
      <c r="I590">
        <v>94</v>
      </c>
      <c r="J590">
        <v>2</v>
      </c>
      <c r="K590">
        <v>189</v>
      </c>
      <c r="L590" s="6" t="s">
        <v>41</v>
      </c>
      <c r="M590" s="6" t="s">
        <v>55</v>
      </c>
      <c r="N590" s="6" t="s">
        <v>48</v>
      </c>
    </row>
    <row r="591" spans="1:14" x14ac:dyDescent="0.25">
      <c r="A591" s="6" t="s">
        <v>999</v>
      </c>
      <c r="B591" s="4">
        <v>45804</v>
      </c>
      <c r="C591" s="6" t="s">
        <v>2792</v>
      </c>
      <c r="D591" s="7">
        <v>0.49484953703703705</v>
      </c>
      <c r="E591" s="6" t="s">
        <v>16</v>
      </c>
      <c r="F591" s="6" t="s">
        <v>225</v>
      </c>
      <c r="G591" s="4">
        <v>26464</v>
      </c>
      <c r="H591" s="6" t="s">
        <v>116</v>
      </c>
      <c r="I591">
        <v>36</v>
      </c>
      <c r="J591">
        <v>2</v>
      </c>
      <c r="K591">
        <v>72</v>
      </c>
      <c r="L591" s="6" t="s">
        <v>41</v>
      </c>
      <c r="M591" s="6" t="s">
        <v>37</v>
      </c>
      <c r="N591" s="6" t="s">
        <v>33</v>
      </c>
    </row>
    <row r="592" spans="1:14" x14ac:dyDescent="0.25">
      <c r="A592" s="6" t="s">
        <v>1000</v>
      </c>
      <c r="B592" s="4">
        <v>45686</v>
      </c>
      <c r="C592" s="6" t="s">
        <v>2794</v>
      </c>
      <c r="D592" s="7">
        <v>0.52222222222222225</v>
      </c>
      <c r="E592" s="6" t="s">
        <v>16</v>
      </c>
      <c r="F592" s="6" t="s">
        <v>332</v>
      </c>
      <c r="G592" s="4">
        <v>31779</v>
      </c>
      <c r="H592" s="6" t="s">
        <v>178</v>
      </c>
      <c r="I592">
        <v>311</v>
      </c>
      <c r="J592">
        <v>2</v>
      </c>
      <c r="K592">
        <v>580</v>
      </c>
      <c r="L592" s="6" t="s">
        <v>19</v>
      </c>
      <c r="M592" s="6" t="s">
        <v>55</v>
      </c>
      <c r="N592" s="6" t="s">
        <v>21</v>
      </c>
    </row>
    <row r="593" spans="1:14" x14ac:dyDescent="0.25">
      <c r="A593" s="6" t="s">
        <v>1001</v>
      </c>
      <c r="B593" s="4">
        <v>45676</v>
      </c>
      <c r="C593" s="6" t="s">
        <v>2794</v>
      </c>
      <c r="D593" s="7">
        <v>0.79993055555555559</v>
      </c>
      <c r="E593" s="6" t="s">
        <v>16</v>
      </c>
      <c r="F593" s="6" t="s">
        <v>246</v>
      </c>
      <c r="G593" s="4">
        <v>26645</v>
      </c>
      <c r="H593" s="6" t="s">
        <v>30</v>
      </c>
      <c r="I593">
        <v>212</v>
      </c>
      <c r="J593">
        <v>1</v>
      </c>
      <c r="K593">
        <v>100</v>
      </c>
      <c r="L593" s="6" t="s">
        <v>19</v>
      </c>
      <c r="M593" s="6" t="s">
        <v>89</v>
      </c>
      <c r="N593" s="6" t="s">
        <v>21</v>
      </c>
    </row>
    <row r="594" spans="1:14" x14ac:dyDescent="0.25">
      <c r="A594" s="6" t="s">
        <v>1002</v>
      </c>
      <c r="B594" s="4">
        <v>45981</v>
      </c>
      <c r="C594" s="6" t="s">
        <v>2802</v>
      </c>
      <c r="D594" s="7">
        <v>0.57708333333333328</v>
      </c>
      <c r="E594" s="6" t="s">
        <v>16</v>
      </c>
      <c r="F594" s="6" t="s">
        <v>138</v>
      </c>
      <c r="G594" s="4">
        <v>38835</v>
      </c>
      <c r="H594" s="6" t="s">
        <v>85</v>
      </c>
      <c r="I594">
        <v>232</v>
      </c>
      <c r="J594">
        <v>2</v>
      </c>
      <c r="K594">
        <v>465</v>
      </c>
      <c r="L594" s="6" t="s">
        <v>19</v>
      </c>
      <c r="M594" s="6" t="s">
        <v>55</v>
      </c>
      <c r="N594" s="6" t="s">
        <v>48</v>
      </c>
    </row>
    <row r="595" spans="1:14" x14ac:dyDescent="0.25">
      <c r="A595" s="6" t="s">
        <v>1003</v>
      </c>
      <c r="B595" s="4">
        <v>45787</v>
      </c>
      <c r="C595" s="6" t="s">
        <v>2792</v>
      </c>
      <c r="D595" s="7">
        <v>0.94097222222222221</v>
      </c>
      <c r="E595" s="6" t="s">
        <v>16</v>
      </c>
      <c r="F595" s="6" t="s">
        <v>95</v>
      </c>
      <c r="G595" s="4">
        <v>32259</v>
      </c>
      <c r="H595" s="6" t="s">
        <v>129</v>
      </c>
      <c r="I595">
        <v>213</v>
      </c>
      <c r="J595">
        <v>2</v>
      </c>
      <c r="K595">
        <v>427</v>
      </c>
      <c r="L595" s="6" t="s">
        <v>67</v>
      </c>
      <c r="M595" s="6" t="s">
        <v>89</v>
      </c>
      <c r="N595" s="6" t="s">
        <v>48</v>
      </c>
    </row>
    <row r="596" spans="1:14" x14ac:dyDescent="0.25">
      <c r="A596" s="6" t="s">
        <v>1004</v>
      </c>
      <c r="B596" s="4">
        <v>45894</v>
      </c>
      <c r="C596" s="6" t="s">
        <v>2793</v>
      </c>
      <c r="D596" s="7">
        <v>0.51388888888888884</v>
      </c>
      <c r="E596" s="6" t="s">
        <v>16</v>
      </c>
      <c r="F596" s="6" t="s">
        <v>232</v>
      </c>
      <c r="G596" s="4">
        <v>26826</v>
      </c>
      <c r="H596" s="6" t="s">
        <v>40</v>
      </c>
      <c r="I596">
        <v>191</v>
      </c>
      <c r="J596">
        <v>1</v>
      </c>
      <c r="K596">
        <v>191</v>
      </c>
      <c r="L596" s="6" t="s">
        <v>19</v>
      </c>
      <c r="M596" s="6" t="s">
        <v>32</v>
      </c>
      <c r="N596" s="6" t="s">
        <v>21</v>
      </c>
    </row>
    <row r="597" spans="1:14" x14ac:dyDescent="0.25">
      <c r="A597" s="6" t="s">
        <v>1005</v>
      </c>
      <c r="B597" s="4">
        <v>45638</v>
      </c>
      <c r="C597" s="6" t="s">
        <v>2796</v>
      </c>
      <c r="D597" s="7">
        <v>0.87569444444444444</v>
      </c>
      <c r="E597" s="6" t="s">
        <v>16</v>
      </c>
      <c r="F597" s="6" t="s">
        <v>52</v>
      </c>
      <c r="G597" s="4">
        <v>27997</v>
      </c>
      <c r="H597" s="6" t="s">
        <v>129</v>
      </c>
      <c r="I597">
        <v>208</v>
      </c>
      <c r="J597">
        <v>2</v>
      </c>
      <c r="K597">
        <v>417</v>
      </c>
      <c r="L597" s="6" t="s">
        <v>67</v>
      </c>
      <c r="M597" s="6" t="s">
        <v>32</v>
      </c>
      <c r="N597" s="6" t="s">
        <v>48</v>
      </c>
    </row>
    <row r="598" spans="1:14" x14ac:dyDescent="0.25">
      <c r="A598" s="6" t="s">
        <v>1006</v>
      </c>
      <c r="B598" s="4">
        <v>45974</v>
      </c>
      <c r="C598" s="6" t="s">
        <v>2802</v>
      </c>
      <c r="D598" s="7">
        <v>0.45624999999999999</v>
      </c>
      <c r="E598" s="6" t="s">
        <v>16</v>
      </c>
      <c r="F598" s="6" t="s">
        <v>35</v>
      </c>
      <c r="G598" s="4">
        <v>27997</v>
      </c>
      <c r="H598" s="6" t="s">
        <v>73</v>
      </c>
      <c r="I598">
        <v>51</v>
      </c>
      <c r="J598">
        <v>2</v>
      </c>
      <c r="K598">
        <v>102</v>
      </c>
      <c r="L598" s="6" t="s">
        <v>2787</v>
      </c>
      <c r="M598" s="6" t="s">
        <v>61</v>
      </c>
      <c r="N598" s="6" t="s">
        <v>56</v>
      </c>
    </row>
    <row r="599" spans="1:14" x14ac:dyDescent="0.25">
      <c r="A599" s="6" t="s">
        <v>1007</v>
      </c>
      <c r="B599" s="4">
        <v>45633</v>
      </c>
      <c r="C599" s="6" t="s">
        <v>2796</v>
      </c>
      <c r="D599" s="7">
        <v>0.97993055555555553</v>
      </c>
      <c r="E599" s="6" t="s">
        <v>16</v>
      </c>
      <c r="F599" s="6" t="s">
        <v>44</v>
      </c>
      <c r="G599" s="4">
        <v>27997</v>
      </c>
      <c r="H599" s="6" t="s">
        <v>18</v>
      </c>
      <c r="I599">
        <v>98</v>
      </c>
      <c r="J599">
        <v>2</v>
      </c>
      <c r="L599" s="6" t="s">
        <v>19</v>
      </c>
      <c r="M599" s="6" t="s">
        <v>55</v>
      </c>
      <c r="N599" s="6" t="s">
        <v>48</v>
      </c>
    </row>
    <row r="600" spans="1:14" x14ac:dyDescent="0.25">
      <c r="A600" s="6" t="s">
        <v>1009</v>
      </c>
      <c r="B600" s="4">
        <v>45795</v>
      </c>
      <c r="C600" s="6" t="s">
        <v>2792</v>
      </c>
      <c r="D600" s="7">
        <v>0.56041666666666667</v>
      </c>
      <c r="E600" s="6" t="s">
        <v>16</v>
      </c>
      <c r="F600" s="6" t="s">
        <v>1010</v>
      </c>
      <c r="G600" s="4">
        <v>40455</v>
      </c>
      <c r="H600" s="6" t="s">
        <v>45</v>
      </c>
      <c r="I600">
        <v>268</v>
      </c>
      <c r="J600">
        <v>1</v>
      </c>
      <c r="K600">
        <v>280</v>
      </c>
      <c r="L600" s="6" t="s">
        <v>54</v>
      </c>
      <c r="M600" s="6" t="s">
        <v>55</v>
      </c>
      <c r="N600" s="6" t="s">
        <v>74</v>
      </c>
    </row>
    <row r="601" spans="1:14" x14ac:dyDescent="0.25">
      <c r="A601" s="6" t="s">
        <v>1011</v>
      </c>
      <c r="B601" s="4">
        <v>45909</v>
      </c>
      <c r="C601" s="6" t="s">
        <v>2797</v>
      </c>
      <c r="D601" s="7">
        <v>0.48194444444444445</v>
      </c>
      <c r="E601" s="6" t="s">
        <v>16</v>
      </c>
      <c r="F601" s="6" t="s">
        <v>98</v>
      </c>
      <c r="G601" s="4">
        <v>31276</v>
      </c>
      <c r="H601" s="6" t="s">
        <v>60</v>
      </c>
      <c r="I601">
        <v>41</v>
      </c>
      <c r="J601">
        <v>1</v>
      </c>
      <c r="K601">
        <v>100</v>
      </c>
      <c r="L601" s="6" t="s">
        <v>41</v>
      </c>
      <c r="M601" s="6" t="s">
        <v>32</v>
      </c>
      <c r="N601" s="6" t="s">
        <v>56</v>
      </c>
    </row>
    <row r="602" spans="1:14" x14ac:dyDescent="0.25">
      <c r="A602" s="6" t="s">
        <v>1012</v>
      </c>
      <c r="B602" s="4">
        <v>45621</v>
      </c>
      <c r="C602" s="6" t="s">
        <v>2802</v>
      </c>
      <c r="D602" s="7">
        <v>0.95837962962962964</v>
      </c>
      <c r="E602" s="6" t="s">
        <v>16</v>
      </c>
      <c r="F602" s="6" t="s">
        <v>84</v>
      </c>
      <c r="G602" s="4">
        <v>34768</v>
      </c>
      <c r="H602" s="6" t="s">
        <v>36</v>
      </c>
      <c r="I602">
        <v>150</v>
      </c>
      <c r="J602">
        <v>1</v>
      </c>
      <c r="K602">
        <v>150</v>
      </c>
      <c r="L602" s="6" t="s">
        <v>41</v>
      </c>
      <c r="M602" s="6" t="s">
        <v>55</v>
      </c>
      <c r="N602" s="6" t="s">
        <v>56</v>
      </c>
    </row>
    <row r="603" spans="1:14" x14ac:dyDescent="0.25">
      <c r="A603" s="6" t="s">
        <v>1013</v>
      </c>
      <c r="B603" s="4">
        <v>45621</v>
      </c>
      <c r="C603" s="6" t="s">
        <v>2802</v>
      </c>
      <c r="D603" s="7">
        <v>0.94068287037037035</v>
      </c>
      <c r="E603" s="6" t="s">
        <v>16</v>
      </c>
      <c r="F603" s="6" t="s">
        <v>548</v>
      </c>
      <c r="G603" s="4">
        <v>28169</v>
      </c>
      <c r="H603" s="6" t="s">
        <v>36</v>
      </c>
      <c r="I603">
        <v>344</v>
      </c>
      <c r="J603">
        <v>2</v>
      </c>
      <c r="K603">
        <v>689</v>
      </c>
      <c r="L603" s="6" t="s">
        <v>41</v>
      </c>
      <c r="M603" s="6" t="s">
        <v>26</v>
      </c>
      <c r="N603" s="6" t="s">
        <v>27</v>
      </c>
    </row>
    <row r="604" spans="1:14" x14ac:dyDescent="0.25">
      <c r="A604" s="6" t="s">
        <v>1014</v>
      </c>
      <c r="B604" s="4">
        <v>45920</v>
      </c>
      <c r="C604" s="6" t="s">
        <v>2797</v>
      </c>
      <c r="D604" s="7">
        <v>0.59027777777777779</v>
      </c>
      <c r="E604" s="6" t="s">
        <v>16</v>
      </c>
      <c r="F604" s="6" t="s">
        <v>628</v>
      </c>
      <c r="G604" s="4">
        <v>29609</v>
      </c>
      <c r="H604" s="6" t="s">
        <v>243</v>
      </c>
      <c r="I604">
        <v>161</v>
      </c>
      <c r="J604">
        <v>1</v>
      </c>
      <c r="K604">
        <v>161</v>
      </c>
      <c r="L604" s="6" t="s">
        <v>41</v>
      </c>
      <c r="M604" s="6" t="s">
        <v>47</v>
      </c>
      <c r="N604" s="6" t="s">
        <v>74</v>
      </c>
    </row>
    <row r="605" spans="1:14" x14ac:dyDescent="0.25">
      <c r="A605" s="6" t="s">
        <v>1015</v>
      </c>
      <c r="B605" s="4">
        <v>45975</v>
      </c>
      <c r="C605" s="6" t="s">
        <v>2802</v>
      </c>
      <c r="D605" s="7">
        <v>0.86805555555555558</v>
      </c>
      <c r="E605" s="6" t="s">
        <v>16</v>
      </c>
      <c r="F605" s="6" t="s">
        <v>1016</v>
      </c>
      <c r="G605" s="4">
        <v>33584</v>
      </c>
      <c r="H605" s="6" t="s">
        <v>40</v>
      </c>
      <c r="I605">
        <v>201</v>
      </c>
      <c r="J605">
        <v>1</v>
      </c>
      <c r="K605">
        <v>201</v>
      </c>
      <c r="L605" s="6" t="s">
        <v>41</v>
      </c>
      <c r="M605" s="6" t="s">
        <v>61</v>
      </c>
      <c r="N605" s="6" t="s">
        <v>27</v>
      </c>
    </row>
    <row r="606" spans="1:14" x14ac:dyDescent="0.25">
      <c r="A606" s="6" t="s">
        <v>1017</v>
      </c>
      <c r="B606" s="4">
        <v>45977</v>
      </c>
      <c r="C606" s="6" t="s">
        <v>2802</v>
      </c>
      <c r="D606" s="7">
        <v>0.7729166666666667</v>
      </c>
      <c r="E606" s="6" t="s">
        <v>16</v>
      </c>
      <c r="F606" s="6" t="s">
        <v>776</v>
      </c>
      <c r="G606" s="4">
        <v>39541</v>
      </c>
      <c r="H606" s="6" t="s">
        <v>178</v>
      </c>
      <c r="I606">
        <v>325</v>
      </c>
      <c r="J606">
        <v>1</v>
      </c>
      <c r="K606">
        <v>325</v>
      </c>
      <c r="L606" s="6" t="s">
        <v>54</v>
      </c>
      <c r="M606" s="6" t="s">
        <v>55</v>
      </c>
      <c r="N606" s="6" t="s">
        <v>27</v>
      </c>
    </row>
    <row r="607" spans="1:14" x14ac:dyDescent="0.25">
      <c r="A607" s="6" t="s">
        <v>1018</v>
      </c>
      <c r="B607" s="4">
        <v>45899</v>
      </c>
      <c r="C607" s="6" t="s">
        <v>2793</v>
      </c>
      <c r="D607" s="7">
        <v>0.75555555555555554</v>
      </c>
      <c r="E607" s="6" t="s">
        <v>16</v>
      </c>
      <c r="F607" s="6" t="s">
        <v>1019</v>
      </c>
      <c r="G607" s="4">
        <v>31998</v>
      </c>
      <c r="H607" s="6" t="s">
        <v>164</v>
      </c>
      <c r="I607">
        <v>288</v>
      </c>
      <c r="J607">
        <v>1</v>
      </c>
      <c r="K607">
        <v>100</v>
      </c>
      <c r="L607" s="6" t="s">
        <v>54</v>
      </c>
      <c r="M607" s="6" t="s">
        <v>37</v>
      </c>
      <c r="N607" s="6" t="s">
        <v>105</v>
      </c>
    </row>
    <row r="608" spans="1:14" x14ac:dyDescent="0.25">
      <c r="A608" s="6" t="s">
        <v>1020</v>
      </c>
      <c r="B608" s="4">
        <v>45941</v>
      </c>
      <c r="C608" s="6" t="s">
        <v>2791</v>
      </c>
      <c r="D608" s="7">
        <v>0.62430555555555556</v>
      </c>
      <c r="E608" s="6" t="s">
        <v>16</v>
      </c>
      <c r="F608" s="6" t="s">
        <v>492</v>
      </c>
      <c r="G608" s="4">
        <v>36019</v>
      </c>
      <c r="H608" s="6" t="s">
        <v>24</v>
      </c>
      <c r="I608">
        <v>283</v>
      </c>
      <c r="J608">
        <v>1</v>
      </c>
      <c r="K608">
        <v>283</v>
      </c>
      <c r="L608" s="6" t="s">
        <v>19</v>
      </c>
      <c r="M608" s="6" t="s">
        <v>47</v>
      </c>
      <c r="N608" s="6" t="s">
        <v>105</v>
      </c>
    </row>
    <row r="609" spans="1:14" x14ac:dyDescent="0.25">
      <c r="A609" s="6" t="s">
        <v>1021</v>
      </c>
      <c r="B609" s="4">
        <v>45850</v>
      </c>
      <c r="C609" s="6" t="s">
        <v>2795</v>
      </c>
      <c r="D609" s="7">
        <v>0.79583333333333328</v>
      </c>
      <c r="E609" s="6" t="s">
        <v>16</v>
      </c>
      <c r="F609" s="6" t="s">
        <v>39</v>
      </c>
      <c r="G609" s="4">
        <v>29497</v>
      </c>
      <c r="H609" s="6" t="s">
        <v>141</v>
      </c>
      <c r="I609">
        <v>130</v>
      </c>
      <c r="J609">
        <v>1</v>
      </c>
      <c r="K609">
        <v>131</v>
      </c>
      <c r="L609" s="6" t="s">
        <v>2787</v>
      </c>
      <c r="M609" s="6" t="s">
        <v>26</v>
      </c>
      <c r="N609" s="6" t="s">
        <v>74</v>
      </c>
    </row>
    <row r="610" spans="1:14" x14ac:dyDescent="0.25">
      <c r="A610" s="6" t="s">
        <v>1023</v>
      </c>
      <c r="B610" s="4">
        <v>45817</v>
      </c>
      <c r="C610" s="6" t="s">
        <v>2800</v>
      </c>
      <c r="D610" s="7">
        <v>0.95486111111111116</v>
      </c>
      <c r="E610" s="6" t="s">
        <v>16</v>
      </c>
      <c r="F610" s="6" t="s">
        <v>1024</v>
      </c>
      <c r="G610" s="4">
        <v>34954</v>
      </c>
      <c r="H610" s="6" t="s">
        <v>53</v>
      </c>
      <c r="I610">
        <v>91</v>
      </c>
      <c r="J610">
        <v>3</v>
      </c>
      <c r="K610">
        <v>275</v>
      </c>
      <c r="L610" s="6" t="s">
        <v>2787</v>
      </c>
      <c r="M610" s="6" t="s">
        <v>89</v>
      </c>
      <c r="N610" s="6" t="s">
        <v>105</v>
      </c>
    </row>
    <row r="611" spans="1:14" x14ac:dyDescent="0.25">
      <c r="A611" s="6" t="s">
        <v>1025</v>
      </c>
      <c r="B611" s="4">
        <v>45842</v>
      </c>
      <c r="C611" s="6" t="s">
        <v>2795</v>
      </c>
      <c r="D611" s="7">
        <v>0.57152777777777775</v>
      </c>
      <c r="E611" s="6" t="s">
        <v>16</v>
      </c>
      <c r="F611" s="6" t="s">
        <v>628</v>
      </c>
      <c r="G611" s="4">
        <v>32832</v>
      </c>
      <c r="H611" s="6" t="s">
        <v>73</v>
      </c>
      <c r="I611">
        <v>53</v>
      </c>
      <c r="J611">
        <v>2</v>
      </c>
      <c r="K611">
        <v>107</v>
      </c>
      <c r="L611" s="6" t="s">
        <v>19</v>
      </c>
      <c r="M611" s="6" t="s">
        <v>89</v>
      </c>
      <c r="N611" s="6" t="s">
        <v>27</v>
      </c>
    </row>
    <row r="612" spans="1:14" x14ac:dyDescent="0.25">
      <c r="A612" s="6" t="s">
        <v>1027</v>
      </c>
      <c r="B612" s="4">
        <v>45668</v>
      </c>
      <c r="C612" s="6" t="s">
        <v>2794</v>
      </c>
      <c r="D612" s="7">
        <v>0.78263888888888888</v>
      </c>
      <c r="E612" s="6" t="s">
        <v>16</v>
      </c>
      <c r="F612" s="6" t="s">
        <v>79</v>
      </c>
      <c r="G612" s="4">
        <v>35145</v>
      </c>
      <c r="H612" s="6" t="s">
        <v>110</v>
      </c>
      <c r="I612">
        <v>101</v>
      </c>
      <c r="J612">
        <v>2</v>
      </c>
      <c r="K612">
        <v>202</v>
      </c>
      <c r="L612" s="6" t="s">
        <v>19</v>
      </c>
      <c r="M612" s="6" t="s">
        <v>55</v>
      </c>
      <c r="N612" s="6" t="s">
        <v>56</v>
      </c>
    </row>
    <row r="613" spans="1:14" x14ac:dyDescent="0.25">
      <c r="A613" s="6" t="s">
        <v>1028</v>
      </c>
      <c r="B613" s="4">
        <v>45889</v>
      </c>
      <c r="C613" s="6" t="s">
        <v>2793</v>
      </c>
      <c r="D613" s="7">
        <v>0.59166666666666667</v>
      </c>
      <c r="E613" s="6" t="s">
        <v>16</v>
      </c>
      <c r="F613" s="6" t="s">
        <v>44</v>
      </c>
      <c r="G613" s="4">
        <v>35145</v>
      </c>
      <c r="H613" s="6" t="s">
        <v>259</v>
      </c>
      <c r="I613">
        <v>184</v>
      </c>
      <c r="J613">
        <v>2</v>
      </c>
      <c r="K613">
        <v>369</v>
      </c>
      <c r="L613" s="6" t="s">
        <v>2787</v>
      </c>
      <c r="M613" s="6" t="s">
        <v>32</v>
      </c>
      <c r="N613" s="6" t="s">
        <v>33</v>
      </c>
    </row>
    <row r="614" spans="1:14" x14ac:dyDescent="0.25">
      <c r="A614" s="6" t="s">
        <v>1029</v>
      </c>
      <c r="B614" s="4">
        <v>45801</v>
      </c>
      <c r="C614" s="6" t="s">
        <v>2792</v>
      </c>
      <c r="D614" s="7">
        <v>0.65034722222222219</v>
      </c>
      <c r="E614" s="6" t="s">
        <v>16</v>
      </c>
      <c r="F614" s="6" t="s">
        <v>204</v>
      </c>
      <c r="G614" s="4">
        <v>37463</v>
      </c>
      <c r="H614" s="6" t="s">
        <v>141</v>
      </c>
      <c r="I614">
        <v>130</v>
      </c>
      <c r="J614">
        <v>2</v>
      </c>
      <c r="K614">
        <v>260</v>
      </c>
      <c r="L614" s="6" t="s">
        <v>41</v>
      </c>
      <c r="M614" s="6" t="s">
        <v>20</v>
      </c>
      <c r="N614" s="6" t="s">
        <v>27</v>
      </c>
    </row>
    <row r="615" spans="1:14" x14ac:dyDescent="0.25">
      <c r="A615" s="6" t="s">
        <v>1030</v>
      </c>
      <c r="B615" s="4">
        <v>45782</v>
      </c>
      <c r="C615" s="6" t="s">
        <v>2792</v>
      </c>
      <c r="D615" s="7">
        <v>0.80862268518518521</v>
      </c>
      <c r="E615" s="6" t="s">
        <v>16</v>
      </c>
      <c r="F615" s="6" t="s">
        <v>82</v>
      </c>
      <c r="G615" s="4">
        <v>25808</v>
      </c>
      <c r="H615" s="6" t="s">
        <v>110</v>
      </c>
      <c r="I615">
        <v>99</v>
      </c>
      <c r="J615">
        <v>1</v>
      </c>
      <c r="K615">
        <v>99</v>
      </c>
      <c r="L615" s="6" t="s">
        <v>41</v>
      </c>
      <c r="M615" s="6" t="s">
        <v>26</v>
      </c>
      <c r="N615" s="6" t="s">
        <v>48</v>
      </c>
    </row>
    <row r="616" spans="1:14" x14ac:dyDescent="0.25">
      <c r="A616" s="6" t="s">
        <v>1031</v>
      </c>
      <c r="B616" s="4">
        <v>45779</v>
      </c>
      <c r="C616" s="6" t="s">
        <v>2792</v>
      </c>
      <c r="D616" s="7">
        <v>0.91045138888888888</v>
      </c>
      <c r="E616" s="6" t="s">
        <v>16</v>
      </c>
      <c r="F616" s="6" t="s">
        <v>227</v>
      </c>
      <c r="G616" s="4">
        <v>25808</v>
      </c>
      <c r="H616" s="6" t="s">
        <v>202</v>
      </c>
      <c r="I616">
        <v>202</v>
      </c>
      <c r="J616">
        <v>3</v>
      </c>
      <c r="K616">
        <v>607</v>
      </c>
      <c r="L616" s="6" t="s">
        <v>2787</v>
      </c>
      <c r="M616" s="6" t="s">
        <v>32</v>
      </c>
      <c r="N616" s="6" t="s">
        <v>27</v>
      </c>
    </row>
    <row r="617" spans="1:14" x14ac:dyDescent="0.25">
      <c r="A617" s="6" t="s">
        <v>1032</v>
      </c>
      <c r="B617" s="4">
        <v>45724</v>
      </c>
      <c r="C617" s="6" t="s">
        <v>2798</v>
      </c>
      <c r="D617" s="7">
        <v>0.91471064814814818</v>
      </c>
      <c r="E617" s="6" t="s">
        <v>16</v>
      </c>
      <c r="F617" s="6" t="s">
        <v>189</v>
      </c>
      <c r="G617" s="4">
        <v>36895</v>
      </c>
      <c r="H617" s="6" t="s">
        <v>126</v>
      </c>
      <c r="I617">
        <v>110</v>
      </c>
      <c r="J617">
        <v>2</v>
      </c>
      <c r="K617">
        <v>221</v>
      </c>
      <c r="L617" s="6" t="s">
        <v>67</v>
      </c>
      <c r="M617" s="6" t="s">
        <v>47</v>
      </c>
      <c r="N617" s="6" t="s">
        <v>27</v>
      </c>
    </row>
    <row r="618" spans="1:14" x14ac:dyDescent="0.25">
      <c r="A618" s="6" t="s">
        <v>1033</v>
      </c>
      <c r="B618" s="4">
        <v>45618</v>
      </c>
      <c r="C618" s="6" t="s">
        <v>2802</v>
      </c>
      <c r="D618" s="7">
        <v>0.86944444444444446</v>
      </c>
      <c r="E618" s="6" t="s">
        <v>16</v>
      </c>
      <c r="F618" s="6" t="s">
        <v>151</v>
      </c>
      <c r="G618" s="4">
        <v>38018</v>
      </c>
      <c r="H618" s="6" t="s">
        <v>24</v>
      </c>
      <c r="I618">
        <v>191</v>
      </c>
      <c r="J618">
        <v>1</v>
      </c>
      <c r="L618" s="6" t="s">
        <v>2787</v>
      </c>
      <c r="M618" s="6" t="s">
        <v>47</v>
      </c>
      <c r="N618" s="6" t="s">
        <v>21</v>
      </c>
    </row>
    <row r="619" spans="1:14" x14ac:dyDescent="0.25">
      <c r="A619" s="6" t="s">
        <v>1035</v>
      </c>
      <c r="B619" s="4">
        <v>45728</v>
      </c>
      <c r="C619" s="6" t="s">
        <v>2798</v>
      </c>
      <c r="D619" s="7">
        <v>0.71527777777777779</v>
      </c>
      <c r="E619" s="6" t="s">
        <v>16</v>
      </c>
      <c r="F619" s="6" t="s">
        <v>370</v>
      </c>
      <c r="G619" s="4">
        <v>38018</v>
      </c>
      <c r="H619" s="6" t="s">
        <v>202</v>
      </c>
      <c r="I619">
        <v>308</v>
      </c>
      <c r="J619">
        <v>1</v>
      </c>
      <c r="K619">
        <v>309</v>
      </c>
      <c r="L619" s="6" t="s">
        <v>41</v>
      </c>
      <c r="M619" s="6" t="s">
        <v>61</v>
      </c>
      <c r="N619" s="6" t="s">
        <v>33</v>
      </c>
    </row>
    <row r="620" spans="1:14" x14ac:dyDescent="0.25">
      <c r="A620" s="6" t="s">
        <v>1036</v>
      </c>
      <c r="B620" s="4">
        <v>45975</v>
      </c>
      <c r="C620" s="6" t="s">
        <v>2802</v>
      </c>
      <c r="D620" s="7">
        <v>0.42943287037037037</v>
      </c>
      <c r="E620" s="6" t="s">
        <v>16</v>
      </c>
      <c r="F620" s="6" t="s">
        <v>44</v>
      </c>
      <c r="G620" s="4">
        <v>30877</v>
      </c>
      <c r="H620" s="6" t="s">
        <v>45</v>
      </c>
      <c r="I620">
        <v>73</v>
      </c>
      <c r="J620">
        <v>1</v>
      </c>
      <c r="K620">
        <v>74</v>
      </c>
      <c r="L620" s="6" t="s">
        <v>41</v>
      </c>
      <c r="M620" s="6" t="s">
        <v>26</v>
      </c>
      <c r="N620" s="6" t="s">
        <v>27</v>
      </c>
    </row>
    <row r="621" spans="1:14" x14ac:dyDescent="0.25">
      <c r="A621" s="6" t="s">
        <v>1037</v>
      </c>
      <c r="B621" s="4">
        <v>45819</v>
      </c>
      <c r="C621" s="6" t="s">
        <v>2800</v>
      </c>
      <c r="D621" s="7">
        <v>0.77986111111111112</v>
      </c>
      <c r="E621" s="6" t="s">
        <v>16</v>
      </c>
      <c r="F621" s="6" t="s">
        <v>458</v>
      </c>
      <c r="G621" s="4">
        <v>40382</v>
      </c>
      <c r="H621" s="6" t="s">
        <v>129</v>
      </c>
      <c r="I621">
        <v>179</v>
      </c>
      <c r="J621">
        <v>1</v>
      </c>
      <c r="K621">
        <v>179</v>
      </c>
      <c r="L621" s="6" t="s">
        <v>54</v>
      </c>
      <c r="M621" s="6" t="s">
        <v>26</v>
      </c>
      <c r="N621" s="6" t="s">
        <v>48</v>
      </c>
    </row>
    <row r="622" spans="1:14" x14ac:dyDescent="0.25">
      <c r="A622" s="6" t="s">
        <v>1038</v>
      </c>
      <c r="B622" s="4">
        <v>45746</v>
      </c>
      <c r="C622" s="6" t="s">
        <v>2798</v>
      </c>
      <c r="D622" s="7">
        <v>0.77916666666666667</v>
      </c>
      <c r="E622" s="6" t="s">
        <v>16</v>
      </c>
      <c r="F622" s="6" t="s">
        <v>161</v>
      </c>
      <c r="G622" s="4">
        <v>40243</v>
      </c>
      <c r="H622" s="6" t="s">
        <v>30</v>
      </c>
      <c r="I622">
        <v>249</v>
      </c>
      <c r="J622">
        <v>2</v>
      </c>
      <c r="K622">
        <v>499</v>
      </c>
      <c r="L622" s="6" t="s">
        <v>19</v>
      </c>
      <c r="M622" s="6" t="s">
        <v>55</v>
      </c>
      <c r="N622" s="6" t="s">
        <v>48</v>
      </c>
    </row>
    <row r="623" spans="1:14" x14ac:dyDescent="0.25">
      <c r="A623" s="6" t="s">
        <v>1040</v>
      </c>
      <c r="B623" s="4">
        <v>45820</v>
      </c>
      <c r="C623" s="6" t="s">
        <v>2800</v>
      </c>
      <c r="D623" s="7">
        <v>0.58750000000000002</v>
      </c>
      <c r="E623" s="6" t="s">
        <v>16</v>
      </c>
      <c r="F623" s="6" t="s">
        <v>640</v>
      </c>
      <c r="G623" s="4">
        <v>38497</v>
      </c>
      <c r="H623" s="6" t="s">
        <v>18</v>
      </c>
      <c r="I623">
        <v>102</v>
      </c>
      <c r="J623">
        <v>2</v>
      </c>
      <c r="K623">
        <v>206</v>
      </c>
      <c r="L623" s="6" t="s">
        <v>19</v>
      </c>
      <c r="M623" s="6" t="s">
        <v>89</v>
      </c>
      <c r="N623" s="6" t="s">
        <v>48</v>
      </c>
    </row>
    <row r="624" spans="1:14" x14ac:dyDescent="0.25">
      <c r="A624" s="6" t="s">
        <v>1041</v>
      </c>
      <c r="B624" s="4">
        <v>45640</v>
      </c>
      <c r="C624" s="6" t="s">
        <v>2796</v>
      </c>
      <c r="D624" s="7">
        <v>0.7944444444444444</v>
      </c>
      <c r="E624" s="6" t="s">
        <v>16</v>
      </c>
      <c r="F624" s="6" t="s">
        <v>494</v>
      </c>
      <c r="G624" s="4">
        <v>31811</v>
      </c>
      <c r="H624" s="6" t="s">
        <v>60</v>
      </c>
      <c r="I624">
        <v>148</v>
      </c>
      <c r="J624">
        <v>1</v>
      </c>
      <c r="K624">
        <v>98</v>
      </c>
      <c r="L624" s="6" t="s">
        <v>54</v>
      </c>
      <c r="M624" s="6" t="s">
        <v>89</v>
      </c>
      <c r="N624" s="6" t="s">
        <v>27</v>
      </c>
    </row>
    <row r="625" spans="1:14" x14ac:dyDescent="0.25">
      <c r="A625" s="6" t="s">
        <v>1042</v>
      </c>
      <c r="B625" s="4">
        <v>45839</v>
      </c>
      <c r="C625" s="6" t="s">
        <v>2795</v>
      </c>
      <c r="D625" s="7">
        <v>0.48541666666666666</v>
      </c>
      <c r="E625" s="6" t="s">
        <v>16</v>
      </c>
      <c r="F625" s="6" t="s">
        <v>208</v>
      </c>
      <c r="G625" s="4">
        <v>28978</v>
      </c>
      <c r="H625" s="6" t="s">
        <v>243</v>
      </c>
      <c r="I625">
        <v>139</v>
      </c>
      <c r="J625">
        <v>2</v>
      </c>
      <c r="K625">
        <v>280</v>
      </c>
      <c r="L625" s="6" t="s">
        <v>41</v>
      </c>
      <c r="M625" s="6" t="s">
        <v>37</v>
      </c>
      <c r="N625" s="6" t="s">
        <v>27</v>
      </c>
    </row>
    <row r="626" spans="1:14" x14ac:dyDescent="0.25">
      <c r="A626" s="6" t="s">
        <v>1043</v>
      </c>
      <c r="B626" s="4">
        <v>45950</v>
      </c>
      <c r="C626" s="6" t="s">
        <v>2791</v>
      </c>
      <c r="D626" s="7">
        <v>0.72291666666666665</v>
      </c>
      <c r="E626" s="6" t="s">
        <v>16</v>
      </c>
      <c r="F626" s="6" t="s">
        <v>237</v>
      </c>
      <c r="G626" s="4">
        <v>35224</v>
      </c>
      <c r="H626" s="6" t="s">
        <v>30</v>
      </c>
      <c r="I626">
        <v>220</v>
      </c>
      <c r="J626">
        <v>3</v>
      </c>
      <c r="K626">
        <v>661</v>
      </c>
      <c r="L626" s="6" t="s">
        <v>19</v>
      </c>
      <c r="M626" s="6" t="s">
        <v>37</v>
      </c>
      <c r="N626" s="6" t="s">
        <v>105</v>
      </c>
    </row>
    <row r="627" spans="1:14" x14ac:dyDescent="0.25">
      <c r="A627" s="6" t="s">
        <v>1044</v>
      </c>
      <c r="B627" s="4">
        <v>45698</v>
      </c>
      <c r="C627" s="6" t="s">
        <v>2799</v>
      </c>
      <c r="D627" s="7">
        <v>0.66181712962962957</v>
      </c>
      <c r="E627" s="6" t="s">
        <v>16</v>
      </c>
      <c r="F627" s="6" t="s">
        <v>187</v>
      </c>
      <c r="G627" s="4">
        <v>35224</v>
      </c>
      <c r="H627" s="6" t="s">
        <v>73</v>
      </c>
      <c r="I627">
        <v>55</v>
      </c>
      <c r="J627">
        <v>2</v>
      </c>
      <c r="K627">
        <v>111</v>
      </c>
      <c r="L627" s="6" t="s">
        <v>19</v>
      </c>
      <c r="M627" s="6" t="s">
        <v>20</v>
      </c>
      <c r="N627" s="6" t="s">
        <v>33</v>
      </c>
    </row>
    <row r="628" spans="1:14" x14ac:dyDescent="0.25">
      <c r="A628" s="6" t="s">
        <v>1045</v>
      </c>
      <c r="B628" s="4">
        <v>45814</v>
      </c>
      <c r="C628" s="6" t="s">
        <v>2800</v>
      </c>
      <c r="D628" s="7">
        <v>0.87657407407407406</v>
      </c>
      <c r="E628" s="6" t="s">
        <v>16</v>
      </c>
      <c r="F628" s="6" t="s">
        <v>66</v>
      </c>
      <c r="G628" s="4">
        <v>30901</v>
      </c>
      <c r="H628" s="6" t="s">
        <v>243</v>
      </c>
      <c r="I628">
        <v>134</v>
      </c>
      <c r="J628">
        <v>1</v>
      </c>
      <c r="K628">
        <v>131</v>
      </c>
      <c r="L628" s="6" t="s">
        <v>54</v>
      </c>
      <c r="M628" s="6" t="s">
        <v>37</v>
      </c>
      <c r="N628" s="6" t="s">
        <v>56</v>
      </c>
    </row>
    <row r="629" spans="1:14" x14ac:dyDescent="0.25">
      <c r="A629" s="6" t="s">
        <v>1047</v>
      </c>
      <c r="B629" s="4">
        <v>45796</v>
      </c>
      <c r="C629" s="6" t="s">
        <v>2792</v>
      </c>
      <c r="D629" s="7">
        <v>0.72638888888888886</v>
      </c>
      <c r="E629" s="6" t="s">
        <v>16</v>
      </c>
      <c r="F629" s="6" t="s">
        <v>232</v>
      </c>
      <c r="G629" s="4">
        <v>33156</v>
      </c>
      <c r="H629" s="6" t="s">
        <v>77</v>
      </c>
      <c r="I629">
        <v>247</v>
      </c>
      <c r="J629">
        <v>2</v>
      </c>
      <c r="K629">
        <v>494</v>
      </c>
      <c r="L629" s="6" t="s">
        <v>2787</v>
      </c>
      <c r="M629" s="6" t="s">
        <v>26</v>
      </c>
      <c r="N629" s="6" t="s">
        <v>48</v>
      </c>
    </row>
    <row r="630" spans="1:14" x14ac:dyDescent="0.25">
      <c r="A630" s="6" t="s">
        <v>1048</v>
      </c>
      <c r="B630" s="4">
        <v>45930</v>
      </c>
      <c r="C630" s="6" t="s">
        <v>2797</v>
      </c>
      <c r="D630" s="7">
        <v>0.94305555555555554</v>
      </c>
      <c r="E630" s="6" t="s">
        <v>16</v>
      </c>
      <c r="F630" s="6" t="s">
        <v>299</v>
      </c>
      <c r="G630" s="4">
        <v>38851</v>
      </c>
      <c r="H630" s="6" t="s">
        <v>93</v>
      </c>
      <c r="I630">
        <v>172</v>
      </c>
      <c r="J630">
        <v>3</v>
      </c>
      <c r="K630">
        <v>516</v>
      </c>
      <c r="L630" s="6" t="s">
        <v>2787</v>
      </c>
      <c r="M630" s="6" t="s">
        <v>26</v>
      </c>
      <c r="N630" s="6" t="s">
        <v>33</v>
      </c>
    </row>
    <row r="631" spans="1:14" x14ac:dyDescent="0.25">
      <c r="A631" s="6" t="s">
        <v>1049</v>
      </c>
      <c r="B631" s="4">
        <v>45697</v>
      </c>
      <c r="C631" s="6" t="s">
        <v>2799</v>
      </c>
      <c r="D631" s="7">
        <v>0.94166666666666665</v>
      </c>
      <c r="E631" s="6" t="s">
        <v>16</v>
      </c>
      <c r="F631" s="6" t="s">
        <v>582</v>
      </c>
      <c r="G631" s="4">
        <v>26522</v>
      </c>
      <c r="H631" s="6" t="s">
        <v>40</v>
      </c>
      <c r="I631">
        <v>181</v>
      </c>
      <c r="J631">
        <v>1</v>
      </c>
      <c r="K631">
        <v>100</v>
      </c>
      <c r="L631" s="6" t="s">
        <v>2787</v>
      </c>
      <c r="M631" s="6" t="s">
        <v>20</v>
      </c>
      <c r="N631" s="6" t="s">
        <v>21</v>
      </c>
    </row>
    <row r="632" spans="1:14" x14ac:dyDescent="0.25">
      <c r="A632" s="6" t="s">
        <v>1050</v>
      </c>
      <c r="B632" s="4">
        <v>45692</v>
      </c>
      <c r="C632" s="6" t="s">
        <v>2799</v>
      </c>
      <c r="D632" s="7">
        <v>0.79374999999999996</v>
      </c>
      <c r="E632" s="6" t="s">
        <v>16</v>
      </c>
      <c r="F632" s="6" t="s">
        <v>764</v>
      </c>
      <c r="G632" s="4">
        <v>30678</v>
      </c>
      <c r="H632" s="6" t="s">
        <v>30</v>
      </c>
      <c r="I632">
        <v>245</v>
      </c>
      <c r="J632">
        <v>1</v>
      </c>
      <c r="K632">
        <v>245</v>
      </c>
      <c r="L632" s="6" t="s">
        <v>19</v>
      </c>
      <c r="M632" s="6" t="s">
        <v>89</v>
      </c>
      <c r="N632" s="6" t="s">
        <v>56</v>
      </c>
    </row>
    <row r="633" spans="1:14" x14ac:dyDescent="0.25">
      <c r="A633" s="6" t="s">
        <v>1052</v>
      </c>
      <c r="B633" s="4">
        <v>45899</v>
      </c>
      <c r="C633" s="6" t="s">
        <v>2793</v>
      </c>
      <c r="D633" s="7">
        <v>0.8891782407407407</v>
      </c>
      <c r="E633" s="6" t="s">
        <v>16</v>
      </c>
      <c r="F633" s="6" t="s">
        <v>370</v>
      </c>
      <c r="G633" s="4">
        <v>38505</v>
      </c>
      <c r="H633" s="6" t="s">
        <v>36</v>
      </c>
      <c r="I633">
        <v>164</v>
      </c>
      <c r="J633">
        <v>1</v>
      </c>
      <c r="K633">
        <v>165</v>
      </c>
      <c r="L633" s="6" t="s">
        <v>41</v>
      </c>
      <c r="M633" s="6" t="s">
        <v>20</v>
      </c>
      <c r="N633" s="6" t="s">
        <v>56</v>
      </c>
    </row>
    <row r="634" spans="1:14" x14ac:dyDescent="0.25">
      <c r="A634" s="6" t="s">
        <v>1053</v>
      </c>
      <c r="B634" s="4">
        <v>45631</v>
      </c>
      <c r="C634" s="6" t="s">
        <v>2796</v>
      </c>
      <c r="D634" s="7">
        <v>0.90625</v>
      </c>
      <c r="E634" s="6" t="s">
        <v>16</v>
      </c>
      <c r="F634" s="6" t="s">
        <v>466</v>
      </c>
      <c r="G634" s="4">
        <v>26749</v>
      </c>
      <c r="H634" s="6" t="s">
        <v>164</v>
      </c>
      <c r="I634">
        <v>294</v>
      </c>
      <c r="J634">
        <v>2</v>
      </c>
      <c r="K634">
        <v>589</v>
      </c>
      <c r="L634" s="6" t="s">
        <v>2787</v>
      </c>
      <c r="M634" s="6" t="s">
        <v>20</v>
      </c>
      <c r="N634" s="6" t="s">
        <v>74</v>
      </c>
    </row>
    <row r="635" spans="1:14" x14ac:dyDescent="0.25">
      <c r="A635" s="6" t="s">
        <v>1054</v>
      </c>
      <c r="B635" s="4">
        <v>45790</v>
      </c>
      <c r="C635" s="6" t="s">
        <v>2792</v>
      </c>
      <c r="D635" s="7">
        <v>0.91319444444444442</v>
      </c>
      <c r="E635" s="6" t="s">
        <v>16</v>
      </c>
      <c r="F635" s="6" t="s">
        <v>628</v>
      </c>
      <c r="G635" s="4">
        <v>39904</v>
      </c>
      <c r="H635" s="6" t="s">
        <v>30</v>
      </c>
      <c r="I635">
        <v>307</v>
      </c>
      <c r="J635">
        <v>2</v>
      </c>
      <c r="K635">
        <v>616</v>
      </c>
      <c r="L635" s="6" t="s">
        <v>54</v>
      </c>
      <c r="M635" s="6" t="s">
        <v>61</v>
      </c>
      <c r="N635" s="6" t="s">
        <v>74</v>
      </c>
    </row>
    <row r="636" spans="1:14" x14ac:dyDescent="0.25">
      <c r="A636" s="6" t="s">
        <v>1055</v>
      </c>
      <c r="B636" s="4">
        <v>45689</v>
      </c>
      <c r="C636" s="6" t="s">
        <v>2799</v>
      </c>
      <c r="D636" s="7">
        <v>0.95277777777777772</v>
      </c>
      <c r="E636" s="6" t="s">
        <v>16</v>
      </c>
      <c r="F636" s="6" t="s">
        <v>258</v>
      </c>
      <c r="G636" s="4">
        <v>30319</v>
      </c>
      <c r="H636" s="6" t="s">
        <v>116</v>
      </c>
      <c r="I636">
        <v>264</v>
      </c>
      <c r="J636">
        <v>1</v>
      </c>
      <c r="K636">
        <v>265</v>
      </c>
      <c r="L636" s="6" t="s">
        <v>54</v>
      </c>
      <c r="M636" s="6" t="s">
        <v>26</v>
      </c>
      <c r="N636" s="6" t="s">
        <v>74</v>
      </c>
    </row>
    <row r="637" spans="1:14" x14ac:dyDescent="0.25">
      <c r="A637" s="6" t="s">
        <v>1056</v>
      </c>
      <c r="B637" s="4">
        <v>45700</v>
      </c>
      <c r="C637" s="6" t="s">
        <v>2799</v>
      </c>
      <c r="D637" s="7">
        <v>0.58606481481481476</v>
      </c>
      <c r="E637" s="6" t="s">
        <v>16</v>
      </c>
      <c r="F637" s="6" t="s">
        <v>640</v>
      </c>
      <c r="G637" s="4">
        <v>31734</v>
      </c>
      <c r="H637" s="6" t="s">
        <v>129</v>
      </c>
      <c r="I637">
        <v>209</v>
      </c>
      <c r="J637">
        <v>2</v>
      </c>
      <c r="K637">
        <v>420</v>
      </c>
      <c r="L637" s="6" t="s">
        <v>54</v>
      </c>
      <c r="M637" s="6" t="s">
        <v>37</v>
      </c>
      <c r="N637" s="6" t="s">
        <v>74</v>
      </c>
    </row>
    <row r="638" spans="1:14" x14ac:dyDescent="0.25">
      <c r="A638" s="6" t="s">
        <v>1057</v>
      </c>
      <c r="B638" s="4">
        <v>45939</v>
      </c>
      <c r="C638" s="6" t="s">
        <v>2791</v>
      </c>
      <c r="D638" s="7">
        <v>0.50624999999999998</v>
      </c>
      <c r="E638" s="6" t="s">
        <v>16</v>
      </c>
      <c r="F638" s="6" t="s">
        <v>334</v>
      </c>
      <c r="G638" s="4">
        <v>34952</v>
      </c>
      <c r="H638" s="6" t="s">
        <v>116</v>
      </c>
      <c r="I638">
        <v>291</v>
      </c>
      <c r="J638">
        <v>1</v>
      </c>
      <c r="K638">
        <v>291</v>
      </c>
      <c r="L638" s="6" t="s">
        <v>54</v>
      </c>
      <c r="M638" s="6" t="s">
        <v>47</v>
      </c>
      <c r="N638" s="6" t="s">
        <v>56</v>
      </c>
    </row>
    <row r="639" spans="1:14" x14ac:dyDescent="0.25">
      <c r="A639" s="6" t="s">
        <v>1058</v>
      </c>
      <c r="B639" s="4">
        <v>45969</v>
      </c>
      <c r="C639" s="6" t="s">
        <v>2802</v>
      </c>
      <c r="D639" s="7">
        <v>0.87361111111111112</v>
      </c>
      <c r="E639" s="6" t="s">
        <v>16</v>
      </c>
      <c r="F639" s="6" t="s">
        <v>88</v>
      </c>
      <c r="G639" s="4">
        <v>26611</v>
      </c>
      <c r="H639" s="6" t="s">
        <v>126</v>
      </c>
      <c r="I639">
        <v>247</v>
      </c>
      <c r="J639">
        <v>2</v>
      </c>
      <c r="K639">
        <v>495</v>
      </c>
      <c r="L639" s="6" t="s">
        <v>67</v>
      </c>
      <c r="M639" s="6" t="s">
        <v>47</v>
      </c>
      <c r="N639" s="6" t="s">
        <v>56</v>
      </c>
    </row>
    <row r="640" spans="1:14" x14ac:dyDescent="0.25">
      <c r="A640" s="6" t="s">
        <v>1059</v>
      </c>
      <c r="B640" s="4">
        <v>45849</v>
      </c>
      <c r="C640" s="6" t="s">
        <v>2795</v>
      </c>
      <c r="D640" s="7">
        <v>0.66249999999999998</v>
      </c>
      <c r="E640" s="6" t="s">
        <v>16</v>
      </c>
      <c r="F640" s="6" t="s">
        <v>458</v>
      </c>
      <c r="G640" s="4">
        <v>33203</v>
      </c>
      <c r="H640" s="6" t="s">
        <v>259</v>
      </c>
      <c r="I640">
        <v>153</v>
      </c>
      <c r="J640">
        <v>1</v>
      </c>
      <c r="K640">
        <v>153</v>
      </c>
      <c r="L640" s="6" t="s">
        <v>67</v>
      </c>
      <c r="M640" s="6" t="s">
        <v>32</v>
      </c>
      <c r="N640" s="6" t="s">
        <v>105</v>
      </c>
    </row>
    <row r="641" spans="1:14" x14ac:dyDescent="0.25">
      <c r="A641" s="6" t="s">
        <v>1060</v>
      </c>
      <c r="B641" s="4">
        <v>45755</v>
      </c>
      <c r="C641" s="6" t="s">
        <v>2801</v>
      </c>
      <c r="D641" s="7">
        <v>0.4548611111111111</v>
      </c>
      <c r="E641" s="6" t="s">
        <v>16</v>
      </c>
      <c r="F641" s="6" t="s">
        <v>144</v>
      </c>
      <c r="G641" s="4">
        <v>27327</v>
      </c>
      <c r="H641" s="6" t="s">
        <v>53</v>
      </c>
      <c r="I641">
        <v>100</v>
      </c>
      <c r="J641">
        <v>2</v>
      </c>
      <c r="K641">
        <v>200</v>
      </c>
      <c r="L641" s="6" t="s">
        <v>41</v>
      </c>
      <c r="M641" s="6" t="s">
        <v>37</v>
      </c>
      <c r="N641" s="6" t="s">
        <v>56</v>
      </c>
    </row>
    <row r="642" spans="1:14" x14ac:dyDescent="0.25">
      <c r="A642" s="6" t="s">
        <v>1061</v>
      </c>
      <c r="B642" s="4">
        <v>45907</v>
      </c>
      <c r="C642" s="6" t="s">
        <v>2797</v>
      </c>
      <c r="D642" s="7">
        <v>0.49751157407407409</v>
      </c>
      <c r="E642" s="6" t="s">
        <v>16</v>
      </c>
      <c r="F642" s="6" t="s">
        <v>23</v>
      </c>
      <c r="G642" s="4">
        <v>26249</v>
      </c>
      <c r="H642" s="6" t="s">
        <v>129</v>
      </c>
      <c r="I642">
        <v>217</v>
      </c>
      <c r="J642">
        <v>3</v>
      </c>
      <c r="K642">
        <v>654</v>
      </c>
      <c r="L642" s="6" t="s">
        <v>41</v>
      </c>
      <c r="M642" s="6" t="s">
        <v>37</v>
      </c>
      <c r="N642" s="6" t="s">
        <v>74</v>
      </c>
    </row>
    <row r="643" spans="1:14" x14ac:dyDescent="0.25">
      <c r="A643" s="6" t="s">
        <v>1062</v>
      </c>
      <c r="B643" s="4">
        <v>45705</v>
      </c>
      <c r="C643" s="6" t="s">
        <v>2799</v>
      </c>
      <c r="D643" s="7">
        <v>0.8666666666666667</v>
      </c>
      <c r="E643" s="6" t="s">
        <v>16</v>
      </c>
      <c r="F643" s="6" t="s">
        <v>204</v>
      </c>
      <c r="G643" s="4">
        <v>40057</v>
      </c>
      <c r="H643" s="6" t="s">
        <v>18</v>
      </c>
      <c r="I643">
        <v>98</v>
      </c>
      <c r="J643">
        <v>1</v>
      </c>
      <c r="K643">
        <v>130</v>
      </c>
      <c r="L643" s="6" t="s">
        <v>41</v>
      </c>
      <c r="M643" s="6" t="s">
        <v>26</v>
      </c>
      <c r="N643" s="6" t="s">
        <v>27</v>
      </c>
    </row>
    <row r="644" spans="1:14" x14ac:dyDescent="0.25">
      <c r="A644" s="6" t="s">
        <v>1063</v>
      </c>
      <c r="B644" s="4">
        <v>45656</v>
      </c>
      <c r="C644" s="6" t="s">
        <v>2796</v>
      </c>
      <c r="D644" s="7">
        <v>0.77916666666666667</v>
      </c>
      <c r="E644" s="6" t="s">
        <v>16</v>
      </c>
      <c r="F644" s="6" t="s">
        <v>151</v>
      </c>
      <c r="G644" s="4">
        <v>38186</v>
      </c>
      <c r="H644" s="6" t="s">
        <v>145</v>
      </c>
      <c r="I644">
        <v>257</v>
      </c>
      <c r="J644">
        <v>1</v>
      </c>
      <c r="K644">
        <v>258</v>
      </c>
      <c r="L644" s="6" t="s">
        <v>41</v>
      </c>
      <c r="M644" s="6" t="s">
        <v>61</v>
      </c>
      <c r="N644" s="6" t="s">
        <v>27</v>
      </c>
    </row>
    <row r="645" spans="1:14" x14ac:dyDescent="0.25">
      <c r="A645" s="6" t="s">
        <v>1064</v>
      </c>
      <c r="B645" s="4">
        <v>45862</v>
      </c>
      <c r="C645" s="6" t="s">
        <v>2795</v>
      </c>
      <c r="D645" s="7">
        <v>0.76388888888888884</v>
      </c>
      <c r="E645" s="6" t="s">
        <v>16</v>
      </c>
      <c r="F645" s="6" t="s">
        <v>204</v>
      </c>
      <c r="G645" s="4">
        <v>32846</v>
      </c>
      <c r="H645" s="6" t="s">
        <v>77</v>
      </c>
      <c r="I645">
        <v>326</v>
      </c>
      <c r="J645">
        <v>2</v>
      </c>
      <c r="K645">
        <v>654</v>
      </c>
      <c r="L645" s="6" t="s">
        <v>67</v>
      </c>
      <c r="M645" s="6" t="s">
        <v>26</v>
      </c>
      <c r="N645" s="6" t="s">
        <v>48</v>
      </c>
    </row>
    <row r="646" spans="1:14" x14ac:dyDescent="0.25">
      <c r="A646" s="6" t="s">
        <v>1065</v>
      </c>
      <c r="B646" s="4">
        <v>45865</v>
      </c>
      <c r="C646" s="6" t="s">
        <v>2795</v>
      </c>
      <c r="D646" s="7">
        <v>0.47916666666666669</v>
      </c>
      <c r="E646" s="6" t="s">
        <v>16</v>
      </c>
      <c r="F646" s="6" t="s">
        <v>82</v>
      </c>
      <c r="G646" s="4">
        <v>40106</v>
      </c>
      <c r="H646" s="6" t="s">
        <v>104</v>
      </c>
      <c r="I646">
        <v>304</v>
      </c>
      <c r="J646">
        <v>2</v>
      </c>
      <c r="K646">
        <v>646</v>
      </c>
      <c r="L646" s="6" t="s">
        <v>54</v>
      </c>
      <c r="M646" s="6" t="s">
        <v>55</v>
      </c>
      <c r="N646" s="6" t="s">
        <v>105</v>
      </c>
    </row>
    <row r="647" spans="1:14" x14ac:dyDescent="0.25">
      <c r="A647" s="6" t="s">
        <v>1067</v>
      </c>
      <c r="B647" s="4">
        <v>45795</v>
      </c>
      <c r="C647" s="6" t="s">
        <v>2792</v>
      </c>
      <c r="D647" s="7">
        <v>0.76458333333333328</v>
      </c>
      <c r="E647" s="6" t="s">
        <v>16</v>
      </c>
      <c r="F647" s="6" t="s">
        <v>1068</v>
      </c>
      <c r="G647" s="4">
        <v>40189</v>
      </c>
      <c r="H647" s="6" t="s">
        <v>40</v>
      </c>
      <c r="I647">
        <v>200</v>
      </c>
      <c r="J647">
        <v>1</v>
      </c>
      <c r="K647">
        <v>200</v>
      </c>
      <c r="L647" s="6" t="s">
        <v>41</v>
      </c>
      <c r="M647" s="6" t="s">
        <v>37</v>
      </c>
      <c r="N647" s="6" t="s">
        <v>105</v>
      </c>
    </row>
    <row r="648" spans="1:14" x14ac:dyDescent="0.25">
      <c r="A648" s="6" t="s">
        <v>1069</v>
      </c>
      <c r="B648" s="4">
        <v>45840</v>
      </c>
      <c r="C648" s="6" t="s">
        <v>2795</v>
      </c>
      <c r="D648" s="7">
        <v>0.53749999999999998</v>
      </c>
      <c r="E648" s="6" t="s">
        <v>16</v>
      </c>
      <c r="F648" s="6" t="s">
        <v>169</v>
      </c>
      <c r="G648" s="4">
        <v>30433</v>
      </c>
      <c r="H648" s="6" t="s">
        <v>202</v>
      </c>
      <c r="I648">
        <v>135</v>
      </c>
      <c r="J648">
        <v>1</v>
      </c>
      <c r="K648">
        <v>95</v>
      </c>
      <c r="L648" s="6" t="s">
        <v>41</v>
      </c>
      <c r="M648" s="6" t="s">
        <v>47</v>
      </c>
      <c r="N648" s="6" t="s">
        <v>33</v>
      </c>
    </row>
    <row r="649" spans="1:14" x14ac:dyDescent="0.25">
      <c r="A649" s="6" t="s">
        <v>1070</v>
      </c>
      <c r="B649" s="4">
        <v>45928</v>
      </c>
      <c r="C649" s="6" t="s">
        <v>2797</v>
      </c>
      <c r="D649" s="7">
        <v>0.66471064814814818</v>
      </c>
      <c r="E649" s="6" t="s">
        <v>16</v>
      </c>
      <c r="F649" s="6" t="s">
        <v>281</v>
      </c>
      <c r="G649" s="4">
        <v>36700</v>
      </c>
      <c r="H649" s="6" t="s">
        <v>116</v>
      </c>
      <c r="I649">
        <v>217</v>
      </c>
      <c r="J649">
        <v>3</v>
      </c>
      <c r="K649">
        <v>654</v>
      </c>
      <c r="L649" s="6" t="s">
        <v>19</v>
      </c>
      <c r="M649" s="6" t="s">
        <v>89</v>
      </c>
      <c r="N649" s="6" t="s">
        <v>33</v>
      </c>
    </row>
    <row r="650" spans="1:14" x14ac:dyDescent="0.25">
      <c r="A650" s="6" t="s">
        <v>1072</v>
      </c>
      <c r="B650" s="4">
        <v>45655</v>
      </c>
      <c r="C650" s="6" t="s">
        <v>2796</v>
      </c>
      <c r="D650" s="7">
        <v>0.81111111111111112</v>
      </c>
      <c r="E650" s="6" t="s">
        <v>16</v>
      </c>
      <c r="F650" s="6" t="s">
        <v>240</v>
      </c>
      <c r="G650" s="4">
        <v>39282</v>
      </c>
      <c r="H650" s="6" t="s">
        <v>178</v>
      </c>
      <c r="I650">
        <v>316</v>
      </c>
      <c r="J650">
        <v>2</v>
      </c>
      <c r="K650">
        <v>634</v>
      </c>
      <c r="L650" s="6" t="s">
        <v>41</v>
      </c>
      <c r="M650" s="6" t="s">
        <v>20</v>
      </c>
      <c r="N650" s="6" t="s">
        <v>27</v>
      </c>
    </row>
    <row r="651" spans="1:14" x14ac:dyDescent="0.25">
      <c r="A651" s="6" t="s">
        <v>1075</v>
      </c>
      <c r="B651" s="4">
        <v>45930</v>
      </c>
      <c r="C651" s="6" t="s">
        <v>2797</v>
      </c>
      <c r="D651" s="7">
        <v>0.51388888888888884</v>
      </c>
      <c r="E651" s="6" t="s">
        <v>16</v>
      </c>
      <c r="F651" s="6" t="s">
        <v>118</v>
      </c>
      <c r="G651" s="4">
        <v>29383</v>
      </c>
      <c r="H651" s="6" t="s">
        <v>259</v>
      </c>
      <c r="I651">
        <v>228</v>
      </c>
      <c r="J651">
        <v>2</v>
      </c>
      <c r="K651">
        <v>457</v>
      </c>
      <c r="L651" s="6" t="s">
        <v>19</v>
      </c>
      <c r="M651" s="6" t="s">
        <v>61</v>
      </c>
      <c r="N651" s="6" t="s">
        <v>74</v>
      </c>
    </row>
    <row r="652" spans="1:14" x14ac:dyDescent="0.25">
      <c r="A652" s="6" t="s">
        <v>1076</v>
      </c>
      <c r="B652" s="4">
        <v>45930</v>
      </c>
      <c r="C652" s="6" t="s">
        <v>2797</v>
      </c>
      <c r="D652" s="7">
        <v>0.44097222222222221</v>
      </c>
      <c r="E652" s="6" t="s">
        <v>16</v>
      </c>
      <c r="F652" s="6" t="s">
        <v>562</v>
      </c>
      <c r="G652" s="4">
        <v>38525</v>
      </c>
      <c r="H652" s="6" t="s">
        <v>213</v>
      </c>
      <c r="I652">
        <v>156</v>
      </c>
      <c r="J652">
        <v>2</v>
      </c>
      <c r="K652">
        <v>312</v>
      </c>
      <c r="L652" s="6" t="s">
        <v>19</v>
      </c>
      <c r="M652" s="6" t="s">
        <v>20</v>
      </c>
      <c r="N652" s="6" t="s">
        <v>48</v>
      </c>
    </row>
    <row r="653" spans="1:14" x14ac:dyDescent="0.25">
      <c r="A653" s="6" t="s">
        <v>1077</v>
      </c>
      <c r="B653" s="4">
        <v>45916</v>
      </c>
      <c r="C653" s="6" t="s">
        <v>2797</v>
      </c>
      <c r="D653" s="7">
        <v>0.59722222222222221</v>
      </c>
      <c r="E653" s="6" t="s">
        <v>16</v>
      </c>
      <c r="F653" s="6" t="s">
        <v>397</v>
      </c>
      <c r="G653" s="4">
        <v>32936</v>
      </c>
      <c r="H653" s="6" t="s">
        <v>24</v>
      </c>
      <c r="I653">
        <v>230</v>
      </c>
      <c r="J653">
        <v>2</v>
      </c>
      <c r="K653">
        <v>461</v>
      </c>
      <c r="L653" s="6" t="s">
        <v>67</v>
      </c>
      <c r="M653" s="6" t="s">
        <v>55</v>
      </c>
      <c r="N653" s="6" t="s">
        <v>48</v>
      </c>
    </row>
    <row r="654" spans="1:14" x14ac:dyDescent="0.25">
      <c r="A654" s="6" t="s">
        <v>1078</v>
      </c>
      <c r="B654" s="4">
        <v>45893</v>
      </c>
      <c r="C654" s="6" t="s">
        <v>2793</v>
      </c>
      <c r="D654" s="7">
        <v>0.98750000000000004</v>
      </c>
      <c r="E654" s="6" t="s">
        <v>16</v>
      </c>
      <c r="F654" s="6" t="s">
        <v>451</v>
      </c>
      <c r="G654" s="4">
        <v>38462</v>
      </c>
      <c r="H654" s="6" t="s">
        <v>45</v>
      </c>
      <c r="I654">
        <v>277</v>
      </c>
      <c r="J654">
        <v>2</v>
      </c>
      <c r="K654">
        <v>554</v>
      </c>
      <c r="L654" s="6" t="s">
        <v>67</v>
      </c>
      <c r="M654" s="6" t="s">
        <v>55</v>
      </c>
      <c r="N654" s="6" t="s">
        <v>56</v>
      </c>
    </row>
    <row r="655" spans="1:14" x14ac:dyDescent="0.25">
      <c r="A655" s="6" t="s">
        <v>1079</v>
      </c>
      <c r="B655" s="4">
        <v>45816</v>
      </c>
      <c r="C655" s="6" t="s">
        <v>2800</v>
      </c>
      <c r="D655" s="7">
        <v>0.48402777777777778</v>
      </c>
      <c r="E655" s="6" t="s">
        <v>16</v>
      </c>
      <c r="F655" s="6" t="s">
        <v>1081</v>
      </c>
      <c r="G655" s="4">
        <v>33795</v>
      </c>
      <c r="H655" s="6" t="s">
        <v>73</v>
      </c>
      <c r="I655">
        <v>44</v>
      </c>
      <c r="J655">
        <v>1</v>
      </c>
      <c r="K655">
        <v>45</v>
      </c>
      <c r="L655" s="6" t="s">
        <v>54</v>
      </c>
      <c r="M655" s="6" t="s">
        <v>55</v>
      </c>
      <c r="N655" s="6" t="s">
        <v>21</v>
      </c>
    </row>
    <row r="656" spans="1:14" x14ac:dyDescent="0.25">
      <c r="A656" s="6" t="s">
        <v>1082</v>
      </c>
      <c r="B656" s="4">
        <v>45940</v>
      </c>
      <c r="C656" s="6" t="s">
        <v>2791</v>
      </c>
      <c r="D656" s="7">
        <v>0.66388888888888886</v>
      </c>
      <c r="E656" s="6" t="s">
        <v>16</v>
      </c>
      <c r="F656" s="6" t="s">
        <v>252</v>
      </c>
      <c r="G656" s="4">
        <v>31491</v>
      </c>
      <c r="H656" s="6" t="s">
        <v>45</v>
      </c>
      <c r="I656">
        <v>163</v>
      </c>
      <c r="J656">
        <v>1</v>
      </c>
      <c r="K656">
        <v>164</v>
      </c>
      <c r="L656" s="6" t="s">
        <v>41</v>
      </c>
      <c r="M656" s="6" t="s">
        <v>61</v>
      </c>
      <c r="N656" s="6" t="s">
        <v>27</v>
      </c>
    </row>
    <row r="657" spans="1:14" x14ac:dyDescent="0.25">
      <c r="A657" s="6" t="s">
        <v>1084</v>
      </c>
      <c r="B657" s="4">
        <v>45778</v>
      </c>
      <c r="C657" s="6" t="s">
        <v>2792</v>
      </c>
      <c r="D657" s="7">
        <v>0.53749999999999998</v>
      </c>
      <c r="E657" s="6" t="s">
        <v>16</v>
      </c>
      <c r="F657" s="6" t="s">
        <v>154</v>
      </c>
      <c r="G657" s="4">
        <v>40504</v>
      </c>
      <c r="H657" s="6" t="s">
        <v>141</v>
      </c>
      <c r="I657">
        <v>140</v>
      </c>
      <c r="J657">
        <v>1</v>
      </c>
      <c r="K657">
        <v>140</v>
      </c>
      <c r="L657" s="6" t="s">
        <v>41</v>
      </c>
      <c r="M657" s="6" t="s">
        <v>26</v>
      </c>
      <c r="N657" s="6" t="s">
        <v>27</v>
      </c>
    </row>
    <row r="658" spans="1:14" x14ac:dyDescent="0.25">
      <c r="A658" s="6" t="s">
        <v>1085</v>
      </c>
      <c r="B658" s="4">
        <v>45764</v>
      </c>
      <c r="C658" s="6" t="s">
        <v>2801</v>
      </c>
      <c r="D658" s="7">
        <v>0.54583333333333328</v>
      </c>
      <c r="E658" s="6" t="s">
        <v>16</v>
      </c>
      <c r="F658" s="6" t="s">
        <v>1086</v>
      </c>
      <c r="G658" s="4">
        <v>28800</v>
      </c>
      <c r="H658" s="6" t="s">
        <v>18</v>
      </c>
      <c r="I658">
        <v>108</v>
      </c>
      <c r="J658">
        <v>3</v>
      </c>
      <c r="K658">
        <v>327</v>
      </c>
      <c r="L658" s="6" t="s">
        <v>19</v>
      </c>
      <c r="M658" s="6" t="s">
        <v>32</v>
      </c>
      <c r="N658" s="6" t="s">
        <v>27</v>
      </c>
    </row>
    <row r="659" spans="1:14" x14ac:dyDescent="0.25">
      <c r="A659" s="6" t="s">
        <v>1087</v>
      </c>
      <c r="B659" s="4">
        <v>45783</v>
      </c>
      <c r="C659" s="6" t="s">
        <v>2792</v>
      </c>
      <c r="D659" s="7">
        <v>0.53047453703703706</v>
      </c>
      <c r="E659" s="6" t="s">
        <v>16</v>
      </c>
      <c r="F659" s="6" t="s">
        <v>764</v>
      </c>
      <c r="G659" s="4">
        <v>37423</v>
      </c>
      <c r="H659" s="6" t="s">
        <v>145</v>
      </c>
      <c r="I659">
        <v>48</v>
      </c>
      <c r="J659">
        <v>2</v>
      </c>
      <c r="K659">
        <v>97</v>
      </c>
      <c r="L659" s="6" t="s">
        <v>41</v>
      </c>
      <c r="M659" s="6" t="s">
        <v>89</v>
      </c>
      <c r="N659" s="6" t="s">
        <v>27</v>
      </c>
    </row>
    <row r="660" spans="1:14" x14ac:dyDescent="0.25">
      <c r="A660" s="6" t="s">
        <v>1088</v>
      </c>
      <c r="B660" s="4">
        <v>45887</v>
      </c>
      <c r="C660" s="6" t="s">
        <v>2793</v>
      </c>
      <c r="D660" s="7">
        <v>0.49571759259259257</v>
      </c>
      <c r="E660" s="6" t="s">
        <v>16</v>
      </c>
      <c r="F660" s="6" t="s">
        <v>324</v>
      </c>
      <c r="G660" s="4">
        <v>38936</v>
      </c>
      <c r="H660" s="6" t="s">
        <v>116</v>
      </c>
      <c r="I660">
        <v>116</v>
      </c>
      <c r="J660">
        <v>1</v>
      </c>
      <c r="K660">
        <v>117</v>
      </c>
      <c r="L660" s="6" t="s">
        <v>41</v>
      </c>
      <c r="M660" s="6" t="s">
        <v>20</v>
      </c>
      <c r="N660" s="6" t="s">
        <v>105</v>
      </c>
    </row>
    <row r="661" spans="1:14" x14ac:dyDescent="0.25">
      <c r="A661" s="6" t="s">
        <v>1089</v>
      </c>
      <c r="B661" s="4">
        <v>45879</v>
      </c>
      <c r="C661" s="6" t="s">
        <v>2793</v>
      </c>
      <c r="D661" s="7">
        <v>0.95694444444444449</v>
      </c>
      <c r="E661" s="6" t="s">
        <v>16</v>
      </c>
      <c r="F661" s="6" t="s">
        <v>475</v>
      </c>
      <c r="G661" s="4">
        <v>25715</v>
      </c>
      <c r="H661" s="6" t="s">
        <v>243</v>
      </c>
      <c r="I661">
        <v>149</v>
      </c>
      <c r="J661">
        <v>3</v>
      </c>
      <c r="K661">
        <v>463</v>
      </c>
      <c r="L661" s="6" t="s">
        <v>19</v>
      </c>
      <c r="M661" s="6" t="s">
        <v>32</v>
      </c>
      <c r="N661" s="6" t="s">
        <v>74</v>
      </c>
    </row>
    <row r="662" spans="1:14" x14ac:dyDescent="0.25">
      <c r="A662" s="6" t="s">
        <v>1090</v>
      </c>
      <c r="B662" s="4">
        <v>45968</v>
      </c>
      <c r="C662" s="6" t="s">
        <v>2802</v>
      </c>
      <c r="D662" s="7">
        <v>0.6218055555555555</v>
      </c>
      <c r="E662" s="6" t="s">
        <v>16</v>
      </c>
      <c r="F662" s="6" t="s">
        <v>123</v>
      </c>
      <c r="G662" s="4">
        <v>29520</v>
      </c>
      <c r="H662" s="6" t="s">
        <v>93</v>
      </c>
      <c r="I662">
        <v>202</v>
      </c>
      <c r="J662">
        <v>3</v>
      </c>
      <c r="K662">
        <v>609</v>
      </c>
      <c r="L662" s="6" t="s">
        <v>54</v>
      </c>
      <c r="M662" s="6" t="s">
        <v>55</v>
      </c>
      <c r="N662" s="6" t="s">
        <v>21</v>
      </c>
    </row>
    <row r="663" spans="1:14" x14ac:dyDescent="0.25">
      <c r="A663" s="6" t="s">
        <v>1091</v>
      </c>
      <c r="B663" s="4">
        <v>45641</v>
      </c>
      <c r="C663" s="6" t="s">
        <v>2796</v>
      </c>
      <c r="D663" s="7">
        <v>0.71805555555555556</v>
      </c>
      <c r="E663" s="6" t="s">
        <v>16</v>
      </c>
      <c r="F663" s="6" t="s">
        <v>63</v>
      </c>
      <c r="G663" s="4">
        <v>33301</v>
      </c>
      <c r="H663" s="6" t="s">
        <v>178</v>
      </c>
      <c r="I663">
        <v>306</v>
      </c>
      <c r="J663">
        <v>3</v>
      </c>
      <c r="K663">
        <v>919</v>
      </c>
      <c r="L663" s="6" t="s">
        <v>54</v>
      </c>
      <c r="M663" s="6" t="s">
        <v>37</v>
      </c>
      <c r="N663" s="6" t="s">
        <v>21</v>
      </c>
    </row>
    <row r="664" spans="1:14" x14ac:dyDescent="0.25">
      <c r="A664" s="6" t="s">
        <v>1092</v>
      </c>
      <c r="B664" s="4">
        <v>45806</v>
      </c>
      <c r="C664" s="6" t="s">
        <v>2792</v>
      </c>
      <c r="D664" s="7">
        <v>0.65277777777777779</v>
      </c>
      <c r="E664" s="6" t="s">
        <v>16</v>
      </c>
      <c r="F664" s="6" t="s">
        <v>379</v>
      </c>
      <c r="G664" s="4">
        <v>28400</v>
      </c>
      <c r="H664" s="6" t="s">
        <v>93</v>
      </c>
      <c r="I664">
        <v>178</v>
      </c>
      <c r="J664">
        <v>2</v>
      </c>
      <c r="K664">
        <v>357</v>
      </c>
      <c r="L664" s="6" t="s">
        <v>2787</v>
      </c>
      <c r="M664" s="6" t="s">
        <v>32</v>
      </c>
      <c r="N664" s="6" t="s">
        <v>21</v>
      </c>
    </row>
    <row r="665" spans="1:14" x14ac:dyDescent="0.25">
      <c r="A665" s="6" t="s">
        <v>1094</v>
      </c>
      <c r="B665" s="4">
        <v>45753</v>
      </c>
      <c r="C665" s="6" t="s">
        <v>2801</v>
      </c>
      <c r="D665" s="7">
        <v>0.68819444444444444</v>
      </c>
      <c r="E665" s="6" t="s">
        <v>16</v>
      </c>
      <c r="F665" s="6" t="s">
        <v>338</v>
      </c>
      <c r="G665" s="4">
        <v>29927</v>
      </c>
      <c r="H665" s="6" t="s">
        <v>85</v>
      </c>
      <c r="I665">
        <v>249</v>
      </c>
      <c r="J665">
        <v>1</v>
      </c>
      <c r="L665" s="6" t="s">
        <v>41</v>
      </c>
      <c r="M665" s="6" t="s">
        <v>26</v>
      </c>
      <c r="N665" s="6" t="s">
        <v>21</v>
      </c>
    </row>
    <row r="666" spans="1:14" x14ac:dyDescent="0.25">
      <c r="A666" s="6" t="s">
        <v>1096</v>
      </c>
      <c r="B666" s="4">
        <v>45856</v>
      </c>
      <c r="C666" s="6" t="s">
        <v>2795</v>
      </c>
      <c r="D666" s="7">
        <v>0.63165509259259256</v>
      </c>
      <c r="E666" s="6" t="s">
        <v>16</v>
      </c>
      <c r="F666" s="6" t="s">
        <v>107</v>
      </c>
      <c r="G666" s="4">
        <v>34021</v>
      </c>
      <c r="H666" s="6" t="s">
        <v>259</v>
      </c>
      <c r="I666">
        <v>231</v>
      </c>
      <c r="J666">
        <v>1</v>
      </c>
      <c r="K666">
        <v>231</v>
      </c>
      <c r="L666" s="6" t="s">
        <v>67</v>
      </c>
      <c r="M666" s="6" t="s">
        <v>37</v>
      </c>
      <c r="N666" s="6" t="s">
        <v>21</v>
      </c>
    </row>
    <row r="667" spans="1:14" x14ac:dyDescent="0.25">
      <c r="A667" s="6" t="s">
        <v>1098</v>
      </c>
      <c r="B667" s="4">
        <v>45774</v>
      </c>
      <c r="C667" s="6" t="s">
        <v>2801</v>
      </c>
      <c r="D667" s="7">
        <v>0.62986111111111109</v>
      </c>
      <c r="E667" s="6" t="s">
        <v>16</v>
      </c>
      <c r="F667" s="6" t="s">
        <v>594</v>
      </c>
      <c r="G667" s="4">
        <v>33142</v>
      </c>
      <c r="H667" s="6" t="s">
        <v>93</v>
      </c>
      <c r="I667">
        <v>178</v>
      </c>
      <c r="J667">
        <v>2</v>
      </c>
      <c r="K667">
        <v>357</v>
      </c>
      <c r="L667" s="6" t="s">
        <v>41</v>
      </c>
      <c r="M667" s="6" t="s">
        <v>61</v>
      </c>
      <c r="N667" s="6" t="s">
        <v>21</v>
      </c>
    </row>
    <row r="668" spans="1:14" x14ac:dyDescent="0.25">
      <c r="A668" s="6" t="s">
        <v>1099</v>
      </c>
      <c r="B668" s="4">
        <v>45728</v>
      </c>
      <c r="C668" s="6" t="s">
        <v>2798</v>
      </c>
      <c r="D668" s="7">
        <v>0.80223379629629632</v>
      </c>
      <c r="E668" s="6" t="s">
        <v>16</v>
      </c>
      <c r="F668" s="6" t="s">
        <v>1101</v>
      </c>
      <c r="G668" s="4">
        <v>33492</v>
      </c>
      <c r="H668" s="6" t="s">
        <v>202</v>
      </c>
      <c r="I668">
        <v>191</v>
      </c>
      <c r="J668">
        <v>1</v>
      </c>
      <c r="K668">
        <v>191</v>
      </c>
      <c r="L668" s="6" t="s">
        <v>19</v>
      </c>
      <c r="M668" s="6" t="s">
        <v>26</v>
      </c>
      <c r="N668" s="6" t="s">
        <v>74</v>
      </c>
    </row>
    <row r="669" spans="1:14" x14ac:dyDescent="0.25">
      <c r="A669" s="6" t="s">
        <v>1102</v>
      </c>
      <c r="B669" s="4">
        <v>45765</v>
      </c>
      <c r="C669" s="6" t="s">
        <v>2801</v>
      </c>
      <c r="D669" s="7">
        <v>0.83888888888888891</v>
      </c>
      <c r="E669" s="6" t="s">
        <v>16</v>
      </c>
      <c r="F669" s="6" t="s">
        <v>425</v>
      </c>
      <c r="G669" s="4">
        <v>33492</v>
      </c>
      <c r="H669" s="6" t="s">
        <v>18</v>
      </c>
      <c r="I669">
        <v>83</v>
      </c>
      <c r="J669">
        <v>1</v>
      </c>
      <c r="K669">
        <v>84</v>
      </c>
      <c r="L669" s="6" t="s">
        <v>19</v>
      </c>
      <c r="M669" s="6" t="s">
        <v>32</v>
      </c>
      <c r="N669" s="6" t="s">
        <v>33</v>
      </c>
    </row>
    <row r="670" spans="1:14" x14ac:dyDescent="0.25">
      <c r="A670" s="6" t="s">
        <v>1103</v>
      </c>
      <c r="B670" s="4">
        <v>45788</v>
      </c>
      <c r="C670" s="6" t="s">
        <v>2792</v>
      </c>
      <c r="D670" s="7">
        <v>0.70347222222222228</v>
      </c>
      <c r="E670" s="6" t="s">
        <v>16</v>
      </c>
      <c r="F670" s="6" t="s">
        <v>1104</v>
      </c>
      <c r="G670" s="4">
        <v>37991</v>
      </c>
      <c r="H670" s="6" t="s">
        <v>73</v>
      </c>
      <c r="I670">
        <v>38</v>
      </c>
      <c r="J670">
        <v>3</v>
      </c>
      <c r="K670">
        <v>116</v>
      </c>
      <c r="L670" s="6" t="s">
        <v>67</v>
      </c>
      <c r="M670" s="6" t="s">
        <v>55</v>
      </c>
      <c r="N670" s="6" t="s">
        <v>74</v>
      </c>
    </row>
    <row r="671" spans="1:14" x14ac:dyDescent="0.25">
      <c r="A671" s="6" t="s">
        <v>1105</v>
      </c>
      <c r="B671" s="4">
        <v>45911</v>
      </c>
      <c r="C671" s="6" t="s">
        <v>2797</v>
      </c>
      <c r="D671" s="7">
        <v>0.72569444444444442</v>
      </c>
      <c r="E671" s="6" t="s">
        <v>16</v>
      </c>
      <c r="F671" s="6" t="s">
        <v>79</v>
      </c>
      <c r="G671" s="4">
        <v>25847</v>
      </c>
      <c r="H671" s="6" t="s">
        <v>85</v>
      </c>
      <c r="I671">
        <v>227</v>
      </c>
      <c r="J671">
        <v>2</v>
      </c>
      <c r="K671">
        <v>454</v>
      </c>
      <c r="L671" s="6" t="s">
        <v>67</v>
      </c>
      <c r="M671" s="6" t="s">
        <v>89</v>
      </c>
      <c r="N671" s="6" t="s">
        <v>33</v>
      </c>
    </row>
    <row r="672" spans="1:14" x14ac:dyDescent="0.25">
      <c r="A672" s="6" t="s">
        <v>1107</v>
      </c>
      <c r="B672" s="4">
        <v>45627</v>
      </c>
      <c r="C672" s="6" t="s">
        <v>2796</v>
      </c>
      <c r="D672" s="7">
        <v>0.94097222222222221</v>
      </c>
      <c r="E672" s="6" t="s">
        <v>16</v>
      </c>
      <c r="F672" s="6" t="s">
        <v>622</v>
      </c>
      <c r="G672" s="4">
        <v>26399</v>
      </c>
      <c r="H672" s="6" t="s">
        <v>30</v>
      </c>
      <c r="I672">
        <v>270</v>
      </c>
      <c r="J672">
        <v>2</v>
      </c>
      <c r="K672">
        <v>540</v>
      </c>
      <c r="L672" s="6" t="s">
        <v>19</v>
      </c>
      <c r="M672" s="6" t="s">
        <v>47</v>
      </c>
      <c r="N672" s="6" t="s">
        <v>105</v>
      </c>
    </row>
    <row r="673" spans="1:14" x14ac:dyDescent="0.25">
      <c r="A673" s="6" t="s">
        <v>1109</v>
      </c>
      <c r="B673" s="4">
        <v>45627</v>
      </c>
      <c r="C673" s="6" t="s">
        <v>2796</v>
      </c>
      <c r="D673" s="7">
        <v>0.47361111111111109</v>
      </c>
      <c r="E673" s="6" t="s">
        <v>16</v>
      </c>
      <c r="F673" s="6" t="s">
        <v>144</v>
      </c>
      <c r="G673" s="4">
        <v>28676</v>
      </c>
      <c r="H673" s="6" t="s">
        <v>202</v>
      </c>
      <c r="I673">
        <v>39</v>
      </c>
      <c r="J673">
        <v>1</v>
      </c>
      <c r="K673">
        <v>39</v>
      </c>
      <c r="L673" s="6" t="s">
        <v>54</v>
      </c>
      <c r="M673" s="6" t="s">
        <v>55</v>
      </c>
      <c r="N673" s="6" t="s">
        <v>105</v>
      </c>
    </row>
    <row r="674" spans="1:14" x14ac:dyDescent="0.25">
      <c r="A674" s="6" t="s">
        <v>1110</v>
      </c>
      <c r="B674" s="4">
        <v>45970</v>
      </c>
      <c r="C674" s="6" t="s">
        <v>2802</v>
      </c>
      <c r="D674" s="7">
        <v>0.48333333333333334</v>
      </c>
      <c r="E674" s="6" t="s">
        <v>16</v>
      </c>
      <c r="F674" s="6" t="s">
        <v>264</v>
      </c>
      <c r="G674" s="4">
        <v>38659</v>
      </c>
      <c r="H674" s="6" t="s">
        <v>93</v>
      </c>
      <c r="I674">
        <v>216</v>
      </c>
      <c r="J674">
        <v>2</v>
      </c>
      <c r="K674">
        <v>434</v>
      </c>
      <c r="L674" s="6" t="s">
        <v>67</v>
      </c>
      <c r="M674" s="6" t="s">
        <v>37</v>
      </c>
      <c r="N674" s="6" t="s">
        <v>27</v>
      </c>
    </row>
    <row r="675" spans="1:14" x14ac:dyDescent="0.25">
      <c r="A675" s="6" t="s">
        <v>1111</v>
      </c>
      <c r="B675" s="4">
        <v>45808</v>
      </c>
      <c r="C675" s="6" t="s">
        <v>2792</v>
      </c>
      <c r="D675" s="7">
        <v>0.97152777777777777</v>
      </c>
      <c r="E675" s="6" t="s">
        <v>16</v>
      </c>
      <c r="F675" s="6" t="s">
        <v>603</v>
      </c>
      <c r="G675" s="4">
        <v>30389</v>
      </c>
      <c r="H675" s="6" t="s">
        <v>53</v>
      </c>
      <c r="I675">
        <v>104</v>
      </c>
      <c r="J675">
        <v>1</v>
      </c>
      <c r="K675">
        <v>74</v>
      </c>
      <c r="L675" s="6" t="s">
        <v>54</v>
      </c>
      <c r="M675" s="6" t="s">
        <v>32</v>
      </c>
      <c r="N675" s="6" t="s">
        <v>33</v>
      </c>
    </row>
    <row r="676" spans="1:14" x14ac:dyDescent="0.25">
      <c r="A676" s="6" t="s">
        <v>1113</v>
      </c>
      <c r="B676" s="4">
        <v>45817</v>
      </c>
      <c r="C676" s="6" t="s">
        <v>2800</v>
      </c>
      <c r="D676" s="7">
        <v>0.88055555555555554</v>
      </c>
      <c r="E676" s="6" t="s">
        <v>16</v>
      </c>
      <c r="F676" s="6" t="s">
        <v>92</v>
      </c>
      <c r="G676" s="4">
        <v>25944</v>
      </c>
      <c r="H676" s="6" t="s">
        <v>93</v>
      </c>
      <c r="I676">
        <v>104</v>
      </c>
      <c r="J676">
        <v>1</v>
      </c>
      <c r="K676">
        <v>74</v>
      </c>
      <c r="L676" s="6" t="s">
        <v>67</v>
      </c>
      <c r="M676" s="6" t="s">
        <v>55</v>
      </c>
      <c r="N676" s="6" t="s">
        <v>33</v>
      </c>
    </row>
    <row r="677" spans="1:14" x14ac:dyDescent="0.25">
      <c r="A677" s="6" t="s">
        <v>1115</v>
      </c>
      <c r="B677" s="4">
        <v>45704</v>
      </c>
      <c r="C677" s="6" t="s">
        <v>2799</v>
      </c>
      <c r="D677" s="7">
        <v>0.56587962962962968</v>
      </c>
      <c r="E677" s="6" t="s">
        <v>16</v>
      </c>
      <c r="F677" s="6" t="s">
        <v>154</v>
      </c>
      <c r="G677" s="4">
        <v>33584</v>
      </c>
      <c r="H677" s="6" t="s">
        <v>110</v>
      </c>
      <c r="I677">
        <v>105</v>
      </c>
      <c r="J677">
        <v>1</v>
      </c>
      <c r="K677">
        <v>106</v>
      </c>
      <c r="L677" s="6" t="s">
        <v>19</v>
      </c>
      <c r="M677" s="6" t="s">
        <v>61</v>
      </c>
      <c r="N677" s="6" t="s">
        <v>105</v>
      </c>
    </row>
    <row r="678" spans="1:14" x14ac:dyDescent="0.25">
      <c r="A678" s="6" t="s">
        <v>1116</v>
      </c>
      <c r="B678" s="4">
        <v>45849</v>
      </c>
      <c r="C678" s="6" t="s">
        <v>2795</v>
      </c>
      <c r="D678" s="7">
        <v>0.66874999999999996</v>
      </c>
      <c r="E678" s="6" t="s">
        <v>16</v>
      </c>
      <c r="F678" s="6" t="s">
        <v>299</v>
      </c>
      <c r="G678" s="4">
        <v>33584</v>
      </c>
      <c r="H678" s="6" t="s">
        <v>129</v>
      </c>
      <c r="I678">
        <v>158</v>
      </c>
      <c r="J678">
        <v>1</v>
      </c>
      <c r="K678">
        <v>158</v>
      </c>
      <c r="L678" s="6" t="s">
        <v>19</v>
      </c>
      <c r="M678" s="6" t="s">
        <v>61</v>
      </c>
      <c r="N678" s="6" t="s">
        <v>27</v>
      </c>
    </row>
    <row r="679" spans="1:14" x14ac:dyDescent="0.25">
      <c r="A679" s="6" t="s">
        <v>1117</v>
      </c>
      <c r="B679" s="4">
        <v>45809</v>
      </c>
      <c r="C679" s="6" t="s">
        <v>2800</v>
      </c>
      <c r="D679" s="7">
        <v>0.84097222222222223</v>
      </c>
      <c r="E679" s="6" t="s">
        <v>16</v>
      </c>
      <c r="F679" s="6" t="s">
        <v>181</v>
      </c>
      <c r="G679" s="4">
        <v>28716</v>
      </c>
      <c r="H679" s="6" t="s">
        <v>36</v>
      </c>
      <c r="I679">
        <v>269</v>
      </c>
      <c r="J679">
        <v>1</v>
      </c>
      <c r="K679">
        <v>269</v>
      </c>
      <c r="L679" s="6" t="s">
        <v>19</v>
      </c>
      <c r="M679" s="6" t="s">
        <v>37</v>
      </c>
      <c r="N679" s="6" t="s">
        <v>74</v>
      </c>
    </row>
    <row r="680" spans="1:14" x14ac:dyDescent="0.25">
      <c r="A680" s="6" t="s">
        <v>1118</v>
      </c>
      <c r="B680" s="4">
        <v>45893</v>
      </c>
      <c r="C680" s="6" t="s">
        <v>2793</v>
      </c>
      <c r="D680" s="7">
        <v>0.90138888888888891</v>
      </c>
      <c r="E680" s="6" t="s">
        <v>16</v>
      </c>
      <c r="F680" s="6" t="s">
        <v>232</v>
      </c>
      <c r="G680" s="4">
        <v>37574</v>
      </c>
      <c r="H680" s="6" t="s">
        <v>141</v>
      </c>
      <c r="I680">
        <v>135</v>
      </c>
      <c r="J680">
        <v>3</v>
      </c>
      <c r="K680">
        <v>406</v>
      </c>
      <c r="L680" s="6" t="s">
        <v>19</v>
      </c>
      <c r="M680" s="6" t="s">
        <v>55</v>
      </c>
      <c r="N680" s="6" t="s">
        <v>74</v>
      </c>
    </row>
    <row r="681" spans="1:14" x14ac:dyDescent="0.25">
      <c r="A681" s="6" t="s">
        <v>1120</v>
      </c>
      <c r="B681" s="4">
        <v>45766</v>
      </c>
      <c r="C681" s="6" t="s">
        <v>2801</v>
      </c>
      <c r="D681" s="7">
        <v>0.47708333333333336</v>
      </c>
      <c r="E681" s="6" t="s">
        <v>16</v>
      </c>
      <c r="F681" s="6" t="s">
        <v>201</v>
      </c>
      <c r="G681" s="4">
        <v>37724</v>
      </c>
      <c r="H681" s="6" t="s">
        <v>18</v>
      </c>
      <c r="I681">
        <v>83</v>
      </c>
      <c r="J681">
        <v>3</v>
      </c>
      <c r="K681">
        <v>249</v>
      </c>
      <c r="L681" s="6" t="s">
        <v>2787</v>
      </c>
      <c r="M681" s="6" t="s">
        <v>20</v>
      </c>
      <c r="N681" s="6" t="s">
        <v>27</v>
      </c>
    </row>
    <row r="682" spans="1:14" x14ac:dyDescent="0.25">
      <c r="A682" s="6" t="s">
        <v>1121</v>
      </c>
      <c r="B682" s="4">
        <v>45692</v>
      </c>
      <c r="C682" s="6" t="s">
        <v>2799</v>
      </c>
      <c r="D682" s="7">
        <v>0.50277777777777777</v>
      </c>
      <c r="E682" s="6" t="s">
        <v>16</v>
      </c>
      <c r="F682" s="6" t="s">
        <v>101</v>
      </c>
      <c r="G682" s="4">
        <v>37724</v>
      </c>
      <c r="H682" s="6" t="s">
        <v>30</v>
      </c>
      <c r="I682">
        <v>294</v>
      </c>
      <c r="J682">
        <v>2</v>
      </c>
      <c r="K682">
        <v>589</v>
      </c>
      <c r="L682" s="6" t="s">
        <v>41</v>
      </c>
      <c r="M682" s="6" t="s">
        <v>61</v>
      </c>
      <c r="N682" s="6" t="s">
        <v>33</v>
      </c>
    </row>
    <row r="683" spans="1:14" x14ac:dyDescent="0.25">
      <c r="A683" s="6" t="s">
        <v>1123</v>
      </c>
      <c r="B683" s="4">
        <v>45920</v>
      </c>
      <c r="C683" s="6" t="s">
        <v>2797</v>
      </c>
      <c r="D683" s="7">
        <v>0.43958333333333333</v>
      </c>
      <c r="E683" s="6" t="s">
        <v>16</v>
      </c>
      <c r="F683" s="6" t="s">
        <v>659</v>
      </c>
      <c r="G683" s="4">
        <v>25587</v>
      </c>
      <c r="H683" s="6" t="s">
        <v>18</v>
      </c>
      <c r="I683">
        <v>77</v>
      </c>
      <c r="J683">
        <v>2</v>
      </c>
      <c r="K683">
        <v>155</v>
      </c>
      <c r="L683" s="6" t="s">
        <v>41</v>
      </c>
      <c r="M683" s="6" t="s">
        <v>55</v>
      </c>
      <c r="N683" s="6" t="s">
        <v>33</v>
      </c>
    </row>
    <row r="684" spans="1:14" x14ac:dyDescent="0.25">
      <c r="A684" s="6" t="s">
        <v>1124</v>
      </c>
      <c r="B684" s="4">
        <v>45789</v>
      </c>
      <c r="C684" s="6" t="s">
        <v>2792</v>
      </c>
      <c r="D684" s="7">
        <v>0.99652777777777779</v>
      </c>
      <c r="E684" s="6" t="s">
        <v>16</v>
      </c>
      <c r="F684" s="6" t="s">
        <v>267</v>
      </c>
      <c r="G684" s="4">
        <v>26299</v>
      </c>
      <c r="H684" s="6" t="s">
        <v>18</v>
      </c>
      <c r="I684">
        <v>89</v>
      </c>
      <c r="J684">
        <v>1</v>
      </c>
      <c r="K684">
        <v>89</v>
      </c>
      <c r="L684" s="6" t="s">
        <v>19</v>
      </c>
      <c r="M684" s="6" t="s">
        <v>89</v>
      </c>
      <c r="N684" s="6" t="s">
        <v>56</v>
      </c>
    </row>
    <row r="685" spans="1:14" x14ac:dyDescent="0.25">
      <c r="A685" s="6" t="s">
        <v>1125</v>
      </c>
      <c r="B685" s="4">
        <v>45873</v>
      </c>
      <c r="C685" s="6" t="s">
        <v>2793</v>
      </c>
      <c r="D685" s="7">
        <v>0.50069444444444444</v>
      </c>
      <c r="E685" s="6" t="s">
        <v>16</v>
      </c>
      <c r="F685" s="6" t="s">
        <v>1126</v>
      </c>
      <c r="G685" s="4">
        <v>31181</v>
      </c>
      <c r="H685" s="6" t="s">
        <v>141</v>
      </c>
      <c r="I685">
        <v>142</v>
      </c>
      <c r="J685">
        <v>1</v>
      </c>
      <c r="K685">
        <v>143</v>
      </c>
      <c r="L685" s="6" t="s">
        <v>54</v>
      </c>
      <c r="M685" s="6" t="s">
        <v>37</v>
      </c>
      <c r="N685" s="6" t="s">
        <v>56</v>
      </c>
    </row>
    <row r="686" spans="1:14" x14ac:dyDescent="0.25">
      <c r="A686" s="6" t="s">
        <v>1127</v>
      </c>
      <c r="B686" s="4">
        <v>45663</v>
      </c>
      <c r="C686" s="6" t="s">
        <v>2794</v>
      </c>
      <c r="D686" s="7">
        <v>0.52847222222222223</v>
      </c>
      <c r="E686" s="6" t="s">
        <v>16</v>
      </c>
      <c r="F686" s="6" t="s">
        <v>387</v>
      </c>
      <c r="G686" s="4">
        <v>25640</v>
      </c>
      <c r="H686" s="6" t="s">
        <v>126</v>
      </c>
      <c r="I686">
        <v>338</v>
      </c>
      <c r="J686">
        <v>1</v>
      </c>
      <c r="K686">
        <v>338</v>
      </c>
      <c r="L686" s="6" t="s">
        <v>54</v>
      </c>
      <c r="M686" s="6" t="s">
        <v>89</v>
      </c>
      <c r="N686" s="6" t="s">
        <v>21</v>
      </c>
    </row>
    <row r="687" spans="1:14" x14ac:dyDescent="0.25">
      <c r="A687" s="6" t="s">
        <v>1128</v>
      </c>
      <c r="B687" s="4">
        <v>45698</v>
      </c>
      <c r="C687" s="6" t="s">
        <v>2799</v>
      </c>
      <c r="D687" s="7">
        <v>0.78055555555555556</v>
      </c>
      <c r="E687" s="6" t="s">
        <v>16</v>
      </c>
      <c r="F687" s="6" t="s">
        <v>23</v>
      </c>
      <c r="G687" s="4">
        <v>40263</v>
      </c>
      <c r="H687" s="6" t="s">
        <v>104</v>
      </c>
      <c r="I687">
        <v>322</v>
      </c>
      <c r="J687">
        <v>1</v>
      </c>
      <c r="K687">
        <v>322</v>
      </c>
      <c r="L687" s="6" t="s">
        <v>54</v>
      </c>
      <c r="M687" s="6" t="s">
        <v>26</v>
      </c>
      <c r="N687" s="6" t="s">
        <v>105</v>
      </c>
    </row>
    <row r="688" spans="1:14" x14ac:dyDescent="0.25">
      <c r="A688" s="6" t="s">
        <v>1129</v>
      </c>
      <c r="B688" s="4">
        <v>45662</v>
      </c>
      <c r="C688" s="6" t="s">
        <v>2794</v>
      </c>
      <c r="D688" s="7">
        <v>0.58125000000000004</v>
      </c>
      <c r="E688" s="6" t="s">
        <v>16</v>
      </c>
      <c r="F688" s="6" t="s">
        <v>1130</v>
      </c>
      <c r="G688" s="4">
        <v>33584</v>
      </c>
      <c r="H688" s="6" t="s">
        <v>259</v>
      </c>
      <c r="I688">
        <v>257</v>
      </c>
      <c r="J688">
        <v>2</v>
      </c>
      <c r="K688">
        <v>514</v>
      </c>
      <c r="L688" s="6" t="s">
        <v>2787</v>
      </c>
      <c r="M688" s="6" t="s">
        <v>37</v>
      </c>
      <c r="N688" s="6" t="s">
        <v>27</v>
      </c>
    </row>
    <row r="689" spans="1:14" x14ac:dyDescent="0.25">
      <c r="A689" s="6" t="s">
        <v>1131</v>
      </c>
      <c r="B689" s="4">
        <v>45842</v>
      </c>
      <c r="C689" s="6" t="s">
        <v>2795</v>
      </c>
      <c r="D689" s="7">
        <v>0.98633101851851857</v>
      </c>
      <c r="E689" s="6" t="s">
        <v>16</v>
      </c>
      <c r="F689" s="6" t="s">
        <v>405</v>
      </c>
      <c r="G689" s="4">
        <v>25735</v>
      </c>
      <c r="H689" s="6" t="s">
        <v>116</v>
      </c>
      <c r="I689">
        <v>38</v>
      </c>
      <c r="J689">
        <v>2</v>
      </c>
      <c r="K689">
        <v>78</v>
      </c>
      <c r="L689" s="6" t="s">
        <v>41</v>
      </c>
      <c r="M689" s="6" t="s">
        <v>61</v>
      </c>
      <c r="N689" s="6" t="s">
        <v>27</v>
      </c>
    </row>
    <row r="690" spans="1:14" x14ac:dyDescent="0.25">
      <c r="A690" s="6" t="s">
        <v>1132</v>
      </c>
      <c r="B690" s="4">
        <v>45818</v>
      </c>
      <c r="C690" s="6" t="s">
        <v>2800</v>
      </c>
      <c r="D690" s="7">
        <v>0.76798611111111115</v>
      </c>
      <c r="E690" s="6" t="s">
        <v>16</v>
      </c>
      <c r="F690" s="6" t="s">
        <v>131</v>
      </c>
      <c r="G690" s="4">
        <v>34786</v>
      </c>
      <c r="H690" s="6" t="s">
        <v>73</v>
      </c>
      <c r="I690">
        <v>53</v>
      </c>
      <c r="J690">
        <v>1</v>
      </c>
      <c r="K690">
        <v>53</v>
      </c>
      <c r="L690" s="6" t="s">
        <v>19</v>
      </c>
      <c r="M690" s="6" t="s">
        <v>55</v>
      </c>
      <c r="N690" s="6" t="s">
        <v>105</v>
      </c>
    </row>
    <row r="691" spans="1:14" x14ac:dyDescent="0.25">
      <c r="A691" s="6" t="s">
        <v>1133</v>
      </c>
      <c r="B691" s="4">
        <v>45828</v>
      </c>
      <c r="C691" s="6" t="s">
        <v>2800</v>
      </c>
      <c r="D691" s="7">
        <v>0.93888888888888888</v>
      </c>
      <c r="E691" s="6" t="s">
        <v>16</v>
      </c>
      <c r="F691" s="6" t="s">
        <v>50</v>
      </c>
      <c r="G691" s="4">
        <v>28591</v>
      </c>
      <c r="H691" s="6" t="s">
        <v>259</v>
      </c>
      <c r="I691">
        <v>98</v>
      </c>
      <c r="J691">
        <v>2</v>
      </c>
      <c r="K691">
        <v>196</v>
      </c>
      <c r="L691" s="6" t="s">
        <v>41</v>
      </c>
      <c r="M691" s="6" t="s">
        <v>55</v>
      </c>
      <c r="N691" s="6" t="s">
        <v>74</v>
      </c>
    </row>
    <row r="692" spans="1:14" x14ac:dyDescent="0.25">
      <c r="A692" s="6" t="s">
        <v>1134</v>
      </c>
      <c r="B692" s="4">
        <v>45954</v>
      </c>
      <c r="C692" s="6" t="s">
        <v>2791</v>
      </c>
      <c r="D692" s="7">
        <v>0.86944444444444446</v>
      </c>
      <c r="E692" s="6" t="s">
        <v>16</v>
      </c>
      <c r="F692" s="6" t="s">
        <v>712</v>
      </c>
      <c r="G692" s="4">
        <v>38400</v>
      </c>
      <c r="H692" s="6" t="s">
        <v>18</v>
      </c>
      <c r="I692">
        <v>85</v>
      </c>
      <c r="J692">
        <v>3</v>
      </c>
      <c r="K692">
        <v>256</v>
      </c>
      <c r="L692" s="6" t="s">
        <v>54</v>
      </c>
      <c r="M692" s="6" t="s">
        <v>20</v>
      </c>
      <c r="N692" s="6" t="s">
        <v>74</v>
      </c>
    </row>
    <row r="693" spans="1:14" x14ac:dyDescent="0.25">
      <c r="A693" s="6" t="s">
        <v>1135</v>
      </c>
      <c r="B693" s="4">
        <v>45749</v>
      </c>
      <c r="C693" s="6" t="s">
        <v>2801</v>
      </c>
      <c r="D693" s="7">
        <v>0.66249999999999998</v>
      </c>
      <c r="E693" s="6" t="s">
        <v>16</v>
      </c>
      <c r="F693" s="6" t="s">
        <v>582</v>
      </c>
      <c r="G693" s="4">
        <v>34096</v>
      </c>
      <c r="H693" s="6" t="s">
        <v>104</v>
      </c>
      <c r="I693">
        <v>300</v>
      </c>
      <c r="J693">
        <v>1</v>
      </c>
      <c r="K693">
        <v>301</v>
      </c>
      <c r="L693" s="6" t="s">
        <v>41</v>
      </c>
      <c r="M693" s="6" t="s">
        <v>55</v>
      </c>
      <c r="N693" s="6" t="s">
        <v>105</v>
      </c>
    </row>
    <row r="694" spans="1:14" x14ac:dyDescent="0.25">
      <c r="A694" s="6" t="s">
        <v>1136</v>
      </c>
      <c r="B694" s="4">
        <v>45720</v>
      </c>
      <c r="C694" s="6" t="s">
        <v>2798</v>
      </c>
      <c r="D694" s="7">
        <v>0.48472222222222222</v>
      </c>
      <c r="E694" s="6" t="s">
        <v>16</v>
      </c>
      <c r="F694" s="6" t="s">
        <v>360</v>
      </c>
      <c r="G694" s="4">
        <v>27451</v>
      </c>
      <c r="H694" s="6" t="s">
        <v>104</v>
      </c>
      <c r="I694">
        <v>244</v>
      </c>
      <c r="J694">
        <v>1</v>
      </c>
      <c r="K694">
        <v>245</v>
      </c>
      <c r="L694" s="6" t="s">
        <v>41</v>
      </c>
      <c r="M694" s="6" t="s">
        <v>37</v>
      </c>
      <c r="N694" s="6" t="s">
        <v>56</v>
      </c>
    </row>
    <row r="695" spans="1:14" x14ac:dyDescent="0.25">
      <c r="A695" s="6" t="s">
        <v>1137</v>
      </c>
      <c r="B695" s="4">
        <v>45967</v>
      </c>
      <c r="C695" s="6" t="s">
        <v>2802</v>
      </c>
      <c r="D695" s="7">
        <v>0.89722222222222225</v>
      </c>
      <c r="E695" s="6" t="s">
        <v>16</v>
      </c>
      <c r="F695" s="6" t="s">
        <v>466</v>
      </c>
      <c r="G695" s="4">
        <v>27451</v>
      </c>
      <c r="H695" s="6" t="s">
        <v>104</v>
      </c>
      <c r="I695">
        <v>225</v>
      </c>
      <c r="J695">
        <v>1</v>
      </c>
      <c r="K695">
        <v>225</v>
      </c>
      <c r="L695" s="6" t="s">
        <v>41</v>
      </c>
      <c r="M695" s="6" t="s">
        <v>55</v>
      </c>
      <c r="N695" s="6" t="s">
        <v>56</v>
      </c>
    </row>
    <row r="696" spans="1:14" x14ac:dyDescent="0.25">
      <c r="A696" s="6" t="s">
        <v>1138</v>
      </c>
      <c r="B696" s="4">
        <v>45687</v>
      </c>
      <c r="C696" s="6" t="s">
        <v>2794</v>
      </c>
      <c r="D696" s="7">
        <v>0.88472222222222219</v>
      </c>
      <c r="E696" s="6" t="s">
        <v>16</v>
      </c>
      <c r="F696" s="6" t="s">
        <v>882</v>
      </c>
      <c r="G696" s="4">
        <v>37312</v>
      </c>
      <c r="H696" s="6" t="s">
        <v>110</v>
      </c>
      <c r="I696">
        <v>114</v>
      </c>
      <c r="J696">
        <v>3</v>
      </c>
      <c r="K696">
        <v>342</v>
      </c>
      <c r="L696" s="6" t="s">
        <v>54</v>
      </c>
      <c r="M696" s="6" t="s">
        <v>37</v>
      </c>
      <c r="N696" s="6" t="s">
        <v>48</v>
      </c>
    </row>
    <row r="697" spans="1:14" x14ac:dyDescent="0.25">
      <c r="A697" s="6" t="s">
        <v>1139</v>
      </c>
      <c r="B697" s="4">
        <v>45687</v>
      </c>
      <c r="C697" s="6" t="s">
        <v>2794</v>
      </c>
      <c r="D697" s="7">
        <v>0.90665509259259258</v>
      </c>
      <c r="E697" s="6" t="s">
        <v>16</v>
      </c>
      <c r="F697" s="6" t="s">
        <v>451</v>
      </c>
      <c r="G697" s="4">
        <v>25648</v>
      </c>
      <c r="H697" s="6" t="s">
        <v>53</v>
      </c>
      <c r="I697">
        <v>124</v>
      </c>
      <c r="J697">
        <v>2</v>
      </c>
      <c r="K697">
        <v>249</v>
      </c>
      <c r="L697" s="6" t="s">
        <v>2787</v>
      </c>
      <c r="M697" s="6" t="s">
        <v>20</v>
      </c>
      <c r="N697" s="6" t="s">
        <v>48</v>
      </c>
    </row>
    <row r="698" spans="1:14" x14ac:dyDescent="0.25">
      <c r="A698" s="6" t="s">
        <v>1140</v>
      </c>
      <c r="B698" s="4">
        <v>45627</v>
      </c>
      <c r="C698" s="6" t="s">
        <v>2796</v>
      </c>
      <c r="D698" s="7">
        <v>0.86319444444444449</v>
      </c>
      <c r="E698" s="6" t="s">
        <v>16</v>
      </c>
      <c r="F698" s="6" t="s">
        <v>107</v>
      </c>
      <c r="G698" s="4">
        <v>34327</v>
      </c>
      <c r="H698" s="6" t="s">
        <v>73</v>
      </c>
      <c r="I698">
        <v>124</v>
      </c>
      <c r="J698">
        <v>2</v>
      </c>
      <c r="K698">
        <v>249</v>
      </c>
      <c r="L698" s="6" t="s">
        <v>54</v>
      </c>
      <c r="M698" s="6" t="s">
        <v>89</v>
      </c>
      <c r="N698" s="6" t="s">
        <v>27</v>
      </c>
    </row>
    <row r="699" spans="1:14" x14ac:dyDescent="0.25">
      <c r="A699" s="6" t="s">
        <v>1141</v>
      </c>
      <c r="B699" s="4">
        <v>45761</v>
      </c>
      <c r="C699" s="6" t="s">
        <v>2801</v>
      </c>
      <c r="D699" s="7">
        <v>0.81527777777777777</v>
      </c>
      <c r="E699" s="6" t="s">
        <v>16</v>
      </c>
      <c r="F699" s="6" t="s">
        <v>161</v>
      </c>
      <c r="G699" s="4">
        <v>34327</v>
      </c>
      <c r="H699" s="6" t="s">
        <v>141</v>
      </c>
      <c r="I699">
        <v>162</v>
      </c>
      <c r="J699">
        <v>1</v>
      </c>
      <c r="K699">
        <v>163</v>
      </c>
      <c r="L699" s="6" t="s">
        <v>41</v>
      </c>
      <c r="M699" s="6" t="s">
        <v>61</v>
      </c>
      <c r="N699" s="6" t="s">
        <v>56</v>
      </c>
    </row>
    <row r="700" spans="1:14" x14ac:dyDescent="0.25">
      <c r="A700" s="6" t="s">
        <v>1142</v>
      </c>
      <c r="B700" s="4">
        <v>45982</v>
      </c>
      <c r="C700" s="6" t="s">
        <v>2802</v>
      </c>
      <c r="D700" s="7">
        <v>0.88749999999999996</v>
      </c>
      <c r="E700" s="6" t="s">
        <v>16</v>
      </c>
      <c r="F700" s="6" t="s">
        <v>628</v>
      </c>
      <c r="G700" s="4">
        <v>33338</v>
      </c>
      <c r="H700" s="6" t="s">
        <v>116</v>
      </c>
      <c r="I700">
        <v>236</v>
      </c>
      <c r="J700">
        <v>2</v>
      </c>
      <c r="K700">
        <v>474</v>
      </c>
      <c r="L700" s="6" t="s">
        <v>19</v>
      </c>
      <c r="M700" s="6" t="s">
        <v>26</v>
      </c>
      <c r="N700" s="6" t="s">
        <v>27</v>
      </c>
    </row>
    <row r="701" spans="1:14" x14ac:dyDescent="0.25">
      <c r="A701" s="6" t="s">
        <v>1143</v>
      </c>
      <c r="B701" s="4">
        <v>45896</v>
      </c>
      <c r="C701" s="6" t="s">
        <v>2793</v>
      </c>
      <c r="D701" s="7">
        <v>0.72291666666666665</v>
      </c>
      <c r="E701" s="6" t="s">
        <v>16</v>
      </c>
      <c r="F701" s="6" t="s">
        <v>492</v>
      </c>
      <c r="G701" s="4">
        <v>37138</v>
      </c>
      <c r="H701" s="6" t="s">
        <v>85</v>
      </c>
      <c r="I701">
        <v>208</v>
      </c>
      <c r="J701">
        <v>2</v>
      </c>
      <c r="K701">
        <v>418</v>
      </c>
      <c r="L701" s="6" t="s">
        <v>19</v>
      </c>
      <c r="M701" s="6" t="s">
        <v>61</v>
      </c>
      <c r="N701" s="6" t="s">
        <v>27</v>
      </c>
    </row>
    <row r="702" spans="1:14" x14ac:dyDescent="0.25">
      <c r="A702" s="6" t="s">
        <v>1145</v>
      </c>
      <c r="B702" s="4">
        <v>45635</v>
      </c>
      <c r="C702" s="6" t="s">
        <v>2796</v>
      </c>
      <c r="D702" s="7">
        <v>0.45902777777777776</v>
      </c>
      <c r="E702" s="6" t="s">
        <v>16</v>
      </c>
      <c r="F702" s="6" t="s">
        <v>512</v>
      </c>
      <c r="G702" s="4">
        <v>31732</v>
      </c>
      <c r="H702" s="6" t="s">
        <v>30</v>
      </c>
      <c r="I702">
        <v>218</v>
      </c>
      <c r="J702">
        <v>1</v>
      </c>
      <c r="K702">
        <v>218</v>
      </c>
      <c r="L702" s="6" t="s">
        <v>19</v>
      </c>
      <c r="M702" s="6" t="s">
        <v>61</v>
      </c>
      <c r="N702" s="6" t="s">
        <v>27</v>
      </c>
    </row>
    <row r="703" spans="1:14" x14ac:dyDescent="0.25">
      <c r="A703" s="6" t="s">
        <v>1147</v>
      </c>
      <c r="B703" s="4">
        <v>45813</v>
      </c>
      <c r="C703" s="6" t="s">
        <v>2800</v>
      </c>
      <c r="D703" s="7">
        <v>0.63667824074074075</v>
      </c>
      <c r="E703" s="6" t="s">
        <v>16</v>
      </c>
      <c r="F703" s="6" t="s">
        <v>256</v>
      </c>
      <c r="G703" s="4">
        <v>35872</v>
      </c>
      <c r="H703" s="6" t="s">
        <v>93</v>
      </c>
      <c r="I703">
        <v>153</v>
      </c>
      <c r="J703">
        <v>1</v>
      </c>
      <c r="K703">
        <v>154</v>
      </c>
      <c r="L703" s="6" t="s">
        <v>41</v>
      </c>
      <c r="M703" s="6" t="s">
        <v>61</v>
      </c>
      <c r="N703" s="6" t="s">
        <v>74</v>
      </c>
    </row>
    <row r="704" spans="1:14" x14ac:dyDescent="0.25">
      <c r="A704" s="6" t="s">
        <v>1148</v>
      </c>
      <c r="B704" s="4">
        <v>45971</v>
      </c>
      <c r="C704" s="6" t="s">
        <v>2802</v>
      </c>
      <c r="D704" s="7">
        <v>0.58163194444444444</v>
      </c>
      <c r="E704" s="6" t="s">
        <v>16</v>
      </c>
      <c r="F704" s="6" t="s">
        <v>29</v>
      </c>
      <c r="G704" s="4">
        <v>35392</v>
      </c>
      <c r="H704" s="6" t="s">
        <v>60</v>
      </c>
      <c r="I704">
        <v>162</v>
      </c>
      <c r="J704">
        <v>1</v>
      </c>
      <c r="K704">
        <v>100</v>
      </c>
      <c r="L704" s="6" t="s">
        <v>41</v>
      </c>
      <c r="M704" s="6" t="s">
        <v>61</v>
      </c>
      <c r="N704" s="6" t="s">
        <v>33</v>
      </c>
    </row>
    <row r="705" spans="1:14" x14ac:dyDescent="0.25">
      <c r="A705" s="6" t="s">
        <v>1149</v>
      </c>
      <c r="B705" s="4">
        <v>45912</v>
      </c>
      <c r="C705" s="6" t="s">
        <v>2797</v>
      </c>
      <c r="D705" s="7">
        <v>0.65201388888888889</v>
      </c>
      <c r="E705" s="6" t="s">
        <v>16</v>
      </c>
      <c r="F705" s="6" t="s">
        <v>232</v>
      </c>
      <c r="G705" s="4">
        <v>33069</v>
      </c>
      <c r="H705" s="6" t="s">
        <v>40</v>
      </c>
      <c r="I705">
        <v>174</v>
      </c>
      <c r="J705">
        <v>1</v>
      </c>
      <c r="K705">
        <v>175</v>
      </c>
      <c r="L705" s="6" t="s">
        <v>41</v>
      </c>
      <c r="M705" s="6" t="s">
        <v>37</v>
      </c>
      <c r="N705" s="6" t="s">
        <v>33</v>
      </c>
    </row>
    <row r="706" spans="1:14" x14ac:dyDescent="0.25">
      <c r="A706" s="6" t="s">
        <v>1150</v>
      </c>
      <c r="B706" s="4">
        <v>45722</v>
      </c>
      <c r="C706" s="6" t="s">
        <v>2798</v>
      </c>
      <c r="D706" s="7">
        <v>0.52857638888888892</v>
      </c>
      <c r="E706" s="6" t="s">
        <v>16</v>
      </c>
      <c r="F706" s="6" t="s">
        <v>246</v>
      </c>
      <c r="G706" s="4">
        <v>34289</v>
      </c>
      <c r="H706" s="6" t="s">
        <v>85</v>
      </c>
      <c r="I706">
        <v>166</v>
      </c>
      <c r="J706">
        <v>1</v>
      </c>
      <c r="K706">
        <v>166</v>
      </c>
      <c r="L706" s="6" t="s">
        <v>41</v>
      </c>
      <c r="M706" s="6" t="s">
        <v>55</v>
      </c>
      <c r="N706" s="6" t="s">
        <v>33</v>
      </c>
    </row>
    <row r="707" spans="1:14" x14ac:dyDescent="0.25">
      <c r="A707" s="6" t="s">
        <v>1151</v>
      </c>
      <c r="B707" s="4">
        <v>45916</v>
      </c>
      <c r="C707" s="6" t="s">
        <v>2797</v>
      </c>
      <c r="D707" s="7">
        <v>0.50069444444444444</v>
      </c>
      <c r="E707" s="6" t="s">
        <v>16</v>
      </c>
      <c r="F707" s="6" t="s">
        <v>131</v>
      </c>
      <c r="G707" s="4">
        <v>38356</v>
      </c>
      <c r="H707" s="6" t="s">
        <v>164</v>
      </c>
      <c r="I707">
        <v>241</v>
      </c>
      <c r="J707">
        <v>1</v>
      </c>
      <c r="K707">
        <v>242</v>
      </c>
      <c r="L707" s="6" t="s">
        <v>54</v>
      </c>
      <c r="M707" s="6" t="s">
        <v>32</v>
      </c>
      <c r="N707" s="6" t="s">
        <v>105</v>
      </c>
    </row>
    <row r="708" spans="1:14" x14ac:dyDescent="0.25">
      <c r="A708" s="6" t="s">
        <v>1152</v>
      </c>
      <c r="B708" s="4">
        <v>45633</v>
      </c>
      <c r="C708" s="6" t="s">
        <v>2796</v>
      </c>
      <c r="D708" s="7">
        <v>0.5496064814814815</v>
      </c>
      <c r="E708" s="6" t="s">
        <v>16</v>
      </c>
      <c r="F708" s="6" t="s">
        <v>471</v>
      </c>
      <c r="G708" s="4">
        <v>30740</v>
      </c>
      <c r="H708" s="6" t="s">
        <v>45</v>
      </c>
      <c r="I708">
        <v>210</v>
      </c>
      <c r="J708">
        <v>2</v>
      </c>
      <c r="K708">
        <v>421</v>
      </c>
      <c r="L708" s="6" t="s">
        <v>19</v>
      </c>
      <c r="M708" s="6" t="s">
        <v>26</v>
      </c>
      <c r="N708" s="6" t="s">
        <v>33</v>
      </c>
    </row>
    <row r="709" spans="1:14" x14ac:dyDescent="0.25">
      <c r="A709" s="6" t="s">
        <v>1153</v>
      </c>
      <c r="B709" s="4">
        <v>45926</v>
      </c>
      <c r="C709" s="6" t="s">
        <v>2797</v>
      </c>
      <c r="D709" s="7">
        <v>0.88249999999999995</v>
      </c>
      <c r="E709" s="6" t="s">
        <v>16</v>
      </c>
      <c r="F709" s="6" t="s">
        <v>397</v>
      </c>
      <c r="G709" s="4">
        <v>38775</v>
      </c>
      <c r="H709" s="6" t="s">
        <v>24</v>
      </c>
      <c r="I709">
        <v>202</v>
      </c>
      <c r="J709">
        <v>3</v>
      </c>
      <c r="K709">
        <v>607</v>
      </c>
      <c r="L709" s="6" t="s">
        <v>67</v>
      </c>
      <c r="M709" s="6" t="s">
        <v>61</v>
      </c>
      <c r="N709" s="6" t="s">
        <v>48</v>
      </c>
    </row>
    <row r="710" spans="1:14" x14ac:dyDescent="0.25">
      <c r="A710" s="6" t="s">
        <v>1154</v>
      </c>
      <c r="B710" s="4">
        <v>45936</v>
      </c>
      <c r="C710" s="6" t="s">
        <v>2791</v>
      </c>
      <c r="D710" s="7">
        <v>0.43611111111111112</v>
      </c>
      <c r="E710" s="6" t="s">
        <v>16</v>
      </c>
      <c r="F710" s="6" t="s">
        <v>237</v>
      </c>
      <c r="G710" s="4">
        <v>38775</v>
      </c>
      <c r="H710" s="6" t="s">
        <v>24</v>
      </c>
      <c r="I710">
        <v>246</v>
      </c>
      <c r="J710">
        <v>1</v>
      </c>
      <c r="K710">
        <v>246</v>
      </c>
      <c r="L710" s="6" t="s">
        <v>2787</v>
      </c>
      <c r="M710" s="6" t="s">
        <v>47</v>
      </c>
      <c r="N710" s="6" t="s">
        <v>105</v>
      </c>
    </row>
    <row r="711" spans="1:14" x14ac:dyDescent="0.25">
      <c r="A711" s="6" t="s">
        <v>1155</v>
      </c>
      <c r="B711" s="4">
        <v>45760</v>
      </c>
      <c r="C711" s="6" t="s">
        <v>2801</v>
      </c>
      <c r="D711" s="7">
        <v>0.80138888888888893</v>
      </c>
      <c r="E711" s="6" t="s">
        <v>16</v>
      </c>
      <c r="F711" s="6" t="s">
        <v>92</v>
      </c>
      <c r="G711" s="4">
        <v>29323</v>
      </c>
      <c r="H711" s="6" t="s">
        <v>40</v>
      </c>
      <c r="I711">
        <v>225</v>
      </c>
      <c r="J711">
        <v>1</v>
      </c>
      <c r="K711">
        <v>226</v>
      </c>
      <c r="L711" s="6" t="s">
        <v>2787</v>
      </c>
      <c r="M711" s="6" t="s">
        <v>47</v>
      </c>
      <c r="N711" s="6" t="s">
        <v>33</v>
      </c>
    </row>
    <row r="712" spans="1:14" x14ac:dyDescent="0.25">
      <c r="A712" s="6" t="s">
        <v>1156</v>
      </c>
      <c r="B712" s="4">
        <v>45742</v>
      </c>
      <c r="C712" s="6" t="s">
        <v>2798</v>
      </c>
      <c r="D712" s="7">
        <v>0.62100694444444449</v>
      </c>
      <c r="E712" s="6" t="s">
        <v>16</v>
      </c>
      <c r="F712" s="6" t="s">
        <v>1157</v>
      </c>
      <c r="G712" s="4">
        <v>37998</v>
      </c>
      <c r="H712" s="6" t="s">
        <v>213</v>
      </c>
      <c r="I712">
        <v>216</v>
      </c>
      <c r="J712">
        <v>3</v>
      </c>
      <c r="K712">
        <v>651</v>
      </c>
      <c r="L712" s="6" t="s">
        <v>54</v>
      </c>
      <c r="M712" s="6" t="s">
        <v>26</v>
      </c>
      <c r="N712" s="6" t="s">
        <v>27</v>
      </c>
    </row>
    <row r="713" spans="1:14" x14ac:dyDescent="0.25">
      <c r="A713" s="6" t="s">
        <v>1158</v>
      </c>
      <c r="B713" s="4">
        <v>45741</v>
      </c>
      <c r="C713" s="6" t="s">
        <v>2798</v>
      </c>
      <c r="D713" s="7">
        <v>0.54479166666666667</v>
      </c>
      <c r="E713" s="6" t="s">
        <v>16</v>
      </c>
      <c r="F713" s="6" t="s">
        <v>118</v>
      </c>
      <c r="G713" s="4">
        <v>25755</v>
      </c>
      <c r="H713" s="6" t="s">
        <v>129</v>
      </c>
      <c r="I713">
        <v>193</v>
      </c>
      <c r="J713">
        <v>2</v>
      </c>
      <c r="K713">
        <v>388</v>
      </c>
      <c r="L713" s="6" t="s">
        <v>41</v>
      </c>
      <c r="M713" s="6" t="s">
        <v>89</v>
      </c>
      <c r="N713" s="6" t="s">
        <v>27</v>
      </c>
    </row>
    <row r="714" spans="1:14" x14ac:dyDescent="0.25">
      <c r="A714" s="6" t="s">
        <v>1160</v>
      </c>
      <c r="B714" s="4">
        <v>45780</v>
      </c>
      <c r="C714" s="6" t="s">
        <v>2792</v>
      </c>
      <c r="D714" s="7">
        <v>0.6</v>
      </c>
      <c r="E714" s="6" t="s">
        <v>16</v>
      </c>
      <c r="F714" s="6" t="s">
        <v>258</v>
      </c>
      <c r="G714" s="4">
        <v>25755</v>
      </c>
      <c r="H714" s="6" t="s">
        <v>60</v>
      </c>
      <c r="I714">
        <v>319</v>
      </c>
      <c r="J714">
        <v>1</v>
      </c>
      <c r="K714">
        <v>358</v>
      </c>
      <c r="L714" s="6" t="s">
        <v>19</v>
      </c>
      <c r="M714" s="6" t="s">
        <v>32</v>
      </c>
      <c r="N714" s="6" t="s">
        <v>105</v>
      </c>
    </row>
    <row r="715" spans="1:14" x14ac:dyDescent="0.25">
      <c r="A715" s="6" t="s">
        <v>1161</v>
      </c>
      <c r="B715" s="4">
        <v>45779</v>
      </c>
      <c r="C715" s="6" t="s">
        <v>2792</v>
      </c>
      <c r="D715" s="7">
        <v>0.90902777777777777</v>
      </c>
      <c r="E715" s="6" t="s">
        <v>16</v>
      </c>
      <c r="F715" s="6" t="s">
        <v>659</v>
      </c>
      <c r="G715" s="4">
        <v>26935</v>
      </c>
      <c r="H715" s="6" t="s">
        <v>77</v>
      </c>
      <c r="I715">
        <v>282</v>
      </c>
      <c r="J715">
        <v>2</v>
      </c>
      <c r="K715">
        <v>565</v>
      </c>
      <c r="L715" s="6" t="s">
        <v>19</v>
      </c>
      <c r="M715" s="6" t="s">
        <v>37</v>
      </c>
      <c r="N715" s="6" t="s">
        <v>105</v>
      </c>
    </row>
    <row r="716" spans="1:14" x14ac:dyDescent="0.25">
      <c r="A716" s="6" t="s">
        <v>1162</v>
      </c>
      <c r="B716" s="4">
        <v>45771</v>
      </c>
      <c r="C716" s="6" t="s">
        <v>2801</v>
      </c>
      <c r="D716" s="7">
        <v>0.71003472222222219</v>
      </c>
      <c r="E716" s="6" t="s">
        <v>16</v>
      </c>
      <c r="F716" s="6" t="s">
        <v>144</v>
      </c>
      <c r="G716" s="4">
        <v>30431</v>
      </c>
      <c r="H716" s="6" t="s">
        <v>77</v>
      </c>
      <c r="I716">
        <v>176</v>
      </c>
      <c r="J716">
        <v>3</v>
      </c>
      <c r="K716">
        <v>531</v>
      </c>
      <c r="L716" s="6" t="s">
        <v>67</v>
      </c>
      <c r="M716" s="6" t="s">
        <v>37</v>
      </c>
      <c r="N716" s="6" t="s">
        <v>56</v>
      </c>
    </row>
    <row r="717" spans="1:14" x14ac:dyDescent="0.25">
      <c r="A717" s="6" t="s">
        <v>1164</v>
      </c>
      <c r="B717" s="4">
        <v>45975</v>
      </c>
      <c r="C717" s="6" t="s">
        <v>2802</v>
      </c>
      <c r="D717" s="7">
        <v>0.51736111111111116</v>
      </c>
      <c r="E717" s="6" t="s">
        <v>16</v>
      </c>
      <c r="F717" s="6" t="s">
        <v>512</v>
      </c>
      <c r="G717" s="4">
        <v>39153</v>
      </c>
      <c r="H717" s="6" t="s">
        <v>164</v>
      </c>
      <c r="I717">
        <v>336</v>
      </c>
      <c r="J717">
        <v>1</v>
      </c>
      <c r="K717">
        <v>100</v>
      </c>
      <c r="L717" s="6" t="s">
        <v>41</v>
      </c>
      <c r="M717" s="6" t="s">
        <v>37</v>
      </c>
      <c r="N717" s="6" t="s">
        <v>48</v>
      </c>
    </row>
    <row r="718" spans="1:14" x14ac:dyDescent="0.25">
      <c r="A718" s="6" t="s">
        <v>1166</v>
      </c>
      <c r="B718" s="4">
        <v>45845</v>
      </c>
      <c r="C718" s="6" t="s">
        <v>2795</v>
      </c>
      <c r="D718" s="7">
        <v>0.56791666666666663</v>
      </c>
      <c r="E718" s="6" t="s">
        <v>16</v>
      </c>
      <c r="F718" s="6" t="s">
        <v>59</v>
      </c>
      <c r="G718" s="4">
        <v>39153</v>
      </c>
      <c r="H718" s="6" t="s">
        <v>199</v>
      </c>
      <c r="I718">
        <v>216</v>
      </c>
      <c r="J718">
        <v>2</v>
      </c>
      <c r="K718">
        <v>433</v>
      </c>
      <c r="L718" s="6" t="s">
        <v>54</v>
      </c>
      <c r="M718" s="6" t="s">
        <v>32</v>
      </c>
      <c r="N718" s="6" t="s">
        <v>74</v>
      </c>
    </row>
    <row r="719" spans="1:14" x14ac:dyDescent="0.25">
      <c r="A719" s="6" t="s">
        <v>1167</v>
      </c>
      <c r="B719" s="4">
        <v>45716</v>
      </c>
      <c r="C719" s="6" t="s">
        <v>2799</v>
      </c>
      <c r="D719" s="7">
        <v>0.97083333333333333</v>
      </c>
      <c r="E719" s="6" t="s">
        <v>16</v>
      </c>
      <c r="F719" s="6" t="s">
        <v>252</v>
      </c>
      <c r="G719" s="4">
        <v>27675</v>
      </c>
      <c r="H719" s="6" t="s">
        <v>141</v>
      </c>
      <c r="I719">
        <v>158</v>
      </c>
      <c r="J719">
        <v>1</v>
      </c>
      <c r="K719">
        <v>158</v>
      </c>
      <c r="L719" s="6" t="s">
        <v>54</v>
      </c>
      <c r="M719" s="6" t="s">
        <v>55</v>
      </c>
      <c r="N719" s="6" t="s">
        <v>56</v>
      </c>
    </row>
    <row r="720" spans="1:14" x14ac:dyDescent="0.25">
      <c r="A720" s="6" t="s">
        <v>1169</v>
      </c>
      <c r="B720" s="4">
        <v>45821</v>
      </c>
      <c r="C720" s="6" t="s">
        <v>2800</v>
      </c>
      <c r="D720" s="7">
        <v>0.86597222222222225</v>
      </c>
      <c r="E720" s="6" t="s">
        <v>16</v>
      </c>
      <c r="F720" s="6" t="s">
        <v>187</v>
      </c>
      <c r="G720" s="4">
        <v>33584</v>
      </c>
      <c r="H720" s="6" t="s">
        <v>129</v>
      </c>
      <c r="I720">
        <v>162</v>
      </c>
      <c r="J720">
        <v>1</v>
      </c>
      <c r="K720">
        <v>162</v>
      </c>
      <c r="L720" s="6" t="s">
        <v>67</v>
      </c>
      <c r="M720" s="6" t="s">
        <v>20</v>
      </c>
      <c r="N720" s="6" t="s">
        <v>21</v>
      </c>
    </row>
    <row r="721" spans="1:14" x14ac:dyDescent="0.25">
      <c r="A721" s="6" t="s">
        <v>1170</v>
      </c>
      <c r="B721" s="4">
        <v>45623</v>
      </c>
      <c r="C721" s="6" t="s">
        <v>2802</v>
      </c>
      <c r="D721" s="7">
        <v>0.61464120370370368</v>
      </c>
      <c r="E721" s="6" t="s">
        <v>16</v>
      </c>
      <c r="F721" s="6" t="s">
        <v>389</v>
      </c>
      <c r="G721" s="4">
        <v>34494</v>
      </c>
      <c r="H721" s="6" t="s">
        <v>243</v>
      </c>
      <c r="I721">
        <v>136</v>
      </c>
      <c r="J721">
        <v>1</v>
      </c>
      <c r="K721">
        <v>136</v>
      </c>
      <c r="L721" s="6" t="s">
        <v>41</v>
      </c>
      <c r="M721" s="6" t="s">
        <v>55</v>
      </c>
      <c r="N721" s="6" t="s">
        <v>48</v>
      </c>
    </row>
    <row r="722" spans="1:14" x14ac:dyDescent="0.25">
      <c r="A722" s="6" t="s">
        <v>1171</v>
      </c>
      <c r="B722" s="4">
        <v>45836</v>
      </c>
      <c r="C722" s="6" t="s">
        <v>2800</v>
      </c>
      <c r="D722" s="7">
        <v>0.66249999999999998</v>
      </c>
      <c r="E722" s="6" t="s">
        <v>16</v>
      </c>
      <c r="F722" s="6" t="s">
        <v>237</v>
      </c>
      <c r="G722" s="4">
        <v>37184</v>
      </c>
      <c r="H722" s="6" t="s">
        <v>141</v>
      </c>
      <c r="I722">
        <v>141</v>
      </c>
      <c r="J722">
        <v>2</v>
      </c>
      <c r="K722">
        <v>283</v>
      </c>
      <c r="L722" s="6" t="s">
        <v>41</v>
      </c>
      <c r="M722" s="6" t="s">
        <v>89</v>
      </c>
      <c r="N722" s="6" t="s">
        <v>48</v>
      </c>
    </row>
    <row r="723" spans="1:14" x14ac:dyDescent="0.25">
      <c r="A723" s="6" t="s">
        <v>1173</v>
      </c>
      <c r="B723" s="4">
        <v>45908</v>
      </c>
      <c r="C723" s="6" t="s">
        <v>2797</v>
      </c>
      <c r="D723" s="7">
        <v>0.51591435185185186</v>
      </c>
      <c r="E723" s="6" t="s">
        <v>16</v>
      </c>
      <c r="F723" s="6" t="s">
        <v>218</v>
      </c>
      <c r="G723" s="4">
        <v>28689</v>
      </c>
      <c r="H723" s="6" t="s">
        <v>259</v>
      </c>
      <c r="I723">
        <v>141</v>
      </c>
      <c r="J723">
        <v>2</v>
      </c>
      <c r="K723">
        <v>283</v>
      </c>
      <c r="L723" s="6" t="s">
        <v>19</v>
      </c>
      <c r="M723" s="6" t="s">
        <v>61</v>
      </c>
      <c r="N723" s="6" t="s">
        <v>48</v>
      </c>
    </row>
    <row r="724" spans="1:14" x14ac:dyDescent="0.25">
      <c r="A724" s="6" t="s">
        <v>1174</v>
      </c>
      <c r="B724" s="4">
        <v>45706</v>
      </c>
      <c r="C724" s="6" t="s">
        <v>2799</v>
      </c>
      <c r="D724" s="7">
        <v>0.55555555555555558</v>
      </c>
      <c r="E724" s="6" t="s">
        <v>16</v>
      </c>
      <c r="F724" s="6" t="s">
        <v>1175</v>
      </c>
      <c r="G724" s="4">
        <v>30912</v>
      </c>
      <c r="H724" s="6" t="s">
        <v>259</v>
      </c>
      <c r="I724">
        <v>219</v>
      </c>
      <c r="J724">
        <v>2</v>
      </c>
      <c r="K724">
        <v>440</v>
      </c>
      <c r="L724" s="6" t="s">
        <v>19</v>
      </c>
      <c r="M724" s="6" t="s">
        <v>20</v>
      </c>
      <c r="N724" s="6" t="s">
        <v>48</v>
      </c>
    </row>
    <row r="725" spans="1:14" x14ac:dyDescent="0.25">
      <c r="A725" s="6" t="s">
        <v>1176</v>
      </c>
      <c r="B725" s="4">
        <v>45829</v>
      </c>
      <c r="C725" s="6" t="s">
        <v>2800</v>
      </c>
      <c r="D725" s="7">
        <v>0.87222222222222223</v>
      </c>
      <c r="E725" s="6" t="s">
        <v>16</v>
      </c>
      <c r="F725" s="6" t="s">
        <v>191</v>
      </c>
      <c r="G725" s="4">
        <v>27202</v>
      </c>
      <c r="H725" s="6" t="s">
        <v>24</v>
      </c>
      <c r="I725">
        <v>204</v>
      </c>
      <c r="J725">
        <v>1</v>
      </c>
      <c r="K725">
        <v>205</v>
      </c>
      <c r="L725" s="6" t="s">
        <v>41</v>
      </c>
      <c r="M725" s="6" t="s">
        <v>55</v>
      </c>
      <c r="N725" s="6" t="s">
        <v>48</v>
      </c>
    </row>
    <row r="726" spans="1:14" x14ac:dyDescent="0.25">
      <c r="A726" s="6" t="s">
        <v>1177</v>
      </c>
      <c r="B726" s="4">
        <v>45737</v>
      </c>
      <c r="C726" s="6" t="s">
        <v>2798</v>
      </c>
      <c r="D726" s="7">
        <v>0.43125000000000002</v>
      </c>
      <c r="E726" s="6" t="s">
        <v>16</v>
      </c>
      <c r="F726" s="6" t="s">
        <v>628</v>
      </c>
      <c r="G726" s="4">
        <v>39333</v>
      </c>
      <c r="H726" s="6" t="s">
        <v>53</v>
      </c>
      <c r="I726">
        <v>102</v>
      </c>
      <c r="J726">
        <v>2</v>
      </c>
      <c r="K726">
        <v>204</v>
      </c>
      <c r="L726" s="6" t="s">
        <v>19</v>
      </c>
      <c r="M726" s="6" t="s">
        <v>55</v>
      </c>
      <c r="N726" s="6" t="s">
        <v>48</v>
      </c>
    </row>
    <row r="727" spans="1:14" x14ac:dyDescent="0.25">
      <c r="A727" s="6" t="s">
        <v>1178</v>
      </c>
      <c r="B727" s="4">
        <v>45848</v>
      </c>
      <c r="C727" s="6" t="s">
        <v>2795</v>
      </c>
      <c r="D727" s="7">
        <v>0.6343981481481481</v>
      </c>
      <c r="E727" s="6" t="s">
        <v>16</v>
      </c>
      <c r="F727" s="6" t="s">
        <v>79</v>
      </c>
      <c r="G727" s="4">
        <v>36635</v>
      </c>
      <c r="H727" s="6" t="s">
        <v>53</v>
      </c>
      <c r="I727">
        <v>82</v>
      </c>
      <c r="J727">
        <v>3</v>
      </c>
      <c r="K727">
        <v>246</v>
      </c>
      <c r="L727" s="6" t="s">
        <v>19</v>
      </c>
      <c r="M727" s="6" t="s">
        <v>55</v>
      </c>
      <c r="N727" s="6" t="s">
        <v>48</v>
      </c>
    </row>
    <row r="728" spans="1:14" x14ac:dyDescent="0.25">
      <c r="A728" s="6" t="s">
        <v>1180</v>
      </c>
      <c r="B728" s="4">
        <v>45948</v>
      </c>
      <c r="C728" s="6" t="s">
        <v>2791</v>
      </c>
      <c r="D728" s="7">
        <v>0.94722222222222219</v>
      </c>
      <c r="E728" s="6" t="s">
        <v>16</v>
      </c>
      <c r="F728" s="6" t="s">
        <v>338</v>
      </c>
      <c r="G728" s="4">
        <v>35253</v>
      </c>
      <c r="H728" s="6" t="s">
        <v>116</v>
      </c>
      <c r="I728">
        <v>329</v>
      </c>
      <c r="J728">
        <v>3</v>
      </c>
      <c r="K728">
        <v>988</v>
      </c>
      <c r="L728" s="6" t="s">
        <v>41</v>
      </c>
      <c r="M728" s="6" t="s">
        <v>20</v>
      </c>
      <c r="N728" s="6" t="s">
        <v>56</v>
      </c>
    </row>
    <row r="729" spans="1:14" x14ac:dyDescent="0.25">
      <c r="A729" s="6" t="s">
        <v>1182</v>
      </c>
      <c r="B729" s="4">
        <v>45721</v>
      </c>
      <c r="C729" s="6" t="s">
        <v>2798</v>
      </c>
      <c r="D729" s="7">
        <v>0.71180555555555558</v>
      </c>
      <c r="E729" s="6" t="s">
        <v>16</v>
      </c>
      <c r="F729" s="6" t="s">
        <v>512</v>
      </c>
      <c r="G729" s="4">
        <v>39939</v>
      </c>
      <c r="H729" s="6" t="s">
        <v>164</v>
      </c>
      <c r="I729">
        <v>321</v>
      </c>
      <c r="J729">
        <v>2</v>
      </c>
      <c r="K729">
        <v>643</v>
      </c>
      <c r="L729" s="6" t="s">
        <v>41</v>
      </c>
      <c r="M729" s="6" t="s">
        <v>61</v>
      </c>
      <c r="N729" s="6" t="s">
        <v>105</v>
      </c>
    </row>
    <row r="730" spans="1:14" x14ac:dyDescent="0.25">
      <c r="A730" s="6" t="s">
        <v>1183</v>
      </c>
      <c r="B730" s="4">
        <v>45811</v>
      </c>
      <c r="C730" s="6" t="s">
        <v>2800</v>
      </c>
      <c r="D730" s="7">
        <v>0.80625000000000002</v>
      </c>
      <c r="E730" s="6" t="s">
        <v>16</v>
      </c>
      <c r="F730" s="6" t="s">
        <v>1184</v>
      </c>
      <c r="G730" s="4">
        <v>39697</v>
      </c>
      <c r="H730" s="6" t="s">
        <v>36</v>
      </c>
      <c r="I730">
        <v>92</v>
      </c>
      <c r="J730">
        <v>3</v>
      </c>
      <c r="K730">
        <v>276</v>
      </c>
      <c r="L730" s="6" t="s">
        <v>54</v>
      </c>
      <c r="M730" s="6" t="s">
        <v>20</v>
      </c>
      <c r="N730" s="6" t="s">
        <v>74</v>
      </c>
    </row>
    <row r="731" spans="1:14" x14ac:dyDescent="0.25">
      <c r="A731" s="6" t="s">
        <v>1185</v>
      </c>
      <c r="B731" s="4">
        <v>45945</v>
      </c>
      <c r="C731" s="6" t="s">
        <v>2791</v>
      </c>
      <c r="D731" s="7">
        <v>0.83819444444444446</v>
      </c>
      <c r="E731" s="6" t="s">
        <v>16</v>
      </c>
      <c r="F731" s="6" t="s">
        <v>169</v>
      </c>
      <c r="G731" s="4">
        <v>26708</v>
      </c>
      <c r="H731" s="6" t="s">
        <v>202</v>
      </c>
      <c r="I731">
        <v>94</v>
      </c>
      <c r="J731">
        <v>1</v>
      </c>
      <c r="K731">
        <v>95</v>
      </c>
      <c r="L731" s="6" t="s">
        <v>41</v>
      </c>
      <c r="M731" s="6" t="s">
        <v>20</v>
      </c>
      <c r="N731" s="6" t="s">
        <v>48</v>
      </c>
    </row>
    <row r="732" spans="1:14" x14ac:dyDescent="0.25">
      <c r="A732" s="6" t="s">
        <v>1187</v>
      </c>
      <c r="B732" s="4">
        <v>45638</v>
      </c>
      <c r="C732" s="6" t="s">
        <v>2796</v>
      </c>
      <c r="D732" s="7">
        <v>0.54236111111111107</v>
      </c>
      <c r="E732" s="6" t="s">
        <v>16</v>
      </c>
      <c r="F732" s="6" t="s">
        <v>140</v>
      </c>
      <c r="G732" s="4">
        <v>27247</v>
      </c>
      <c r="H732" s="6" t="s">
        <v>202</v>
      </c>
      <c r="I732">
        <v>51</v>
      </c>
      <c r="J732">
        <v>1</v>
      </c>
      <c r="K732">
        <v>51</v>
      </c>
      <c r="L732" s="6" t="s">
        <v>19</v>
      </c>
      <c r="M732" s="6" t="s">
        <v>37</v>
      </c>
      <c r="N732" s="6" t="s">
        <v>48</v>
      </c>
    </row>
    <row r="733" spans="1:14" x14ac:dyDescent="0.25">
      <c r="A733" s="6" t="s">
        <v>1188</v>
      </c>
      <c r="B733" s="4">
        <v>45940</v>
      </c>
      <c r="C733" s="6" t="s">
        <v>2791</v>
      </c>
      <c r="D733" s="7">
        <v>0.69027777777777777</v>
      </c>
      <c r="E733" s="6" t="s">
        <v>16</v>
      </c>
      <c r="F733" s="6" t="s">
        <v>659</v>
      </c>
      <c r="G733" s="4">
        <v>34371</v>
      </c>
      <c r="H733" s="6" t="s">
        <v>199</v>
      </c>
      <c r="I733">
        <v>183</v>
      </c>
      <c r="J733">
        <v>2</v>
      </c>
      <c r="K733">
        <v>367</v>
      </c>
      <c r="L733" s="6" t="s">
        <v>41</v>
      </c>
      <c r="M733" s="6" t="s">
        <v>37</v>
      </c>
      <c r="N733" s="6" t="s">
        <v>48</v>
      </c>
    </row>
    <row r="734" spans="1:14" x14ac:dyDescent="0.25">
      <c r="A734" s="6" t="s">
        <v>1189</v>
      </c>
      <c r="B734" s="4">
        <v>45788</v>
      </c>
      <c r="C734" s="6" t="s">
        <v>2792</v>
      </c>
      <c r="D734" s="7">
        <v>0.4201388888888889</v>
      </c>
      <c r="E734" s="6" t="s">
        <v>16</v>
      </c>
      <c r="F734" s="6" t="s">
        <v>76</v>
      </c>
      <c r="G734" s="4">
        <v>34371</v>
      </c>
      <c r="H734" s="6" t="s">
        <v>164</v>
      </c>
      <c r="I734">
        <v>356</v>
      </c>
      <c r="J734">
        <v>2</v>
      </c>
      <c r="K734">
        <v>712</v>
      </c>
      <c r="L734" s="6" t="s">
        <v>54</v>
      </c>
      <c r="M734" s="6" t="s">
        <v>47</v>
      </c>
      <c r="N734" s="6" t="s">
        <v>74</v>
      </c>
    </row>
    <row r="735" spans="1:14" x14ac:dyDescent="0.25">
      <c r="A735" s="6" t="s">
        <v>1192</v>
      </c>
      <c r="B735" s="4">
        <v>45949</v>
      </c>
      <c r="C735" s="6" t="s">
        <v>2791</v>
      </c>
      <c r="D735" s="7">
        <v>0.54083333333333339</v>
      </c>
      <c r="E735" s="6" t="s">
        <v>16</v>
      </c>
      <c r="F735" s="6" t="s">
        <v>84</v>
      </c>
      <c r="G735" s="4">
        <v>32520</v>
      </c>
      <c r="H735" s="6" t="s">
        <v>126</v>
      </c>
      <c r="I735">
        <v>130</v>
      </c>
      <c r="J735">
        <v>2</v>
      </c>
      <c r="K735">
        <v>262</v>
      </c>
      <c r="L735" s="6" t="s">
        <v>41</v>
      </c>
      <c r="M735" s="6" t="s">
        <v>26</v>
      </c>
      <c r="N735" s="6" t="s">
        <v>56</v>
      </c>
    </row>
    <row r="736" spans="1:14" x14ac:dyDescent="0.25">
      <c r="A736" s="6" t="s">
        <v>1194</v>
      </c>
      <c r="B736" s="4">
        <v>45908</v>
      </c>
      <c r="C736" s="6" t="s">
        <v>2797</v>
      </c>
      <c r="D736" s="7">
        <v>0.564849537037037</v>
      </c>
      <c r="E736" s="6" t="s">
        <v>16</v>
      </c>
      <c r="F736" s="6" t="s">
        <v>131</v>
      </c>
      <c r="G736" s="4">
        <v>28594</v>
      </c>
      <c r="H736" s="6" t="s">
        <v>141</v>
      </c>
      <c r="I736">
        <v>143</v>
      </c>
      <c r="J736">
        <v>1</v>
      </c>
      <c r="K736">
        <v>143</v>
      </c>
      <c r="L736" s="6" t="s">
        <v>2787</v>
      </c>
      <c r="M736" s="6" t="s">
        <v>37</v>
      </c>
      <c r="N736" s="6" t="s">
        <v>56</v>
      </c>
    </row>
    <row r="737" spans="1:14" x14ac:dyDescent="0.25">
      <c r="A737" s="6" t="s">
        <v>1196</v>
      </c>
      <c r="B737" s="4">
        <v>45815</v>
      </c>
      <c r="C737" s="6" t="s">
        <v>2800</v>
      </c>
      <c r="D737" s="7">
        <v>0.81874999999999998</v>
      </c>
      <c r="E737" s="6" t="s">
        <v>16</v>
      </c>
      <c r="F737" s="6" t="s">
        <v>204</v>
      </c>
      <c r="G737" s="4">
        <v>39004</v>
      </c>
      <c r="H737" s="6" t="s">
        <v>60</v>
      </c>
      <c r="I737">
        <v>152</v>
      </c>
      <c r="J737">
        <v>2</v>
      </c>
      <c r="K737">
        <v>304</v>
      </c>
      <c r="L737" s="6" t="s">
        <v>2787</v>
      </c>
      <c r="M737" s="6" t="s">
        <v>61</v>
      </c>
      <c r="N737" s="6" t="s">
        <v>27</v>
      </c>
    </row>
    <row r="738" spans="1:14" x14ac:dyDescent="0.25">
      <c r="A738" s="6" t="s">
        <v>1198</v>
      </c>
      <c r="B738" s="4">
        <v>45807</v>
      </c>
      <c r="C738" s="6" t="s">
        <v>2792</v>
      </c>
      <c r="D738" s="7">
        <v>0.42986111111111114</v>
      </c>
      <c r="E738" s="6" t="s">
        <v>16</v>
      </c>
      <c r="F738" s="6" t="s">
        <v>158</v>
      </c>
      <c r="G738" s="4">
        <v>31712</v>
      </c>
      <c r="H738" s="6" t="s">
        <v>93</v>
      </c>
      <c r="I738">
        <v>237</v>
      </c>
      <c r="J738">
        <v>1</v>
      </c>
      <c r="K738">
        <v>237</v>
      </c>
      <c r="L738" s="6" t="s">
        <v>2787</v>
      </c>
      <c r="M738" s="6" t="s">
        <v>20</v>
      </c>
      <c r="N738" s="6" t="s">
        <v>27</v>
      </c>
    </row>
    <row r="739" spans="1:14" x14ac:dyDescent="0.25">
      <c r="A739" s="6" t="s">
        <v>1200</v>
      </c>
      <c r="B739" s="4">
        <v>45932</v>
      </c>
      <c r="C739" s="6" t="s">
        <v>2791</v>
      </c>
      <c r="D739" s="7">
        <v>0.92986111111111114</v>
      </c>
      <c r="E739" s="6" t="s">
        <v>16</v>
      </c>
      <c r="F739" s="6" t="s">
        <v>109</v>
      </c>
      <c r="G739" s="4">
        <v>31712</v>
      </c>
      <c r="H739" s="6" t="s">
        <v>145</v>
      </c>
      <c r="I739">
        <v>106</v>
      </c>
      <c r="J739">
        <v>2</v>
      </c>
      <c r="K739">
        <v>214</v>
      </c>
      <c r="L739" s="6" t="s">
        <v>41</v>
      </c>
      <c r="M739" s="6" t="s">
        <v>89</v>
      </c>
      <c r="N739" s="6" t="s">
        <v>27</v>
      </c>
    </row>
    <row r="740" spans="1:14" x14ac:dyDescent="0.25">
      <c r="A740" s="6" t="s">
        <v>1201</v>
      </c>
      <c r="B740" s="4">
        <v>45958</v>
      </c>
      <c r="C740" s="6" t="s">
        <v>2791</v>
      </c>
      <c r="D740" s="7">
        <v>0.62361111111111112</v>
      </c>
      <c r="E740" s="6" t="s">
        <v>16</v>
      </c>
      <c r="F740" s="6" t="s">
        <v>1202</v>
      </c>
      <c r="G740" s="4">
        <v>33329</v>
      </c>
      <c r="H740" s="6" t="s">
        <v>77</v>
      </c>
      <c r="I740">
        <v>200</v>
      </c>
      <c r="J740">
        <v>1</v>
      </c>
      <c r="K740">
        <v>200</v>
      </c>
      <c r="L740" s="6" t="s">
        <v>41</v>
      </c>
      <c r="M740" s="6" t="s">
        <v>37</v>
      </c>
      <c r="N740" s="6" t="s">
        <v>105</v>
      </c>
    </row>
    <row r="741" spans="1:14" x14ac:dyDescent="0.25">
      <c r="A741" s="6" t="s">
        <v>1203</v>
      </c>
      <c r="B741" s="4">
        <v>45660</v>
      </c>
      <c r="C741" s="6" t="s">
        <v>2794</v>
      </c>
      <c r="D741" s="7">
        <v>0.56944444444444442</v>
      </c>
      <c r="E741" s="6" t="s">
        <v>16</v>
      </c>
      <c r="F741" s="6" t="s">
        <v>387</v>
      </c>
      <c r="G741" s="4">
        <v>37821</v>
      </c>
      <c r="H741" s="6" t="s">
        <v>199</v>
      </c>
      <c r="I741">
        <v>189</v>
      </c>
      <c r="J741">
        <v>1</v>
      </c>
      <c r="K741">
        <v>190</v>
      </c>
      <c r="L741" s="6" t="s">
        <v>41</v>
      </c>
      <c r="M741" s="6" t="s">
        <v>26</v>
      </c>
      <c r="N741" s="6" t="s">
        <v>105</v>
      </c>
    </row>
    <row r="742" spans="1:14" x14ac:dyDescent="0.25">
      <c r="A742" s="6" t="s">
        <v>1204</v>
      </c>
      <c r="B742" s="4">
        <v>45643</v>
      </c>
      <c r="C742" s="6" t="s">
        <v>2796</v>
      </c>
      <c r="D742" s="7">
        <v>0.57013888888888886</v>
      </c>
      <c r="E742" s="6" t="s">
        <v>16</v>
      </c>
      <c r="F742" s="6" t="s">
        <v>1206</v>
      </c>
      <c r="G742" s="4">
        <v>39027</v>
      </c>
      <c r="H742" s="6" t="s">
        <v>60</v>
      </c>
      <c r="I742">
        <v>277</v>
      </c>
      <c r="J742">
        <v>2</v>
      </c>
      <c r="K742">
        <v>556</v>
      </c>
      <c r="L742" s="6" t="s">
        <v>54</v>
      </c>
      <c r="M742" s="6" t="s">
        <v>89</v>
      </c>
      <c r="N742" s="6" t="s">
        <v>105</v>
      </c>
    </row>
    <row r="743" spans="1:14" x14ac:dyDescent="0.25">
      <c r="A743" s="6" t="s">
        <v>1207</v>
      </c>
      <c r="B743" s="4">
        <v>45643</v>
      </c>
      <c r="C743" s="6" t="s">
        <v>2796</v>
      </c>
      <c r="D743" s="7">
        <v>0.89861111111111114</v>
      </c>
      <c r="E743" s="6" t="s">
        <v>16</v>
      </c>
      <c r="F743" s="6" t="s">
        <v>411</v>
      </c>
      <c r="G743" s="4">
        <v>25929</v>
      </c>
      <c r="H743" s="6" t="s">
        <v>202</v>
      </c>
      <c r="I743">
        <v>249</v>
      </c>
      <c r="J743">
        <v>1</v>
      </c>
      <c r="K743">
        <v>250</v>
      </c>
      <c r="L743" s="6" t="s">
        <v>19</v>
      </c>
      <c r="M743" s="6" t="s">
        <v>89</v>
      </c>
      <c r="N743" s="6" t="s">
        <v>56</v>
      </c>
    </row>
    <row r="744" spans="1:14" x14ac:dyDescent="0.25">
      <c r="A744" s="6" t="s">
        <v>1208</v>
      </c>
      <c r="B744" s="4">
        <v>45813</v>
      </c>
      <c r="C744" s="6" t="s">
        <v>2800</v>
      </c>
      <c r="D744" s="7">
        <v>0.44305555555555554</v>
      </c>
      <c r="E744" s="6" t="s">
        <v>16</v>
      </c>
      <c r="F744" s="6" t="s">
        <v>218</v>
      </c>
      <c r="G744" s="4">
        <v>38324</v>
      </c>
      <c r="H744" s="6" t="s">
        <v>110</v>
      </c>
      <c r="I744">
        <v>125</v>
      </c>
      <c r="J744">
        <v>2</v>
      </c>
      <c r="L744" s="6" t="s">
        <v>2787</v>
      </c>
      <c r="M744" s="6" t="s">
        <v>55</v>
      </c>
      <c r="N744" s="6" t="s">
        <v>33</v>
      </c>
    </row>
    <row r="745" spans="1:14" x14ac:dyDescent="0.25">
      <c r="A745" s="6" t="s">
        <v>1210</v>
      </c>
      <c r="B745" s="4">
        <v>45623</v>
      </c>
      <c r="C745" s="6" t="s">
        <v>2802</v>
      </c>
      <c r="D745" s="7">
        <v>0.58858796296296301</v>
      </c>
      <c r="E745" s="6" t="s">
        <v>16</v>
      </c>
      <c r="F745" s="6" t="s">
        <v>252</v>
      </c>
      <c r="G745" s="4">
        <v>38052</v>
      </c>
      <c r="H745" s="6" t="s">
        <v>85</v>
      </c>
      <c r="I745">
        <v>333</v>
      </c>
      <c r="J745">
        <v>2</v>
      </c>
      <c r="K745">
        <v>667</v>
      </c>
      <c r="L745" s="6" t="s">
        <v>54</v>
      </c>
      <c r="M745" s="6" t="s">
        <v>61</v>
      </c>
      <c r="N745" s="6" t="s">
        <v>33</v>
      </c>
    </row>
    <row r="746" spans="1:14" x14ac:dyDescent="0.25">
      <c r="A746" s="6" t="s">
        <v>1211</v>
      </c>
      <c r="B746" s="4">
        <v>45623</v>
      </c>
      <c r="C746" s="6" t="s">
        <v>2802</v>
      </c>
      <c r="D746" s="7">
        <v>0.68055555555555558</v>
      </c>
      <c r="E746" s="6" t="s">
        <v>16</v>
      </c>
      <c r="F746" s="6" t="s">
        <v>151</v>
      </c>
      <c r="G746" s="4">
        <v>32491</v>
      </c>
      <c r="H746" s="6" t="s">
        <v>93</v>
      </c>
      <c r="I746">
        <v>170</v>
      </c>
      <c r="J746">
        <v>1</v>
      </c>
      <c r="K746">
        <v>170</v>
      </c>
      <c r="L746" s="6" t="s">
        <v>54</v>
      </c>
      <c r="M746" s="6" t="s">
        <v>55</v>
      </c>
      <c r="N746" s="6" t="s">
        <v>33</v>
      </c>
    </row>
    <row r="747" spans="1:14" x14ac:dyDescent="0.25">
      <c r="A747" s="6" t="s">
        <v>1212</v>
      </c>
      <c r="B747" s="4">
        <v>45926</v>
      </c>
      <c r="C747" s="6" t="s">
        <v>2797</v>
      </c>
      <c r="D747" s="7">
        <v>0.79861111111111116</v>
      </c>
      <c r="E747" s="6" t="s">
        <v>16</v>
      </c>
      <c r="F747" s="6" t="s">
        <v>295</v>
      </c>
      <c r="G747" s="4">
        <v>38348</v>
      </c>
      <c r="H747" s="6" t="s">
        <v>30</v>
      </c>
      <c r="I747">
        <v>285</v>
      </c>
      <c r="J747">
        <v>3</v>
      </c>
      <c r="K747">
        <v>826</v>
      </c>
      <c r="L747" s="6" t="s">
        <v>67</v>
      </c>
      <c r="M747" s="6" t="s">
        <v>37</v>
      </c>
      <c r="N747" s="6" t="s">
        <v>21</v>
      </c>
    </row>
    <row r="748" spans="1:14" x14ac:dyDescent="0.25">
      <c r="A748" s="6" t="s">
        <v>1213</v>
      </c>
      <c r="B748" s="4">
        <v>45674</v>
      </c>
      <c r="C748" s="6" t="s">
        <v>2794</v>
      </c>
      <c r="D748" s="7">
        <v>0.42916666666666664</v>
      </c>
      <c r="E748" s="6" t="s">
        <v>16</v>
      </c>
      <c r="F748" s="6" t="s">
        <v>128</v>
      </c>
      <c r="G748" s="4">
        <v>38348</v>
      </c>
      <c r="H748" s="6" t="s">
        <v>116</v>
      </c>
      <c r="I748">
        <v>183</v>
      </c>
      <c r="J748">
        <v>1</v>
      </c>
      <c r="K748">
        <v>184</v>
      </c>
      <c r="L748" s="6" t="s">
        <v>19</v>
      </c>
      <c r="M748" s="6" t="s">
        <v>61</v>
      </c>
      <c r="N748" s="6" t="s">
        <v>21</v>
      </c>
    </row>
    <row r="749" spans="1:14" x14ac:dyDescent="0.25">
      <c r="A749" s="6" t="s">
        <v>1215</v>
      </c>
      <c r="B749" s="4">
        <v>45765</v>
      </c>
      <c r="C749" s="6" t="s">
        <v>2801</v>
      </c>
      <c r="D749" s="7">
        <v>0.98583333333333334</v>
      </c>
      <c r="E749" s="6" t="s">
        <v>16</v>
      </c>
      <c r="F749" s="6" t="s">
        <v>44</v>
      </c>
      <c r="G749" s="4">
        <v>37086</v>
      </c>
      <c r="H749" s="6" t="s">
        <v>199</v>
      </c>
      <c r="I749">
        <v>194</v>
      </c>
      <c r="J749">
        <v>2</v>
      </c>
      <c r="K749">
        <v>389</v>
      </c>
      <c r="L749" s="6" t="s">
        <v>54</v>
      </c>
      <c r="M749" s="6" t="s">
        <v>47</v>
      </c>
      <c r="N749" s="6" t="s">
        <v>74</v>
      </c>
    </row>
    <row r="750" spans="1:14" x14ac:dyDescent="0.25">
      <c r="A750" s="6" t="s">
        <v>1216</v>
      </c>
      <c r="B750" s="4">
        <v>45881</v>
      </c>
      <c r="C750" s="6" t="s">
        <v>2793</v>
      </c>
      <c r="D750" s="7">
        <v>0.9604166666666667</v>
      </c>
      <c r="E750" s="6" t="s">
        <v>16</v>
      </c>
      <c r="F750" s="6" t="s">
        <v>201</v>
      </c>
      <c r="G750" s="4">
        <v>25721</v>
      </c>
      <c r="H750" s="6" t="s">
        <v>110</v>
      </c>
      <c r="I750">
        <v>194</v>
      </c>
      <c r="J750">
        <v>1</v>
      </c>
      <c r="K750">
        <v>389</v>
      </c>
      <c r="L750" s="6" t="s">
        <v>41</v>
      </c>
      <c r="M750" s="6" t="s">
        <v>55</v>
      </c>
      <c r="N750" s="6" t="s">
        <v>33</v>
      </c>
    </row>
    <row r="751" spans="1:14" x14ac:dyDescent="0.25">
      <c r="A751" s="6" t="s">
        <v>1217</v>
      </c>
      <c r="B751" s="4">
        <v>45881</v>
      </c>
      <c r="C751" s="6" t="s">
        <v>2793</v>
      </c>
      <c r="D751" s="7">
        <v>0.63055555555555554</v>
      </c>
      <c r="E751" s="6" t="s">
        <v>16</v>
      </c>
      <c r="F751" s="6" t="s">
        <v>264</v>
      </c>
      <c r="G751" s="4">
        <v>36330</v>
      </c>
      <c r="H751" s="6" t="s">
        <v>53</v>
      </c>
      <c r="I751">
        <v>82</v>
      </c>
      <c r="J751">
        <v>2</v>
      </c>
      <c r="K751">
        <v>166</v>
      </c>
      <c r="L751" s="6" t="s">
        <v>2787</v>
      </c>
      <c r="M751" s="6" t="s">
        <v>89</v>
      </c>
      <c r="N751" s="6" t="s">
        <v>27</v>
      </c>
    </row>
    <row r="752" spans="1:14" x14ac:dyDescent="0.25">
      <c r="A752" s="6" t="s">
        <v>1218</v>
      </c>
      <c r="B752" s="4">
        <v>45639</v>
      </c>
      <c r="C752" s="6" t="s">
        <v>2796</v>
      </c>
      <c r="D752" s="7">
        <v>0.88818287037037036</v>
      </c>
      <c r="E752" s="6" t="s">
        <v>16</v>
      </c>
      <c r="F752" s="6" t="s">
        <v>133</v>
      </c>
      <c r="G752" s="4">
        <v>40425</v>
      </c>
      <c r="H752" s="6" t="s">
        <v>141</v>
      </c>
      <c r="I752">
        <v>161</v>
      </c>
      <c r="J752">
        <v>2</v>
      </c>
      <c r="K752">
        <v>322</v>
      </c>
      <c r="L752" s="6" t="s">
        <v>2787</v>
      </c>
      <c r="M752" s="6" t="s">
        <v>55</v>
      </c>
      <c r="N752" s="6" t="s">
        <v>56</v>
      </c>
    </row>
    <row r="753" spans="1:14" x14ac:dyDescent="0.25">
      <c r="A753" s="6" t="s">
        <v>1219</v>
      </c>
      <c r="B753" s="4">
        <v>45975</v>
      </c>
      <c r="C753" s="6" t="s">
        <v>2802</v>
      </c>
      <c r="D753" s="7">
        <v>0.57708333333333328</v>
      </c>
      <c r="E753" s="6" t="s">
        <v>16</v>
      </c>
      <c r="F753" s="6" t="s">
        <v>194</v>
      </c>
      <c r="G753" s="4">
        <v>35805</v>
      </c>
      <c r="H753" s="6" t="s">
        <v>199</v>
      </c>
      <c r="I753">
        <v>173</v>
      </c>
      <c r="J753">
        <v>1</v>
      </c>
      <c r="K753">
        <v>153</v>
      </c>
      <c r="L753" s="6" t="s">
        <v>19</v>
      </c>
      <c r="M753" s="6" t="s">
        <v>20</v>
      </c>
      <c r="N753" s="6" t="s">
        <v>56</v>
      </c>
    </row>
    <row r="754" spans="1:14" x14ac:dyDescent="0.25">
      <c r="A754" s="6" t="s">
        <v>1220</v>
      </c>
      <c r="B754" s="4">
        <v>45665</v>
      </c>
      <c r="C754" s="6" t="s">
        <v>2794</v>
      </c>
      <c r="D754" s="7">
        <v>0.6479166666666667</v>
      </c>
      <c r="E754" s="6" t="s">
        <v>16</v>
      </c>
      <c r="F754" s="6" t="s">
        <v>776</v>
      </c>
      <c r="G754" s="4">
        <v>27127</v>
      </c>
      <c r="H754" s="6" t="s">
        <v>110</v>
      </c>
      <c r="I754">
        <v>126</v>
      </c>
      <c r="J754">
        <v>1</v>
      </c>
      <c r="K754">
        <v>127</v>
      </c>
      <c r="L754" s="6" t="s">
        <v>19</v>
      </c>
      <c r="M754" s="6" t="s">
        <v>20</v>
      </c>
      <c r="N754" s="6" t="s">
        <v>74</v>
      </c>
    </row>
    <row r="755" spans="1:14" x14ac:dyDescent="0.25">
      <c r="A755" s="6" t="s">
        <v>1221</v>
      </c>
      <c r="B755" s="4">
        <v>45770</v>
      </c>
      <c r="C755" s="6" t="s">
        <v>2801</v>
      </c>
      <c r="D755" s="7">
        <v>0.80100694444444442</v>
      </c>
      <c r="E755" s="6" t="s">
        <v>16</v>
      </c>
      <c r="F755" s="6" t="s">
        <v>882</v>
      </c>
      <c r="G755" s="4">
        <v>33227</v>
      </c>
      <c r="H755" s="6" t="s">
        <v>40</v>
      </c>
      <c r="I755">
        <v>211</v>
      </c>
      <c r="J755">
        <v>2</v>
      </c>
      <c r="K755">
        <v>423</v>
      </c>
      <c r="L755" s="6" t="s">
        <v>19</v>
      </c>
      <c r="M755" s="6" t="s">
        <v>89</v>
      </c>
      <c r="N755" s="6" t="s">
        <v>33</v>
      </c>
    </row>
    <row r="756" spans="1:14" x14ac:dyDescent="0.25">
      <c r="A756" s="6" t="s">
        <v>1224</v>
      </c>
      <c r="B756" s="4">
        <v>45620</v>
      </c>
      <c r="C756" s="6" t="s">
        <v>2802</v>
      </c>
      <c r="D756" s="7">
        <v>0.7993055555555556</v>
      </c>
      <c r="E756" s="6" t="s">
        <v>16</v>
      </c>
      <c r="F756" s="6" t="s">
        <v>332</v>
      </c>
      <c r="G756" s="4">
        <v>30033</v>
      </c>
      <c r="H756" s="6" t="s">
        <v>60</v>
      </c>
      <c r="I756">
        <v>44</v>
      </c>
      <c r="J756">
        <v>2</v>
      </c>
      <c r="K756">
        <v>88</v>
      </c>
      <c r="L756" s="6" t="s">
        <v>19</v>
      </c>
      <c r="M756" s="6" t="s">
        <v>20</v>
      </c>
      <c r="N756" s="6" t="s">
        <v>27</v>
      </c>
    </row>
    <row r="757" spans="1:14" x14ac:dyDescent="0.25">
      <c r="A757" s="6" t="s">
        <v>1225</v>
      </c>
      <c r="B757" s="4">
        <v>45749</v>
      </c>
      <c r="C757" s="6" t="s">
        <v>2801</v>
      </c>
      <c r="D757" s="7">
        <v>0.56874999999999998</v>
      </c>
      <c r="E757" s="6" t="s">
        <v>16</v>
      </c>
      <c r="F757" s="6" t="s">
        <v>492</v>
      </c>
      <c r="G757" s="4">
        <v>28860</v>
      </c>
      <c r="H757" s="6" t="s">
        <v>164</v>
      </c>
      <c r="I757">
        <v>289</v>
      </c>
      <c r="J757">
        <v>2</v>
      </c>
      <c r="K757">
        <v>578</v>
      </c>
      <c r="L757" s="6" t="s">
        <v>41</v>
      </c>
      <c r="M757" s="6" t="s">
        <v>55</v>
      </c>
      <c r="N757" s="6" t="s">
        <v>27</v>
      </c>
    </row>
    <row r="758" spans="1:14" x14ac:dyDescent="0.25">
      <c r="A758" s="6" t="s">
        <v>1227</v>
      </c>
      <c r="B758" s="4">
        <v>45786</v>
      </c>
      <c r="C758" s="6" t="s">
        <v>2792</v>
      </c>
      <c r="D758" s="7">
        <v>0.66180555555555554</v>
      </c>
      <c r="E758" s="6" t="s">
        <v>16</v>
      </c>
      <c r="F758" s="6" t="s">
        <v>475</v>
      </c>
      <c r="G758" s="4">
        <v>35960</v>
      </c>
      <c r="H758" s="6" t="s">
        <v>104</v>
      </c>
      <c r="I758">
        <v>219</v>
      </c>
      <c r="J758">
        <v>2</v>
      </c>
      <c r="K758">
        <v>439</v>
      </c>
      <c r="L758" s="6" t="s">
        <v>41</v>
      </c>
      <c r="M758" s="6" t="s">
        <v>37</v>
      </c>
      <c r="N758" s="6" t="s">
        <v>27</v>
      </c>
    </row>
    <row r="759" spans="1:14" x14ac:dyDescent="0.25">
      <c r="A759" s="6" t="s">
        <v>1228</v>
      </c>
      <c r="B759" s="4">
        <v>45847</v>
      </c>
      <c r="C759" s="6" t="s">
        <v>2795</v>
      </c>
      <c r="D759" s="7">
        <v>0.5444444444444444</v>
      </c>
      <c r="E759" s="6" t="s">
        <v>16</v>
      </c>
      <c r="F759" s="6" t="s">
        <v>140</v>
      </c>
      <c r="G759" s="4">
        <v>35960</v>
      </c>
      <c r="H759" s="6" t="s">
        <v>213</v>
      </c>
      <c r="I759">
        <v>72</v>
      </c>
      <c r="J759">
        <v>3</v>
      </c>
      <c r="K759">
        <v>216</v>
      </c>
      <c r="L759" s="6" t="s">
        <v>2787</v>
      </c>
      <c r="M759" s="6" t="s">
        <v>26</v>
      </c>
      <c r="N759" s="6" t="s">
        <v>105</v>
      </c>
    </row>
    <row r="760" spans="1:14" x14ac:dyDescent="0.25">
      <c r="A760" s="6" t="s">
        <v>1229</v>
      </c>
      <c r="B760" s="4">
        <v>45944</v>
      </c>
      <c r="C760" s="6" t="s">
        <v>2791</v>
      </c>
      <c r="D760" s="7">
        <v>0.87717592592592597</v>
      </c>
      <c r="E760" s="6" t="s">
        <v>16</v>
      </c>
      <c r="F760" s="6" t="s">
        <v>136</v>
      </c>
      <c r="G760" s="4">
        <v>36694</v>
      </c>
      <c r="H760" s="6" t="s">
        <v>73</v>
      </c>
      <c r="I760">
        <v>52</v>
      </c>
      <c r="J760">
        <v>1</v>
      </c>
      <c r="K760">
        <v>53</v>
      </c>
      <c r="L760" s="6" t="s">
        <v>19</v>
      </c>
      <c r="M760" s="6" t="s">
        <v>20</v>
      </c>
      <c r="N760" s="6" t="s">
        <v>48</v>
      </c>
    </row>
    <row r="761" spans="1:14" x14ac:dyDescent="0.25">
      <c r="A761" s="6" t="s">
        <v>1231</v>
      </c>
      <c r="B761" s="4">
        <v>45827</v>
      </c>
      <c r="C761" s="6" t="s">
        <v>2800</v>
      </c>
      <c r="D761" s="7">
        <v>0.81130787037037033</v>
      </c>
      <c r="E761" s="6" t="s">
        <v>16</v>
      </c>
      <c r="F761" s="6" t="s">
        <v>50</v>
      </c>
      <c r="G761" s="4">
        <v>37730</v>
      </c>
      <c r="H761" s="6" t="s">
        <v>77</v>
      </c>
      <c r="I761">
        <v>84</v>
      </c>
      <c r="J761">
        <v>2</v>
      </c>
      <c r="K761">
        <v>155</v>
      </c>
      <c r="L761" s="6" t="s">
        <v>67</v>
      </c>
      <c r="M761" s="6" t="s">
        <v>37</v>
      </c>
      <c r="N761" s="6" t="s">
        <v>74</v>
      </c>
    </row>
    <row r="762" spans="1:14" x14ac:dyDescent="0.25">
      <c r="A762" s="6" t="s">
        <v>1232</v>
      </c>
      <c r="B762" s="4">
        <v>45840</v>
      </c>
      <c r="C762" s="6" t="s">
        <v>2795</v>
      </c>
      <c r="D762" s="7">
        <v>0.53263888888888888</v>
      </c>
      <c r="E762" s="6" t="s">
        <v>16</v>
      </c>
      <c r="F762" s="6" t="s">
        <v>125</v>
      </c>
      <c r="G762" s="4">
        <v>38648</v>
      </c>
      <c r="H762" s="6" t="s">
        <v>129</v>
      </c>
      <c r="I762">
        <v>193</v>
      </c>
      <c r="J762">
        <v>2</v>
      </c>
      <c r="K762">
        <v>387</v>
      </c>
      <c r="L762" s="6" t="s">
        <v>41</v>
      </c>
      <c r="M762" s="6" t="s">
        <v>37</v>
      </c>
      <c r="N762" s="6" t="s">
        <v>33</v>
      </c>
    </row>
    <row r="763" spans="1:14" x14ac:dyDescent="0.25">
      <c r="A763" s="6" t="s">
        <v>1234</v>
      </c>
      <c r="B763" s="4">
        <v>45919</v>
      </c>
      <c r="C763" s="6" t="s">
        <v>2797</v>
      </c>
      <c r="D763" s="7">
        <v>0.72152777777777777</v>
      </c>
      <c r="E763" s="6" t="s">
        <v>16</v>
      </c>
      <c r="F763" s="6" t="s">
        <v>764</v>
      </c>
      <c r="G763" s="4">
        <v>37606</v>
      </c>
      <c r="H763" s="6" t="s">
        <v>30</v>
      </c>
      <c r="I763">
        <v>258</v>
      </c>
      <c r="J763">
        <v>2</v>
      </c>
      <c r="K763">
        <v>518</v>
      </c>
      <c r="L763" s="6" t="s">
        <v>19</v>
      </c>
      <c r="M763" s="6" t="s">
        <v>47</v>
      </c>
      <c r="N763" s="6" t="s">
        <v>48</v>
      </c>
    </row>
    <row r="764" spans="1:14" x14ac:dyDescent="0.25">
      <c r="A764" s="6" t="s">
        <v>1235</v>
      </c>
      <c r="B764" s="4">
        <v>45911</v>
      </c>
      <c r="C764" s="6" t="s">
        <v>2797</v>
      </c>
      <c r="D764" s="7">
        <v>0.60347222222222219</v>
      </c>
      <c r="E764" s="6" t="s">
        <v>16</v>
      </c>
      <c r="F764" s="6" t="s">
        <v>138</v>
      </c>
      <c r="G764" s="4">
        <v>34724</v>
      </c>
      <c r="H764" s="6" t="s">
        <v>30</v>
      </c>
      <c r="I764">
        <v>308</v>
      </c>
      <c r="J764">
        <v>1</v>
      </c>
      <c r="K764">
        <v>328</v>
      </c>
      <c r="L764" s="6" t="s">
        <v>41</v>
      </c>
      <c r="M764" s="6" t="s">
        <v>20</v>
      </c>
      <c r="N764" s="6" t="s">
        <v>21</v>
      </c>
    </row>
    <row r="765" spans="1:14" x14ac:dyDescent="0.25">
      <c r="A765" s="6" t="s">
        <v>1236</v>
      </c>
      <c r="B765" s="4">
        <v>45813</v>
      </c>
      <c r="C765" s="6" t="s">
        <v>2800</v>
      </c>
      <c r="D765" s="7">
        <v>0.47662037037037036</v>
      </c>
      <c r="E765" s="6" t="s">
        <v>16</v>
      </c>
      <c r="F765" s="6" t="s">
        <v>451</v>
      </c>
      <c r="G765" s="4">
        <v>31944</v>
      </c>
      <c r="H765" s="6" t="s">
        <v>116</v>
      </c>
      <c r="I765">
        <v>237</v>
      </c>
      <c r="J765">
        <v>2</v>
      </c>
      <c r="K765">
        <v>475</v>
      </c>
      <c r="L765" s="6" t="s">
        <v>41</v>
      </c>
      <c r="M765" s="6" t="s">
        <v>89</v>
      </c>
      <c r="N765" s="6" t="s">
        <v>105</v>
      </c>
    </row>
    <row r="766" spans="1:14" x14ac:dyDescent="0.25">
      <c r="A766" s="6" t="s">
        <v>1238</v>
      </c>
      <c r="B766" s="4">
        <v>45799</v>
      </c>
      <c r="C766" s="6" t="s">
        <v>2792</v>
      </c>
      <c r="D766" s="7">
        <v>0.63611111111111107</v>
      </c>
      <c r="E766" s="6" t="s">
        <v>16</v>
      </c>
      <c r="F766" s="6" t="s">
        <v>35</v>
      </c>
      <c r="G766" s="4">
        <v>31944</v>
      </c>
      <c r="H766" s="6" t="s">
        <v>213</v>
      </c>
      <c r="I766">
        <v>52</v>
      </c>
      <c r="J766">
        <v>2</v>
      </c>
      <c r="K766">
        <v>105</v>
      </c>
      <c r="L766" s="6" t="s">
        <v>19</v>
      </c>
      <c r="M766" s="6" t="s">
        <v>61</v>
      </c>
      <c r="N766" s="6" t="s">
        <v>105</v>
      </c>
    </row>
    <row r="767" spans="1:14" x14ac:dyDescent="0.25">
      <c r="A767" s="6" t="s">
        <v>1240</v>
      </c>
      <c r="B767" s="4">
        <v>45742</v>
      </c>
      <c r="C767" s="6" t="s">
        <v>2798</v>
      </c>
      <c r="D767" s="7">
        <v>0.8054513888888889</v>
      </c>
      <c r="E767" s="6" t="s">
        <v>16</v>
      </c>
      <c r="F767" s="6" t="s">
        <v>492</v>
      </c>
      <c r="G767" s="4">
        <v>29612</v>
      </c>
      <c r="H767" s="6" t="s">
        <v>199</v>
      </c>
      <c r="I767">
        <v>250</v>
      </c>
      <c r="J767">
        <v>2</v>
      </c>
      <c r="K767">
        <v>501</v>
      </c>
      <c r="L767" s="6" t="s">
        <v>19</v>
      </c>
      <c r="M767" s="6" t="s">
        <v>61</v>
      </c>
      <c r="N767" s="6" t="s">
        <v>105</v>
      </c>
    </row>
    <row r="768" spans="1:14" x14ac:dyDescent="0.25">
      <c r="A768" s="6" t="s">
        <v>1241</v>
      </c>
      <c r="B768" s="4">
        <v>45686</v>
      </c>
      <c r="C768" s="6" t="s">
        <v>2794</v>
      </c>
      <c r="D768" s="7">
        <v>0.52430555555555558</v>
      </c>
      <c r="E768" s="6" t="s">
        <v>16</v>
      </c>
      <c r="F768" s="6" t="s">
        <v>411</v>
      </c>
      <c r="G768" s="4">
        <v>25699</v>
      </c>
      <c r="H768" s="6" t="s">
        <v>141</v>
      </c>
      <c r="I768">
        <v>167</v>
      </c>
      <c r="J768">
        <v>1</v>
      </c>
      <c r="K768">
        <v>167</v>
      </c>
      <c r="L768" s="6" t="s">
        <v>19</v>
      </c>
      <c r="M768" s="6" t="s">
        <v>55</v>
      </c>
      <c r="N768" s="6" t="s">
        <v>27</v>
      </c>
    </row>
    <row r="769" spans="1:14" x14ac:dyDescent="0.25">
      <c r="A769" s="6" t="s">
        <v>1242</v>
      </c>
      <c r="B769" s="4">
        <v>45953</v>
      </c>
      <c r="C769" s="6" t="s">
        <v>2791</v>
      </c>
      <c r="D769" s="7">
        <v>0.53170138888888885</v>
      </c>
      <c r="E769" s="6" t="s">
        <v>16</v>
      </c>
      <c r="F769" s="6" t="s">
        <v>389</v>
      </c>
      <c r="G769" s="4">
        <v>26392</v>
      </c>
      <c r="H769" s="6" t="s">
        <v>77</v>
      </c>
      <c r="I769">
        <v>53</v>
      </c>
      <c r="J769">
        <v>2</v>
      </c>
      <c r="K769">
        <v>107</v>
      </c>
      <c r="L769" s="6" t="s">
        <v>19</v>
      </c>
      <c r="M769" s="6" t="s">
        <v>32</v>
      </c>
      <c r="N769" s="6" t="s">
        <v>56</v>
      </c>
    </row>
    <row r="770" spans="1:14" x14ac:dyDescent="0.25">
      <c r="A770" s="6" t="s">
        <v>1243</v>
      </c>
      <c r="B770" s="4">
        <v>45675</v>
      </c>
      <c r="C770" s="6" t="s">
        <v>2794</v>
      </c>
      <c r="D770" s="7">
        <v>0.7895833333333333</v>
      </c>
      <c r="E770" s="6" t="s">
        <v>16</v>
      </c>
      <c r="F770" s="6" t="s">
        <v>158</v>
      </c>
      <c r="G770" s="4">
        <v>37524</v>
      </c>
      <c r="H770" s="6" t="s">
        <v>126</v>
      </c>
      <c r="I770">
        <v>130</v>
      </c>
      <c r="J770">
        <v>2</v>
      </c>
      <c r="K770">
        <v>293</v>
      </c>
      <c r="L770" s="6" t="s">
        <v>41</v>
      </c>
      <c r="M770" s="6" t="s">
        <v>89</v>
      </c>
      <c r="N770" s="6" t="s">
        <v>27</v>
      </c>
    </row>
    <row r="771" spans="1:14" x14ac:dyDescent="0.25">
      <c r="A771" s="6" t="s">
        <v>1244</v>
      </c>
      <c r="B771" s="4">
        <v>45852</v>
      </c>
      <c r="C771" s="6" t="s">
        <v>2795</v>
      </c>
      <c r="D771" s="7">
        <v>0.62430555555555556</v>
      </c>
      <c r="E771" s="6" t="s">
        <v>16</v>
      </c>
      <c r="F771" s="6" t="s">
        <v>1246</v>
      </c>
      <c r="G771" s="4">
        <v>34785</v>
      </c>
      <c r="H771" s="6" t="s">
        <v>164</v>
      </c>
      <c r="I771">
        <v>361</v>
      </c>
      <c r="J771">
        <v>1</v>
      </c>
      <c r="K771">
        <v>362</v>
      </c>
      <c r="L771" s="6" t="s">
        <v>19</v>
      </c>
      <c r="M771" s="6" t="s">
        <v>89</v>
      </c>
      <c r="N771" s="6" t="s">
        <v>74</v>
      </c>
    </row>
    <row r="772" spans="1:14" x14ac:dyDescent="0.25">
      <c r="A772" s="6" t="s">
        <v>1247</v>
      </c>
      <c r="B772" s="4">
        <v>45935</v>
      </c>
      <c r="C772" s="6" t="s">
        <v>2791</v>
      </c>
      <c r="D772" s="7">
        <v>0.70763888888888893</v>
      </c>
      <c r="E772" s="6" t="s">
        <v>16</v>
      </c>
      <c r="F772" s="6" t="s">
        <v>358</v>
      </c>
      <c r="G772" s="4">
        <v>33584</v>
      </c>
      <c r="H772" s="6" t="s">
        <v>93</v>
      </c>
      <c r="I772">
        <v>228</v>
      </c>
      <c r="J772">
        <v>2</v>
      </c>
      <c r="K772">
        <v>456</v>
      </c>
      <c r="L772" s="6" t="s">
        <v>19</v>
      </c>
      <c r="M772" s="6" t="s">
        <v>55</v>
      </c>
      <c r="N772" s="6" t="s">
        <v>74</v>
      </c>
    </row>
    <row r="773" spans="1:14" x14ac:dyDescent="0.25">
      <c r="A773" s="6" t="s">
        <v>1248</v>
      </c>
      <c r="B773" s="4">
        <v>45760</v>
      </c>
      <c r="C773" s="6" t="s">
        <v>2801</v>
      </c>
      <c r="D773" s="7">
        <v>0.80607638888888888</v>
      </c>
      <c r="E773" s="6" t="s">
        <v>16</v>
      </c>
      <c r="F773" s="6" t="s">
        <v>123</v>
      </c>
      <c r="G773" s="4">
        <v>30241</v>
      </c>
      <c r="H773" s="6" t="s">
        <v>243</v>
      </c>
      <c r="I773">
        <v>152</v>
      </c>
      <c r="J773">
        <v>2</v>
      </c>
      <c r="K773">
        <v>306</v>
      </c>
      <c r="L773" s="6" t="s">
        <v>41</v>
      </c>
      <c r="M773" s="6" t="s">
        <v>37</v>
      </c>
      <c r="N773" s="6" t="s">
        <v>74</v>
      </c>
    </row>
    <row r="774" spans="1:14" x14ac:dyDescent="0.25">
      <c r="A774" s="6" t="s">
        <v>1249</v>
      </c>
      <c r="B774" s="4">
        <v>45898</v>
      </c>
      <c r="C774" s="6" t="s">
        <v>2793</v>
      </c>
      <c r="D774" s="7">
        <v>0.77254629629629634</v>
      </c>
      <c r="E774" s="6" t="s">
        <v>16</v>
      </c>
      <c r="F774" s="6" t="s">
        <v>261</v>
      </c>
      <c r="G774" s="4">
        <v>26253</v>
      </c>
      <c r="H774" s="6" t="s">
        <v>104</v>
      </c>
      <c r="I774">
        <v>328</v>
      </c>
      <c r="J774">
        <v>3</v>
      </c>
      <c r="K774">
        <v>985</v>
      </c>
      <c r="L774" s="6" t="s">
        <v>41</v>
      </c>
      <c r="M774" s="6" t="s">
        <v>26</v>
      </c>
      <c r="N774" s="6" t="s">
        <v>74</v>
      </c>
    </row>
    <row r="775" spans="1:14" x14ac:dyDescent="0.25">
      <c r="A775" s="6" t="s">
        <v>1250</v>
      </c>
      <c r="B775" s="4">
        <v>45685</v>
      </c>
      <c r="C775" s="6" t="s">
        <v>2794</v>
      </c>
      <c r="D775" s="7">
        <v>0.86944444444444446</v>
      </c>
      <c r="E775" s="6" t="s">
        <v>16</v>
      </c>
      <c r="F775" s="6" t="s">
        <v>204</v>
      </c>
      <c r="G775" s="4">
        <v>39475</v>
      </c>
      <c r="H775" s="6" t="s">
        <v>60</v>
      </c>
      <c r="I775">
        <v>97</v>
      </c>
      <c r="J775">
        <v>2</v>
      </c>
      <c r="K775">
        <v>194</v>
      </c>
      <c r="L775" s="6" t="s">
        <v>41</v>
      </c>
      <c r="M775" s="6" t="s">
        <v>55</v>
      </c>
      <c r="N775" s="6" t="s">
        <v>33</v>
      </c>
    </row>
    <row r="776" spans="1:14" x14ac:dyDescent="0.25">
      <c r="A776" s="6" t="s">
        <v>1251</v>
      </c>
      <c r="B776" s="4">
        <v>45982</v>
      </c>
      <c r="C776" s="6" t="s">
        <v>2802</v>
      </c>
      <c r="D776" s="7">
        <v>0.72222222222222221</v>
      </c>
      <c r="E776" s="6" t="s">
        <v>16</v>
      </c>
      <c r="F776" s="6" t="s">
        <v>227</v>
      </c>
      <c r="G776" s="4">
        <v>30783</v>
      </c>
      <c r="H776" s="6" t="s">
        <v>85</v>
      </c>
      <c r="I776">
        <v>343</v>
      </c>
      <c r="J776">
        <v>2</v>
      </c>
      <c r="K776">
        <v>686</v>
      </c>
      <c r="L776" s="6" t="s">
        <v>19</v>
      </c>
      <c r="M776" s="6" t="s">
        <v>37</v>
      </c>
      <c r="N776" s="6" t="s">
        <v>21</v>
      </c>
    </row>
    <row r="777" spans="1:14" x14ac:dyDescent="0.25">
      <c r="A777" s="6" t="s">
        <v>1252</v>
      </c>
      <c r="B777" s="4">
        <v>45885</v>
      </c>
      <c r="C777" s="6" t="s">
        <v>2793</v>
      </c>
      <c r="D777" s="7">
        <v>0.76232638888888893</v>
      </c>
      <c r="E777" s="6" t="s">
        <v>16</v>
      </c>
      <c r="F777" s="6" t="s">
        <v>136</v>
      </c>
      <c r="G777" s="4">
        <v>38081</v>
      </c>
      <c r="H777" s="6" t="s">
        <v>202</v>
      </c>
      <c r="I777">
        <v>150</v>
      </c>
      <c r="J777">
        <v>3</v>
      </c>
      <c r="K777">
        <v>450</v>
      </c>
      <c r="L777" s="6" t="s">
        <v>41</v>
      </c>
      <c r="M777" s="6" t="s">
        <v>26</v>
      </c>
      <c r="N777" s="6" t="s">
        <v>105</v>
      </c>
    </row>
    <row r="778" spans="1:14" x14ac:dyDescent="0.25">
      <c r="A778" s="6" t="s">
        <v>1253</v>
      </c>
      <c r="B778" s="4">
        <v>45915</v>
      </c>
      <c r="C778" s="6" t="s">
        <v>2797</v>
      </c>
      <c r="D778" s="7">
        <v>0.81111111111111112</v>
      </c>
      <c r="E778" s="6" t="s">
        <v>16</v>
      </c>
      <c r="F778" s="6" t="s">
        <v>492</v>
      </c>
      <c r="G778" s="4">
        <v>40310</v>
      </c>
      <c r="H778" s="6" t="s">
        <v>199</v>
      </c>
      <c r="I778">
        <v>244</v>
      </c>
      <c r="J778">
        <v>1</v>
      </c>
      <c r="K778">
        <v>244</v>
      </c>
      <c r="L778" s="6" t="s">
        <v>19</v>
      </c>
      <c r="M778" s="6" t="s">
        <v>61</v>
      </c>
      <c r="N778" s="6" t="s">
        <v>33</v>
      </c>
    </row>
    <row r="779" spans="1:14" x14ac:dyDescent="0.25">
      <c r="A779" s="6" t="s">
        <v>1255</v>
      </c>
      <c r="B779" s="4">
        <v>45872</v>
      </c>
      <c r="C779" s="6" t="s">
        <v>2793</v>
      </c>
      <c r="D779" s="7">
        <v>0.96319444444444446</v>
      </c>
      <c r="E779" s="6" t="s">
        <v>16</v>
      </c>
      <c r="F779" s="6" t="s">
        <v>163</v>
      </c>
      <c r="G779" s="4">
        <v>39804</v>
      </c>
      <c r="H779" s="6" t="s">
        <v>126</v>
      </c>
      <c r="I779">
        <v>174</v>
      </c>
      <c r="J779">
        <v>1</v>
      </c>
      <c r="K779">
        <v>174</v>
      </c>
      <c r="L779" s="6" t="s">
        <v>41</v>
      </c>
      <c r="M779" s="6" t="s">
        <v>32</v>
      </c>
      <c r="N779" s="6" t="s">
        <v>21</v>
      </c>
    </row>
    <row r="780" spans="1:14" x14ac:dyDescent="0.25">
      <c r="A780" s="6" t="s">
        <v>1256</v>
      </c>
      <c r="B780" s="4">
        <v>45898</v>
      </c>
      <c r="C780" s="6" t="s">
        <v>2793</v>
      </c>
      <c r="D780" s="7">
        <v>0.7608449074074074</v>
      </c>
      <c r="E780" s="6" t="s">
        <v>16</v>
      </c>
      <c r="F780" s="6" t="s">
        <v>594</v>
      </c>
      <c r="G780" s="4">
        <v>32654</v>
      </c>
      <c r="H780" s="6" t="s">
        <v>40</v>
      </c>
      <c r="I780">
        <v>216</v>
      </c>
      <c r="J780">
        <v>3</v>
      </c>
      <c r="K780">
        <v>648</v>
      </c>
      <c r="L780" s="6" t="s">
        <v>54</v>
      </c>
      <c r="M780" s="6" t="s">
        <v>32</v>
      </c>
      <c r="N780" s="6" t="s">
        <v>105</v>
      </c>
    </row>
    <row r="781" spans="1:14" x14ac:dyDescent="0.25">
      <c r="A781" s="6" t="s">
        <v>1257</v>
      </c>
      <c r="B781" s="4">
        <v>45699</v>
      </c>
      <c r="C781" s="6" t="s">
        <v>2799</v>
      </c>
      <c r="D781" s="7">
        <v>0.77923611111111113</v>
      </c>
      <c r="E781" s="6" t="s">
        <v>16</v>
      </c>
      <c r="F781" s="6" t="s">
        <v>138</v>
      </c>
      <c r="G781" s="4">
        <v>32181</v>
      </c>
      <c r="H781" s="6" t="s">
        <v>126</v>
      </c>
      <c r="I781">
        <v>123</v>
      </c>
      <c r="J781">
        <v>1</v>
      </c>
      <c r="K781">
        <v>123</v>
      </c>
      <c r="L781" s="6" t="s">
        <v>67</v>
      </c>
      <c r="M781" s="6" t="s">
        <v>47</v>
      </c>
      <c r="N781" s="6" t="s">
        <v>105</v>
      </c>
    </row>
    <row r="782" spans="1:14" x14ac:dyDescent="0.25">
      <c r="A782" s="6" t="s">
        <v>1258</v>
      </c>
      <c r="B782" s="4">
        <v>45694</v>
      </c>
      <c r="C782" s="6" t="s">
        <v>2799</v>
      </c>
      <c r="D782" s="7">
        <v>0.87569444444444444</v>
      </c>
      <c r="E782" s="6" t="s">
        <v>16</v>
      </c>
      <c r="F782" s="6" t="s">
        <v>79</v>
      </c>
      <c r="G782" s="4">
        <v>28375</v>
      </c>
      <c r="H782" s="6" t="s">
        <v>73</v>
      </c>
      <c r="I782">
        <v>44</v>
      </c>
      <c r="J782">
        <v>1</v>
      </c>
      <c r="K782">
        <v>45</v>
      </c>
      <c r="L782" s="6" t="s">
        <v>41</v>
      </c>
      <c r="M782" s="6" t="s">
        <v>37</v>
      </c>
      <c r="N782" s="6" t="s">
        <v>33</v>
      </c>
    </row>
    <row r="783" spans="1:14" x14ac:dyDescent="0.25">
      <c r="A783" s="6" t="s">
        <v>1259</v>
      </c>
      <c r="B783" s="4">
        <v>45754</v>
      </c>
      <c r="C783" s="6" t="s">
        <v>2801</v>
      </c>
      <c r="D783" s="7">
        <v>0.49791666666666667</v>
      </c>
      <c r="E783" s="6" t="s">
        <v>16</v>
      </c>
      <c r="F783" s="6" t="s">
        <v>187</v>
      </c>
      <c r="G783" s="4">
        <v>37062</v>
      </c>
      <c r="H783" s="6" t="s">
        <v>93</v>
      </c>
      <c r="I783">
        <v>207</v>
      </c>
      <c r="J783">
        <v>2</v>
      </c>
      <c r="K783">
        <v>402</v>
      </c>
      <c r="L783" s="6" t="s">
        <v>19</v>
      </c>
      <c r="M783" s="6" t="s">
        <v>20</v>
      </c>
      <c r="N783" s="6" t="s">
        <v>48</v>
      </c>
    </row>
    <row r="784" spans="1:14" x14ac:dyDescent="0.25">
      <c r="A784" s="6" t="s">
        <v>1260</v>
      </c>
      <c r="B784" s="4">
        <v>45688</v>
      </c>
      <c r="C784" s="6" t="s">
        <v>2794</v>
      </c>
      <c r="D784" s="7">
        <v>0.9604166666666667</v>
      </c>
      <c r="E784" s="6" t="s">
        <v>16</v>
      </c>
      <c r="F784" s="6" t="s">
        <v>95</v>
      </c>
      <c r="G784" s="4">
        <v>30366</v>
      </c>
      <c r="H784" s="6" t="s">
        <v>40</v>
      </c>
      <c r="I784">
        <v>202</v>
      </c>
      <c r="J784">
        <v>2</v>
      </c>
      <c r="L784" s="6" t="s">
        <v>19</v>
      </c>
      <c r="M784" s="6" t="s">
        <v>55</v>
      </c>
      <c r="N784" s="6" t="s">
        <v>27</v>
      </c>
    </row>
    <row r="785" spans="1:14" x14ac:dyDescent="0.25">
      <c r="A785" s="6" t="s">
        <v>1263</v>
      </c>
      <c r="B785" s="4">
        <v>45788</v>
      </c>
      <c r="C785" s="6" t="s">
        <v>2792</v>
      </c>
      <c r="D785" s="7">
        <v>0.99988425925925928</v>
      </c>
      <c r="E785" s="6" t="s">
        <v>16</v>
      </c>
      <c r="F785" s="6" t="s">
        <v>299</v>
      </c>
      <c r="G785" s="4">
        <v>33584</v>
      </c>
      <c r="H785" s="6" t="s">
        <v>116</v>
      </c>
      <c r="I785">
        <v>91</v>
      </c>
      <c r="J785">
        <v>2</v>
      </c>
      <c r="K785">
        <v>184</v>
      </c>
      <c r="L785" s="6" t="s">
        <v>41</v>
      </c>
      <c r="M785" s="6" t="s">
        <v>32</v>
      </c>
      <c r="N785" s="6" t="s">
        <v>21</v>
      </c>
    </row>
    <row r="786" spans="1:14" x14ac:dyDescent="0.25">
      <c r="A786" s="6" t="s">
        <v>1264</v>
      </c>
      <c r="B786" s="4">
        <v>45675</v>
      </c>
      <c r="C786" s="6" t="s">
        <v>2794</v>
      </c>
      <c r="D786" s="7">
        <v>0.7729166666666667</v>
      </c>
      <c r="E786" s="6" t="s">
        <v>16</v>
      </c>
      <c r="F786" s="6" t="s">
        <v>1081</v>
      </c>
      <c r="G786" s="4">
        <v>25689</v>
      </c>
      <c r="H786" s="6" t="s">
        <v>104</v>
      </c>
      <c r="I786">
        <v>277</v>
      </c>
      <c r="J786">
        <v>2</v>
      </c>
      <c r="K786">
        <v>555</v>
      </c>
      <c r="L786" s="6" t="s">
        <v>67</v>
      </c>
      <c r="M786" s="6" t="s">
        <v>26</v>
      </c>
      <c r="N786" s="6" t="s">
        <v>56</v>
      </c>
    </row>
    <row r="787" spans="1:14" x14ac:dyDescent="0.25">
      <c r="A787" s="6" t="s">
        <v>1266</v>
      </c>
      <c r="B787" s="4">
        <v>45664</v>
      </c>
      <c r="C787" s="6" t="s">
        <v>2794</v>
      </c>
      <c r="D787" s="7">
        <v>0.56041666666666667</v>
      </c>
      <c r="E787" s="6" t="s">
        <v>16</v>
      </c>
      <c r="F787" s="6" t="s">
        <v>194</v>
      </c>
      <c r="G787" s="4">
        <v>25806</v>
      </c>
      <c r="H787" s="6" t="s">
        <v>202</v>
      </c>
      <c r="I787">
        <v>106</v>
      </c>
      <c r="J787">
        <v>1</v>
      </c>
      <c r="K787">
        <v>106</v>
      </c>
      <c r="L787" s="6" t="s">
        <v>67</v>
      </c>
      <c r="M787" s="6" t="s">
        <v>47</v>
      </c>
      <c r="N787" s="6" t="s">
        <v>21</v>
      </c>
    </row>
    <row r="788" spans="1:14" x14ac:dyDescent="0.25">
      <c r="A788" s="6" t="s">
        <v>1267</v>
      </c>
      <c r="B788" s="4">
        <v>45807</v>
      </c>
      <c r="C788" s="6" t="s">
        <v>2792</v>
      </c>
      <c r="D788" s="7">
        <v>0.90763888888888888</v>
      </c>
      <c r="E788" s="6" t="s">
        <v>16</v>
      </c>
      <c r="F788" s="6" t="s">
        <v>1268</v>
      </c>
      <c r="G788" s="4">
        <v>29843</v>
      </c>
      <c r="H788" s="6" t="s">
        <v>36</v>
      </c>
      <c r="I788">
        <v>339</v>
      </c>
      <c r="J788">
        <v>2</v>
      </c>
      <c r="K788">
        <v>669</v>
      </c>
      <c r="L788" s="6" t="s">
        <v>19</v>
      </c>
      <c r="M788" s="6" t="s">
        <v>37</v>
      </c>
      <c r="N788" s="6" t="s">
        <v>105</v>
      </c>
    </row>
    <row r="789" spans="1:14" x14ac:dyDescent="0.25">
      <c r="A789" s="6" t="s">
        <v>1269</v>
      </c>
      <c r="B789" s="4">
        <v>45665</v>
      </c>
      <c r="C789" s="6" t="s">
        <v>2794</v>
      </c>
      <c r="D789" s="7">
        <v>0.70625000000000004</v>
      </c>
      <c r="E789" s="6" t="s">
        <v>16</v>
      </c>
      <c r="F789" s="6" t="s">
        <v>29</v>
      </c>
      <c r="G789" s="4">
        <v>28612</v>
      </c>
      <c r="H789" s="6" t="s">
        <v>36</v>
      </c>
      <c r="I789">
        <v>240</v>
      </c>
      <c r="J789">
        <v>1</v>
      </c>
      <c r="K789">
        <v>240</v>
      </c>
      <c r="L789" s="6" t="s">
        <v>2787</v>
      </c>
      <c r="M789" s="6" t="s">
        <v>47</v>
      </c>
      <c r="N789" s="6" t="s">
        <v>33</v>
      </c>
    </row>
    <row r="790" spans="1:14" x14ac:dyDescent="0.25">
      <c r="A790" s="6" t="s">
        <v>1270</v>
      </c>
      <c r="B790" s="4">
        <v>45911</v>
      </c>
      <c r="C790" s="6" t="s">
        <v>2797</v>
      </c>
      <c r="D790" s="7">
        <v>0.84097222222222223</v>
      </c>
      <c r="E790" s="6" t="s">
        <v>16</v>
      </c>
      <c r="F790" s="6" t="s">
        <v>338</v>
      </c>
      <c r="G790" s="4">
        <v>30383</v>
      </c>
      <c r="H790" s="6" t="s">
        <v>129</v>
      </c>
      <c r="I790">
        <v>154</v>
      </c>
      <c r="J790">
        <v>1</v>
      </c>
      <c r="K790">
        <v>154</v>
      </c>
      <c r="L790" s="6" t="s">
        <v>41</v>
      </c>
      <c r="M790" s="6" t="s">
        <v>20</v>
      </c>
      <c r="N790" s="6" t="s">
        <v>33</v>
      </c>
    </row>
    <row r="791" spans="1:14" x14ac:dyDescent="0.25">
      <c r="A791" s="6" t="s">
        <v>1271</v>
      </c>
      <c r="B791" s="4">
        <v>45754</v>
      </c>
      <c r="C791" s="6" t="s">
        <v>2801</v>
      </c>
      <c r="D791" s="7">
        <v>0.91084490740740742</v>
      </c>
      <c r="E791" s="6" t="s">
        <v>16</v>
      </c>
      <c r="F791" s="6" t="s">
        <v>84</v>
      </c>
      <c r="G791" s="4">
        <v>36858</v>
      </c>
      <c r="H791" s="6" t="s">
        <v>178</v>
      </c>
      <c r="I791">
        <v>302</v>
      </c>
      <c r="J791">
        <v>2</v>
      </c>
      <c r="K791">
        <v>605</v>
      </c>
      <c r="L791" s="6" t="s">
        <v>19</v>
      </c>
      <c r="M791" s="6" t="s">
        <v>89</v>
      </c>
      <c r="N791" s="6" t="s">
        <v>33</v>
      </c>
    </row>
    <row r="792" spans="1:14" x14ac:dyDescent="0.25">
      <c r="A792" s="6" t="s">
        <v>1272</v>
      </c>
      <c r="B792" s="4">
        <v>45816</v>
      </c>
      <c r="C792" s="6" t="s">
        <v>2800</v>
      </c>
      <c r="D792" s="7">
        <v>0.92708333333333337</v>
      </c>
      <c r="E792" s="6" t="s">
        <v>16</v>
      </c>
      <c r="F792" s="6" t="s">
        <v>140</v>
      </c>
      <c r="G792" s="4">
        <v>32548</v>
      </c>
      <c r="H792" s="6" t="s">
        <v>178</v>
      </c>
      <c r="I792">
        <v>261</v>
      </c>
      <c r="J792">
        <v>1</v>
      </c>
      <c r="K792">
        <v>261</v>
      </c>
      <c r="L792" s="6" t="s">
        <v>41</v>
      </c>
      <c r="M792" s="6" t="s">
        <v>37</v>
      </c>
      <c r="N792" s="6" t="s">
        <v>33</v>
      </c>
    </row>
    <row r="793" spans="1:14" x14ac:dyDescent="0.25">
      <c r="A793" s="6" t="s">
        <v>1273</v>
      </c>
      <c r="B793" s="4">
        <v>45790</v>
      </c>
      <c r="C793" s="6" t="s">
        <v>2792</v>
      </c>
      <c r="D793" s="7">
        <v>0.59166666666666667</v>
      </c>
      <c r="E793" s="6" t="s">
        <v>16</v>
      </c>
      <c r="F793" s="6" t="s">
        <v>267</v>
      </c>
      <c r="G793" s="4">
        <v>27927</v>
      </c>
      <c r="H793" s="6" t="s">
        <v>30</v>
      </c>
      <c r="I793">
        <v>292</v>
      </c>
      <c r="J793">
        <v>3</v>
      </c>
      <c r="K793">
        <v>878</v>
      </c>
      <c r="L793" s="6" t="s">
        <v>54</v>
      </c>
      <c r="M793" s="6" t="s">
        <v>20</v>
      </c>
      <c r="N793" s="6" t="s">
        <v>21</v>
      </c>
    </row>
    <row r="794" spans="1:14" x14ac:dyDescent="0.25">
      <c r="A794" s="6" t="s">
        <v>1274</v>
      </c>
      <c r="B794" s="4">
        <v>45818</v>
      </c>
      <c r="C794" s="6" t="s">
        <v>2800</v>
      </c>
      <c r="D794" s="7">
        <v>0.60833333333333328</v>
      </c>
      <c r="E794" s="6" t="s">
        <v>16</v>
      </c>
      <c r="F794" s="6" t="s">
        <v>109</v>
      </c>
      <c r="G794" s="4">
        <v>38294</v>
      </c>
      <c r="H794" s="6" t="s">
        <v>104</v>
      </c>
      <c r="I794">
        <v>263</v>
      </c>
      <c r="J794">
        <v>1</v>
      </c>
      <c r="K794">
        <v>263</v>
      </c>
      <c r="L794" s="6" t="s">
        <v>54</v>
      </c>
      <c r="M794" s="6" t="s">
        <v>37</v>
      </c>
      <c r="N794" s="6" t="s">
        <v>105</v>
      </c>
    </row>
    <row r="795" spans="1:14" x14ac:dyDescent="0.25">
      <c r="A795" s="6" t="s">
        <v>1275</v>
      </c>
      <c r="B795" s="4">
        <v>45665</v>
      </c>
      <c r="C795" s="6" t="s">
        <v>2794</v>
      </c>
      <c r="D795" s="7">
        <v>0.97916666666666663</v>
      </c>
      <c r="E795" s="6" t="s">
        <v>16</v>
      </c>
      <c r="F795" s="6" t="s">
        <v>512</v>
      </c>
      <c r="G795" s="4">
        <v>32057</v>
      </c>
      <c r="H795" s="6" t="s">
        <v>60</v>
      </c>
      <c r="I795">
        <v>94</v>
      </c>
      <c r="J795">
        <v>1</v>
      </c>
      <c r="K795">
        <v>94</v>
      </c>
      <c r="L795" s="6" t="s">
        <v>19</v>
      </c>
      <c r="M795" s="6" t="s">
        <v>20</v>
      </c>
      <c r="N795" s="6" t="s">
        <v>33</v>
      </c>
    </row>
    <row r="796" spans="1:14" x14ac:dyDescent="0.25">
      <c r="A796" s="6" t="s">
        <v>1276</v>
      </c>
      <c r="B796" s="4">
        <v>45714</v>
      </c>
      <c r="C796" s="6" t="s">
        <v>2799</v>
      </c>
      <c r="D796" s="7">
        <v>0.53263888888888888</v>
      </c>
      <c r="E796" s="6" t="s">
        <v>16</v>
      </c>
      <c r="F796" s="6" t="s">
        <v>1010</v>
      </c>
      <c r="G796" s="4">
        <v>38854</v>
      </c>
      <c r="H796" s="6" t="s">
        <v>126</v>
      </c>
      <c r="I796">
        <v>131</v>
      </c>
      <c r="J796">
        <v>3</v>
      </c>
      <c r="K796">
        <v>393</v>
      </c>
      <c r="L796" s="6" t="s">
        <v>19</v>
      </c>
      <c r="M796" s="6" t="s">
        <v>55</v>
      </c>
      <c r="N796" s="6" t="s">
        <v>21</v>
      </c>
    </row>
    <row r="797" spans="1:14" x14ac:dyDescent="0.25">
      <c r="A797" s="6" t="s">
        <v>1277</v>
      </c>
      <c r="B797" s="4">
        <v>45816</v>
      </c>
      <c r="C797" s="6" t="s">
        <v>2800</v>
      </c>
      <c r="D797" s="7">
        <v>0.9506944444444444</v>
      </c>
      <c r="E797" s="6" t="s">
        <v>16</v>
      </c>
      <c r="F797" s="6" t="s">
        <v>622</v>
      </c>
      <c r="G797" s="4">
        <v>39592</v>
      </c>
      <c r="H797" s="6" t="s">
        <v>110</v>
      </c>
      <c r="I797">
        <v>100</v>
      </c>
      <c r="J797">
        <v>1</v>
      </c>
      <c r="K797">
        <v>101</v>
      </c>
      <c r="L797" s="6" t="s">
        <v>2787</v>
      </c>
      <c r="M797" s="6" t="s">
        <v>26</v>
      </c>
      <c r="N797" s="6" t="s">
        <v>105</v>
      </c>
    </row>
    <row r="798" spans="1:14" x14ac:dyDescent="0.25">
      <c r="A798" s="6" t="s">
        <v>1278</v>
      </c>
      <c r="B798" s="4">
        <v>45653</v>
      </c>
      <c r="C798" s="6" t="s">
        <v>2796</v>
      </c>
      <c r="D798" s="7">
        <v>0.80069444444444449</v>
      </c>
      <c r="E798" s="6" t="s">
        <v>16</v>
      </c>
      <c r="F798" s="6" t="s">
        <v>158</v>
      </c>
      <c r="G798" s="4">
        <v>39592</v>
      </c>
      <c r="H798" s="6" t="s">
        <v>141</v>
      </c>
      <c r="I798">
        <v>147</v>
      </c>
      <c r="J798">
        <v>2</v>
      </c>
      <c r="K798">
        <v>295</v>
      </c>
      <c r="L798" s="6" t="s">
        <v>54</v>
      </c>
      <c r="M798" s="6" t="s">
        <v>26</v>
      </c>
      <c r="N798" s="6" t="s">
        <v>105</v>
      </c>
    </row>
    <row r="799" spans="1:14" x14ac:dyDescent="0.25">
      <c r="A799" s="6" t="s">
        <v>1280</v>
      </c>
      <c r="B799" s="4">
        <v>45743</v>
      </c>
      <c r="C799" s="6" t="s">
        <v>2798</v>
      </c>
      <c r="D799" s="7">
        <v>0.99250000000000005</v>
      </c>
      <c r="E799" s="6" t="s">
        <v>16</v>
      </c>
      <c r="F799" s="6" t="s">
        <v>218</v>
      </c>
      <c r="G799" s="4">
        <v>28862</v>
      </c>
      <c r="H799" s="6" t="s">
        <v>116</v>
      </c>
      <c r="I799">
        <v>54</v>
      </c>
      <c r="J799">
        <v>1</v>
      </c>
      <c r="K799">
        <v>55</v>
      </c>
      <c r="L799" s="6" t="s">
        <v>41</v>
      </c>
      <c r="M799" s="6" t="s">
        <v>26</v>
      </c>
      <c r="N799" s="6" t="s">
        <v>48</v>
      </c>
    </row>
    <row r="800" spans="1:14" x14ac:dyDescent="0.25">
      <c r="A800" s="6" t="s">
        <v>1281</v>
      </c>
      <c r="B800" s="4">
        <v>45625</v>
      </c>
      <c r="C800" s="6" t="s">
        <v>2802</v>
      </c>
      <c r="D800" s="7">
        <v>0.73750000000000004</v>
      </c>
      <c r="E800" s="6" t="s">
        <v>16</v>
      </c>
      <c r="F800" s="6" t="s">
        <v>397</v>
      </c>
      <c r="G800" s="4">
        <v>32177</v>
      </c>
      <c r="H800" s="6" t="s">
        <v>116</v>
      </c>
      <c r="I800">
        <v>149</v>
      </c>
      <c r="J800">
        <v>2</v>
      </c>
      <c r="K800">
        <v>300</v>
      </c>
      <c r="L800" s="6" t="s">
        <v>19</v>
      </c>
      <c r="M800" s="6" t="s">
        <v>47</v>
      </c>
      <c r="N800" s="6" t="s">
        <v>48</v>
      </c>
    </row>
    <row r="801" spans="1:14" x14ac:dyDescent="0.25">
      <c r="A801" s="6" t="s">
        <v>1282</v>
      </c>
      <c r="B801" s="4">
        <v>45657</v>
      </c>
      <c r="C801" s="6" t="s">
        <v>2796</v>
      </c>
      <c r="D801" s="7">
        <v>0.61041666666666672</v>
      </c>
      <c r="E801" s="6" t="s">
        <v>16</v>
      </c>
      <c r="F801" s="6" t="s">
        <v>882</v>
      </c>
      <c r="G801" s="4">
        <v>29332</v>
      </c>
      <c r="H801" s="6" t="s">
        <v>164</v>
      </c>
      <c r="I801">
        <v>353</v>
      </c>
      <c r="J801">
        <v>2</v>
      </c>
      <c r="K801">
        <v>707</v>
      </c>
      <c r="L801" s="6" t="s">
        <v>19</v>
      </c>
      <c r="M801" s="6" t="s">
        <v>37</v>
      </c>
      <c r="N801" s="6" t="s">
        <v>56</v>
      </c>
    </row>
    <row r="802" spans="1:14" x14ac:dyDescent="0.25">
      <c r="A802" s="6" t="s">
        <v>1284</v>
      </c>
      <c r="B802" s="4">
        <v>45706</v>
      </c>
      <c r="C802" s="6" t="s">
        <v>2799</v>
      </c>
      <c r="D802" s="7">
        <v>0.8881944444444444</v>
      </c>
      <c r="E802" s="6" t="s">
        <v>16</v>
      </c>
      <c r="F802" s="6" t="s">
        <v>582</v>
      </c>
      <c r="G802" s="4">
        <v>27378</v>
      </c>
      <c r="H802" s="6" t="s">
        <v>73</v>
      </c>
      <c r="I802">
        <v>43</v>
      </c>
      <c r="J802">
        <v>3</v>
      </c>
      <c r="K802">
        <v>131</v>
      </c>
      <c r="L802" s="6" t="s">
        <v>19</v>
      </c>
      <c r="M802" s="6" t="s">
        <v>20</v>
      </c>
      <c r="N802" s="6" t="s">
        <v>56</v>
      </c>
    </row>
    <row r="803" spans="1:14" x14ac:dyDescent="0.25">
      <c r="A803" s="6" t="s">
        <v>1286</v>
      </c>
      <c r="B803" s="4">
        <v>45795</v>
      </c>
      <c r="C803" s="6" t="s">
        <v>2792</v>
      </c>
      <c r="D803" s="7">
        <v>0.55763888888888891</v>
      </c>
      <c r="E803" s="6" t="s">
        <v>16</v>
      </c>
      <c r="F803" s="6" t="s">
        <v>389</v>
      </c>
      <c r="G803" s="4">
        <v>40515</v>
      </c>
      <c r="H803" s="6" t="s">
        <v>40</v>
      </c>
      <c r="I803">
        <v>155</v>
      </c>
      <c r="J803">
        <v>2</v>
      </c>
      <c r="K803">
        <v>310</v>
      </c>
      <c r="L803" s="6" t="s">
        <v>2787</v>
      </c>
      <c r="M803" s="6" t="s">
        <v>26</v>
      </c>
      <c r="N803" s="6" t="s">
        <v>33</v>
      </c>
    </row>
    <row r="804" spans="1:14" x14ac:dyDescent="0.25">
      <c r="A804" s="6" t="s">
        <v>1287</v>
      </c>
      <c r="B804" s="4">
        <v>45619</v>
      </c>
      <c r="C804" s="6" t="s">
        <v>2802</v>
      </c>
      <c r="D804" s="7">
        <v>0.77847222222222223</v>
      </c>
      <c r="E804" s="6" t="s">
        <v>16</v>
      </c>
      <c r="F804" s="6" t="s">
        <v>136</v>
      </c>
      <c r="G804" s="4">
        <v>27760</v>
      </c>
      <c r="H804" s="6" t="s">
        <v>36</v>
      </c>
      <c r="I804">
        <v>237</v>
      </c>
      <c r="J804">
        <v>3</v>
      </c>
      <c r="K804">
        <v>711</v>
      </c>
      <c r="L804" s="6" t="s">
        <v>41</v>
      </c>
      <c r="M804" s="6" t="s">
        <v>37</v>
      </c>
      <c r="N804" s="6" t="s">
        <v>33</v>
      </c>
    </row>
    <row r="805" spans="1:14" x14ac:dyDescent="0.25">
      <c r="A805" s="6" t="s">
        <v>1288</v>
      </c>
      <c r="B805" s="4">
        <v>45690</v>
      </c>
      <c r="C805" s="6" t="s">
        <v>2799</v>
      </c>
      <c r="D805" s="7">
        <v>0.52440972222222226</v>
      </c>
      <c r="E805" s="6" t="s">
        <v>16</v>
      </c>
      <c r="F805" s="6" t="s">
        <v>512</v>
      </c>
      <c r="G805" s="4">
        <v>29105</v>
      </c>
      <c r="H805" s="6" t="s">
        <v>164</v>
      </c>
      <c r="I805">
        <v>239</v>
      </c>
      <c r="J805">
        <v>1</v>
      </c>
      <c r="K805">
        <v>239</v>
      </c>
      <c r="L805" s="6" t="s">
        <v>54</v>
      </c>
      <c r="M805" s="6" t="s">
        <v>32</v>
      </c>
      <c r="N805" s="6" t="s">
        <v>33</v>
      </c>
    </row>
    <row r="806" spans="1:14" x14ac:dyDescent="0.25">
      <c r="A806" s="6" t="s">
        <v>1289</v>
      </c>
      <c r="B806" s="4">
        <v>45780</v>
      </c>
      <c r="C806" s="6" t="s">
        <v>2792</v>
      </c>
      <c r="D806" s="7">
        <v>0.50694444444444442</v>
      </c>
      <c r="E806" s="6" t="s">
        <v>16</v>
      </c>
      <c r="F806" s="6" t="s">
        <v>169</v>
      </c>
      <c r="G806" s="4">
        <v>35554</v>
      </c>
      <c r="H806" s="6" t="s">
        <v>77</v>
      </c>
      <c r="I806">
        <v>101</v>
      </c>
      <c r="J806">
        <v>3</v>
      </c>
      <c r="K806">
        <v>306</v>
      </c>
      <c r="L806" s="6" t="s">
        <v>19</v>
      </c>
      <c r="M806" s="6" t="s">
        <v>47</v>
      </c>
      <c r="N806" s="6" t="s">
        <v>48</v>
      </c>
    </row>
    <row r="807" spans="1:14" x14ac:dyDescent="0.25">
      <c r="A807" s="6" t="s">
        <v>1290</v>
      </c>
      <c r="B807" s="4">
        <v>45656</v>
      </c>
      <c r="C807" s="6" t="s">
        <v>2796</v>
      </c>
      <c r="D807" s="7">
        <v>0.95</v>
      </c>
      <c r="E807" s="6" t="s">
        <v>16</v>
      </c>
      <c r="F807" s="6" t="s">
        <v>225</v>
      </c>
      <c r="G807" s="4">
        <v>36304</v>
      </c>
      <c r="H807" s="6" t="s">
        <v>199</v>
      </c>
      <c r="I807">
        <v>196</v>
      </c>
      <c r="J807">
        <v>1</v>
      </c>
      <c r="K807">
        <v>197</v>
      </c>
      <c r="L807" s="6" t="s">
        <v>19</v>
      </c>
      <c r="M807" s="6" t="s">
        <v>37</v>
      </c>
      <c r="N807" s="6" t="s">
        <v>21</v>
      </c>
    </row>
    <row r="808" spans="1:14" x14ac:dyDescent="0.25">
      <c r="A808" s="6" t="s">
        <v>1291</v>
      </c>
      <c r="B808" s="4">
        <v>45730</v>
      </c>
      <c r="C808" s="6" t="s">
        <v>2798</v>
      </c>
      <c r="D808" s="7">
        <v>0.62430555555555556</v>
      </c>
      <c r="E808" s="6" t="s">
        <v>16</v>
      </c>
      <c r="F808" s="6" t="s">
        <v>1293</v>
      </c>
      <c r="G808" s="4">
        <v>33492</v>
      </c>
      <c r="H808" s="6" t="s">
        <v>126</v>
      </c>
      <c r="I808">
        <v>81</v>
      </c>
      <c r="J808">
        <v>3</v>
      </c>
      <c r="K808">
        <v>246</v>
      </c>
      <c r="L808" s="6" t="s">
        <v>19</v>
      </c>
      <c r="M808" s="6" t="s">
        <v>37</v>
      </c>
      <c r="N808" s="6" t="s">
        <v>21</v>
      </c>
    </row>
    <row r="809" spans="1:14" x14ac:dyDescent="0.25">
      <c r="A809" s="6" t="s">
        <v>1295</v>
      </c>
      <c r="B809" s="4">
        <v>45928</v>
      </c>
      <c r="C809" s="6" t="s">
        <v>2797</v>
      </c>
      <c r="D809" s="7">
        <v>0.43333333333333335</v>
      </c>
      <c r="E809" s="6" t="s">
        <v>16</v>
      </c>
      <c r="F809" s="6" t="s">
        <v>201</v>
      </c>
      <c r="G809" s="4">
        <v>30919</v>
      </c>
      <c r="H809" s="6" t="s">
        <v>243</v>
      </c>
      <c r="I809">
        <v>132</v>
      </c>
      <c r="J809">
        <v>2</v>
      </c>
      <c r="L809" s="6" t="s">
        <v>2787</v>
      </c>
      <c r="M809" s="6" t="s">
        <v>47</v>
      </c>
      <c r="N809" s="6" t="s">
        <v>21</v>
      </c>
    </row>
    <row r="810" spans="1:14" x14ac:dyDescent="0.25">
      <c r="A810" s="6" t="s">
        <v>1298</v>
      </c>
      <c r="B810" s="4">
        <v>45821</v>
      </c>
      <c r="C810" s="6" t="s">
        <v>2800</v>
      </c>
      <c r="D810" s="7">
        <v>0.86104166666666671</v>
      </c>
      <c r="E810" s="6" t="s">
        <v>16</v>
      </c>
      <c r="F810" s="6" t="s">
        <v>299</v>
      </c>
      <c r="G810" s="4">
        <v>36961</v>
      </c>
      <c r="H810" s="6" t="s">
        <v>259</v>
      </c>
      <c r="I810">
        <v>132</v>
      </c>
      <c r="J810">
        <v>1</v>
      </c>
      <c r="L810" s="6" t="s">
        <v>2787</v>
      </c>
      <c r="M810" s="6" t="s">
        <v>26</v>
      </c>
      <c r="N810" s="6" t="s">
        <v>56</v>
      </c>
    </row>
    <row r="811" spans="1:14" x14ac:dyDescent="0.25">
      <c r="A811" s="6" t="s">
        <v>1299</v>
      </c>
      <c r="B811" s="4">
        <v>45792</v>
      </c>
      <c r="C811" s="6" t="s">
        <v>2792</v>
      </c>
      <c r="D811" s="7">
        <v>0.79583333333333328</v>
      </c>
      <c r="E811" s="6" t="s">
        <v>16</v>
      </c>
      <c r="F811" s="6" t="s">
        <v>652</v>
      </c>
      <c r="G811" s="4">
        <v>36961</v>
      </c>
      <c r="H811" s="6" t="s">
        <v>110</v>
      </c>
      <c r="I811">
        <v>98</v>
      </c>
      <c r="J811">
        <v>3</v>
      </c>
      <c r="K811">
        <v>295</v>
      </c>
      <c r="L811" s="6" t="s">
        <v>67</v>
      </c>
      <c r="M811" s="6" t="s">
        <v>26</v>
      </c>
      <c r="N811" s="6" t="s">
        <v>56</v>
      </c>
    </row>
    <row r="812" spans="1:14" x14ac:dyDescent="0.25">
      <c r="A812" s="6" t="s">
        <v>1300</v>
      </c>
      <c r="B812" s="4">
        <v>45944</v>
      </c>
      <c r="C812" s="6" t="s">
        <v>2791</v>
      </c>
      <c r="D812" s="7">
        <v>0.76666666666666672</v>
      </c>
      <c r="E812" s="6" t="s">
        <v>16</v>
      </c>
      <c r="F812" s="6" t="s">
        <v>136</v>
      </c>
      <c r="G812" s="4">
        <v>35617</v>
      </c>
      <c r="H812" s="6" t="s">
        <v>116</v>
      </c>
      <c r="I812">
        <v>98</v>
      </c>
      <c r="J812">
        <v>1</v>
      </c>
      <c r="K812">
        <v>295</v>
      </c>
      <c r="L812" s="6" t="s">
        <v>19</v>
      </c>
      <c r="M812" s="6" t="s">
        <v>32</v>
      </c>
      <c r="N812" s="6" t="s">
        <v>33</v>
      </c>
    </row>
    <row r="813" spans="1:14" x14ac:dyDescent="0.25">
      <c r="A813" s="6" t="s">
        <v>1301</v>
      </c>
      <c r="B813" s="4">
        <v>45919</v>
      </c>
      <c r="C813" s="6" t="s">
        <v>2797</v>
      </c>
      <c r="D813" s="7">
        <v>0.69320601851851849</v>
      </c>
      <c r="E813" s="6" t="s">
        <v>16</v>
      </c>
      <c r="F813" s="6" t="s">
        <v>201</v>
      </c>
      <c r="G813" s="4">
        <v>33610</v>
      </c>
      <c r="H813" s="6" t="s">
        <v>199</v>
      </c>
      <c r="I813">
        <v>178</v>
      </c>
      <c r="J813">
        <v>1</v>
      </c>
      <c r="K813">
        <v>179</v>
      </c>
      <c r="L813" s="6" t="s">
        <v>67</v>
      </c>
      <c r="M813" s="6" t="s">
        <v>32</v>
      </c>
      <c r="N813" s="6" t="s">
        <v>33</v>
      </c>
    </row>
    <row r="814" spans="1:14" x14ac:dyDescent="0.25">
      <c r="A814" s="6" t="s">
        <v>1304</v>
      </c>
      <c r="B814" s="4">
        <v>45867</v>
      </c>
      <c r="C814" s="6" t="s">
        <v>2795</v>
      </c>
      <c r="D814" s="7">
        <v>0.79374999999999996</v>
      </c>
      <c r="E814" s="6" t="s">
        <v>16</v>
      </c>
      <c r="F814" s="6" t="s">
        <v>346</v>
      </c>
      <c r="G814" s="4">
        <v>33423</v>
      </c>
      <c r="H814" s="6" t="s">
        <v>126</v>
      </c>
      <c r="I814">
        <v>74</v>
      </c>
      <c r="J814">
        <v>1</v>
      </c>
      <c r="K814">
        <v>75</v>
      </c>
      <c r="L814" s="6" t="s">
        <v>19</v>
      </c>
      <c r="M814" s="6" t="s">
        <v>47</v>
      </c>
      <c r="N814" s="6" t="s">
        <v>27</v>
      </c>
    </row>
    <row r="815" spans="1:14" x14ac:dyDescent="0.25">
      <c r="A815" s="6" t="s">
        <v>1306</v>
      </c>
      <c r="B815" s="4">
        <v>45736</v>
      </c>
      <c r="C815" s="6" t="s">
        <v>2798</v>
      </c>
      <c r="D815" s="7">
        <v>0.86144675925925929</v>
      </c>
      <c r="E815" s="6" t="s">
        <v>16</v>
      </c>
      <c r="F815" s="6" t="s">
        <v>23</v>
      </c>
      <c r="G815" s="4">
        <v>36139</v>
      </c>
      <c r="H815" s="6" t="s">
        <v>85</v>
      </c>
      <c r="I815">
        <v>249</v>
      </c>
      <c r="J815">
        <v>2</v>
      </c>
      <c r="K815">
        <v>499</v>
      </c>
      <c r="L815" s="6" t="s">
        <v>19</v>
      </c>
      <c r="M815" s="6" t="s">
        <v>37</v>
      </c>
      <c r="N815" s="6" t="s">
        <v>27</v>
      </c>
    </row>
    <row r="816" spans="1:14" x14ac:dyDescent="0.25">
      <c r="A816" s="6" t="s">
        <v>1308</v>
      </c>
      <c r="B816" s="4">
        <v>45948</v>
      </c>
      <c r="C816" s="6" t="s">
        <v>2791</v>
      </c>
      <c r="D816" s="7">
        <v>0.46388888888888891</v>
      </c>
      <c r="E816" s="6" t="s">
        <v>16</v>
      </c>
      <c r="F816" s="6" t="s">
        <v>397</v>
      </c>
      <c r="G816" s="4">
        <v>33103</v>
      </c>
      <c r="H816" s="6" t="s">
        <v>93</v>
      </c>
      <c r="I816">
        <v>173</v>
      </c>
      <c r="J816">
        <v>2</v>
      </c>
      <c r="K816">
        <v>348</v>
      </c>
      <c r="L816" s="6" t="s">
        <v>67</v>
      </c>
      <c r="M816" s="6" t="s">
        <v>37</v>
      </c>
      <c r="N816" s="6" t="s">
        <v>27</v>
      </c>
    </row>
    <row r="817" spans="1:14" x14ac:dyDescent="0.25">
      <c r="A817" s="6" t="s">
        <v>1309</v>
      </c>
      <c r="B817" s="4">
        <v>45718</v>
      </c>
      <c r="C817" s="6" t="s">
        <v>2798</v>
      </c>
      <c r="D817" s="7">
        <v>0.76527777777777772</v>
      </c>
      <c r="E817" s="6" t="s">
        <v>16</v>
      </c>
      <c r="F817" s="6" t="s">
        <v>229</v>
      </c>
      <c r="G817" s="4">
        <v>32464</v>
      </c>
      <c r="H817" s="6" t="s">
        <v>77</v>
      </c>
      <c r="I817">
        <v>169</v>
      </c>
      <c r="J817">
        <v>2</v>
      </c>
      <c r="K817">
        <v>339</v>
      </c>
      <c r="L817" s="6" t="s">
        <v>41</v>
      </c>
      <c r="M817" s="6" t="s">
        <v>47</v>
      </c>
      <c r="N817" s="6" t="s">
        <v>21</v>
      </c>
    </row>
    <row r="818" spans="1:14" x14ac:dyDescent="0.25">
      <c r="A818" s="6" t="s">
        <v>1311</v>
      </c>
      <c r="B818" s="4">
        <v>45723</v>
      </c>
      <c r="C818" s="6" t="s">
        <v>2798</v>
      </c>
      <c r="D818" s="7">
        <v>0.65138888888888891</v>
      </c>
      <c r="E818" s="6" t="s">
        <v>16</v>
      </c>
      <c r="F818" s="6" t="s">
        <v>338</v>
      </c>
      <c r="G818" s="4">
        <v>36792</v>
      </c>
      <c r="H818" s="6" t="s">
        <v>73</v>
      </c>
      <c r="I818">
        <v>42</v>
      </c>
      <c r="J818">
        <v>2</v>
      </c>
      <c r="K818">
        <v>86</v>
      </c>
      <c r="L818" s="6" t="s">
        <v>41</v>
      </c>
      <c r="M818" s="6" t="s">
        <v>32</v>
      </c>
      <c r="N818" s="6" t="s">
        <v>27</v>
      </c>
    </row>
    <row r="819" spans="1:14" x14ac:dyDescent="0.25">
      <c r="A819" s="6" t="s">
        <v>1313</v>
      </c>
      <c r="B819" s="4">
        <v>45975</v>
      </c>
      <c r="C819" s="6" t="s">
        <v>2802</v>
      </c>
      <c r="D819" s="7">
        <v>0.51875000000000004</v>
      </c>
      <c r="E819" s="6" t="s">
        <v>16</v>
      </c>
      <c r="F819" s="6" t="s">
        <v>147</v>
      </c>
      <c r="G819" s="4">
        <v>31940</v>
      </c>
      <c r="H819" s="6" t="s">
        <v>36</v>
      </c>
      <c r="I819">
        <v>243</v>
      </c>
      <c r="J819">
        <v>2</v>
      </c>
      <c r="K819">
        <v>486</v>
      </c>
      <c r="L819" s="6" t="s">
        <v>2787</v>
      </c>
      <c r="M819" s="6" t="s">
        <v>32</v>
      </c>
      <c r="N819" s="6" t="s">
        <v>21</v>
      </c>
    </row>
    <row r="820" spans="1:14" x14ac:dyDescent="0.25">
      <c r="A820" s="6" t="s">
        <v>1314</v>
      </c>
      <c r="B820" s="4">
        <v>45628</v>
      </c>
      <c r="C820" s="6" t="s">
        <v>2796</v>
      </c>
      <c r="D820" s="7">
        <v>0.625</v>
      </c>
      <c r="E820" s="6" t="s">
        <v>16</v>
      </c>
      <c r="F820" s="6" t="s">
        <v>770</v>
      </c>
      <c r="G820" s="4">
        <v>33274</v>
      </c>
      <c r="H820" s="6" t="s">
        <v>73</v>
      </c>
      <c r="I820">
        <v>50</v>
      </c>
      <c r="J820">
        <v>1</v>
      </c>
      <c r="K820">
        <v>50</v>
      </c>
      <c r="L820" s="6" t="s">
        <v>41</v>
      </c>
      <c r="M820" s="6" t="s">
        <v>26</v>
      </c>
      <c r="N820" s="6" t="s">
        <v>27</v>
      </c>
    </row>
    <row r="821" spans="1:14" x14ac:dyDescent="0.25">
      <c r="A821" s="6" t="s">
        <v>1315</v>
      </c>
      <c r="B821" s="4">
        <v>45911</v>
      </c>
      <c r="C821" s="6" t="s">
        <v>2797</v>
      </c>
      <c r="D821" s="7">
        <v>0.99354166666666666</v>
      </c>
      <c r="E821" s="6" t="s">
        <v>16</v>
      </c>
      <c r="F821" s="6" t="s">
        <v>582</v>
      </c>
      <c r="G821" s="4">
        <v>37121</v>
      </c>
      <c r="H821" s="6" t="s">
        <v>141</v>
      </c>
      <c r="I821">
        <v>162</v>
      </c>
      <c r="J821">
        <v>2</v>
      </c>
      <c r="K821">
        <v>325</v>
      </c>
      <c r="L821" s="6" t="s">
        <v>54</v>
      </c>
      <c r="M821" s="6" t="s">
        <v>47</v>
      </c>
      <c r="N821" s="6" t="s">
        <v>33</v>
      </c>
    </row>
    <row r="822" spans="1:14" x14ac:dyDescent="0.25">
      <c r="A822" s="6" t="s">
        <v>1316</v>
      </c>
      <c r="B822" s="4">
        <v>45949</v>
      </c>
      <c r="C822" s="6" t="s">
        <v>2791</v>
      </c>
      <c r="D822" s="7">
        <v>0.47083333333333333</v>
      </c>
      <c r="E822" s="6" t="s">
        <v>16</v>
      </c>
      <c r="F822" s="6" t="s">
        <v>128</v>
      </c>
      <c r="G822" s="4">
        <v>29191</v>
      </c>
      <c r="H822" s="6" t="s">
        <v>116</v>
      </c>
      <c r="I822">
        <v>295</v>
      </c>
      <c r="J822">
        <v>3</v>
      </c>
      <c r="L822" s="6" t="s">
        <v>19</v>
      </c>
      <c r="M822" s="6" t="s">
        <v>37</v>
      </c>
      <c r="N822" s="6" t="s">
        <v>27</v>
      </c>
    </row>
    <row r="823" spans="1:14" x14ac:dyDescent="0.25">
      <c r="A823" s="6" t="s">
        <v>1318</v>
      </c>
      <c r="B823" s="4">
        <v>45630</v>
      </c>
      <c r="C823" s="6" t="s">
        <v>2796</v>
      </c>
      <c r="D823" s="7">
        <v>0.90524305555555551</v>
      </c>
      <c r="E823" s="6" t="s">
        <v>16</v>
      </c>
      <c r="F823" s="6" t="s">
        <v>548</v>
      </c>
      <c r="G823" s="4">
        <v>38084</v>
      </c>
      <c r="H823" s="6" t="s">
        <v>199</v>
      </c>
      <c r="I823">
        <v>247</v>
      </c>
      <c r="J823">
        <v>1</v>
      </c>
      <c r="K823">
        <v>247</v>
      </c>
      <c r="L823" s="6" t="s">
        <v>19</v>
      </c>
      <c r="M823" s="6" t="s">
        <v>89</v>
      </c>
      <c r="N823" s="6" t="s">
        <v>48</v>
      </c>
    </row>
    <row r="824" spans="1:14" x14ac:dyDescent="0.25">
      <c r="A824" s="6" t="s">
        <v>1319</v>
      </c>
      <c r="B824" s="4">
        <v>45839</v>
      </c>
      <c r="C824" s="6" t="s">
        <v>2795</v>
      </c>
      <c r="D824" s="7">
        <v>0.44123842592592594</v>
      </c>
      <c r="E824" s="6" t="s">
        <v>16</v>
      </c>
      <c r="F824" s="6" t="s">
        <v>118</v>
      </c>
      <c r="G824" s="4">
        <v>30019</v>
      </c>
      <c r="H824" s="6" t="s">
        <v>40</v>
      </c>
      <c r="I824">
        <v>247</v>
      </c>
      <c r="J824">
        <v>2</v>
      </c>
      <c r="K824">
        <v>247</v>
      </c>
      <c r="L824" s="6" t="s">
        <v>19</v>
      </c>
      <c r="M824" s="6" t="s">
        <v>61</v>
      </c>
      <c r="N824" s="6" t="s">
        <v>56</v>
      </c>
    </row>
    <row r="825" spans="1:14" x14ac:dyDescent="0.25">
      <c r="A825" s="6" t="s">
        <v>1320</v>
      </c>
      <c r="B825" s="4">
        <v>45888</v>
      </c>
      <c r="C825" s="6" t="s">
        <v>2793</v>
      </c>
      <c r="D825" s="7">
        <v>0.78888888888888886</v>
      </c>
      <c r="E825" s="6" t="s">
        <v>16</v>
      </c>
      <c r="F825" s="6" t="s">
        <v>237</v>
      </c>
      <c r="G825" s="4">
        <v>26428</v>
      </c>
      <c r="H825" s="6" t="s">
        <v>53</v>
      </c>
      <c r="I825">
        <v>98</v>
      </c>
      <c r="J825">
        <v>2</v>
      </c>
      <c r="K825">
        <v>197</v>
      </c>
      <c r="L825" s="6" t="s">
        <v>2787</v>
      </c>
      <c r="M825" s="6" t="s">
        <v>61</v>
      </c>
      <c r="N825" s="6" t="s">
        <v>56</v>
      </c>
    </row>
    <row r="826" spans="1:14" x14ac:dyDescent="0.25">
      <c r="A826" s="6" t="s">
        <v>1321</v>
      </c>
      <c r="B826" s="4">
        <v>45797</v>
      </c>
      <c r="C826" s="6" t="s">
        <v>2792</v>
      </c>
      <c r="D826" s="7">
        <v>0.44374999999999998</v>
      </c>
      <c r="E826" s="6" t="s">
        <v>16</v>
      </c>
      <c r="F826" s="6" t="s">
        <v>622</v>
      </c>
      <c r="G826" s="4">
        <v>32359</v>
      </c>
      <c r="H826" s="6" t="s">
        <v>93</v>
      </c>
      <c r="I826">
        <v>228</v>
      </c>
      <c r="J826">
        <v>1</v>
      </c>
      <c r="K826">
        <v>229</v>
      </c>
      <c r="L826" s="6" t="s">
        <v>19</v>
      </c>
      <c r="M826" s="6" t="s">
        <v>26</v>
      </c>
      <c r="N826" s="6" t="s">
        <v>56</v>
      </c>
    </row>
    <row r="827" spans="1:14" x14ac:dyDescent="0.25">
      <c r="A827" s="6" t="s">
        <v>1322</v>
      </c>
      <c r="B827" s="4">
        <v>45881</v>
      </c>
      <c r="C827" s="6" t="s">
        <v>2793</v>
      </c>
      <c r="D827" s="7">
        <v>0.93958333333333333</v>
      </c>
      <c r="E827" s="6" t="s">
        <v>16</v>
      </c>
      <c r="F827" s="6" t="s">
        <v>712</v>
      </c>
      <c r="G827" s="4">
        <v>34558</v>
      </c>
      <c r="H827" s="6" t="s">
        <v>164</v>
      </c>
      <c r="I827">
        <v>295</v>
      </c>
      <c r="J827">
        <v>3</v>
      </c>
      <c r="K827">
        <v>888</v>
      </c>
      <c r="L827" s="6" t="s">
        <v>19</v>
      </c>
      <c r="M827" s="6" t="s">
        <v>26</v>
      </c>
      <c r="N827" s="6" t="s">
        <v>56</v>
      </c>
    </row>
    <row r="828" spans="1:14" x14ac:dyDescent="0.25">
      <c r="A828" s="6" t="s">
        <v>1324</v>
      </c>
      <c r="B828" s="4">
        <v>45833</v>
      </c>
      <c r="C828" s="6" t="s">
        <v>2800</v>
      </c>
      <c r="D828" s="7">
        <v>0.7661458333333333</v>
      </c>
      <c r="E828" s="6" t="s">
        <v>16</v>
      </c>
      <c r="F828" s="6" t="s">
        <v>628</v>
      </c>
      <c r="G828" s="4">
        <v>37325</v>
      </c>
      <c r="H828" s="6" t="s">
        <v>129</v>
      </c>
      <c r="I828">
        <v>188</v>
      </c>
      <c r="J828">
        <v>1</v>
      </c>
      <c r="K828">
        <v>238</v>
      </c>
      <c r="L828" s="6" t="s">
        <v>41</v>
      </c>
      <c r="M828" s="6" t="s">
        <v>32</v>
      </c>
      <c r="N828" s="6" t="s">
        <v>33</v>
      </c>
    </row>
    <row r="829" spans="1:14" x14ac:dyDescent="0.25">
      <c r="A829" s="6" t="s">
        <v>1325</v>
      </c>
      <c r="B829" s="4">
        <v>45697</v>
      </c>
      <c r="C829" s="6" t="s">
        <v>2799</v>
      </c>
      <c r="D829" s="7">
        <v>0.5213888888888889</v>
      </c>
      <c r="E829" s="6" t="s">
        <v>16</v>
      </c>
      <c r="F829" s="6" t="s">
        <v>107</v>
      </c>
      <c r="G829" s="4">
        <v>31566</v>
      </c>
      <c r="H829" s="6" t="s">
        <v>145</v>
      </c>
      <c r="I829">
        <v>188</v>
      </c>
      <c r="J829">
        <v>1</v>
      </c>
      <c r="K829">
        <v>238</v>
      </c>
      <c r="L829" s="6" t="s">
        <v>41</v>
      </c>
      <c r="M829" s="6" t="s">
        <v>37</v>
      </c>
      <c r="N829" s="6" t="s">
        <v>105</v>
      </c>
    </row>
    <row r="830" spans="1:14" x14ac:dyDescent="0.25">
      <c r="A830" s="6" t="s">
        <v>1327</v>
      </c>
      <c r="B830" s="4">
        <v>45944</v>
      </c>
      <c r="C830" s="6" t="s">
        <v>2791</v>
      </c>
      <c r="D830" s="7">
        <v>0.78819444444444442</v>
      </c>
      <c r="E830" s="6" t="s">
        <v>16</v>
      </c>
      <c r="F830" s="6" t="s">
        <v>98</v>
      </c>
      <c r="G830" s="4">
        <v>28181</v>
      </c>
      <c r="H830" s="6" t="s">
        <v>30</v>
      </c>
      <c r="I830">
        <v>207</v>
      </c>
      <c r="J830">
        <v>1</v>
      </c>
      <c r="K830">
        <v>207</v>
      </c>
      <c r="L830" s="6" t="s">
        <v>2787</v>
      </c>
      <c r="M830" s="6" t="s">
        <v>37</v>
      </c>
      <c r="N830" s="6" t="s">
        <v>33</v>
      </c>
    </row>
    <row r="831" spans="1:14" x14ac:dyDescent="0.25">
      <c r="A831" s="6" t="s">
        <v>1328</v>
      </c>
      <c r="B831" s="4">
        <v>45768</v>
      </c>
      <c r="C831" s="6" t="s">
        <v>2801</v>
      </c>
      <c r="D831" s="7">
        <v>0.5805555555555556</v>
      </c>
      <c r="E831" s="6" t="s">
        <v>16</v>
      </c>
      <c r="F831" s="6" t="s">
        <v>451</v>
      </c>
      <c r="G831" s="4">
        <v>36011</v>
      </c>
      <c r="H831" s="6" t="s">
        <v>36</v>
      </c>
      <c r="I831">
        <v>142</v>
      </c>
      <c r="J831">
        <v>2</v>
      </c>
      <c r="K831">
        <v>286</v>
      </c>
      <c r="L831" s="6" t="s">
        <v>41</v>
      </c>
      <c r="M831" s="6" t="s">
        <v>47</v>
      </c>
      <c r="N831" s="6" t="s">
        <v>33</v>
      </c>
    </row>
    <row r="832" spans="1:14" x14ac:dyDescent="0.25">
      <c r="A832" s="6" t="s">
        <v>1330</v>
      </c>
      <c r="B832" s="4">
        <v>45764</v>
      </c>
      <c r="C832" s="6" t="s">
        <v>2801</v>
      </c>
      <c r="D832" s="7">
        <v>0.44427083333333334</v>
      </c>
      <c r="E832" s="6" t="s">
        <v>16</v>
      </c>
      <c r="F832" s="6" t="s">
        <v>35</v>
      </c>
      <c r="G832" s="4">
        <v>28807</v>
      </c>
      <c r="H832" s="6" t="s">
        <v>93</v>
      </c>
      <c r="I832">
        <v>224</v>
      </c>
      <c r="J832">
        <v>1</v>
      </c>
      <c r="K832">
        <v>38</v>
      </c>
      <c r="L832" s="6" t="s">
        <v>67</v>
      </c>
      <c r="M832" s="6" t="s">
        <v>20</v>
      </c>
      <c r="N832" s="6" t="s">
        <v>105</v>
      </c>
    </row>
    <row r="833" spans="1:14" x14ac:dyDescent="0.25">
      <c r="A833" s="6" t="s">
        <v>1331</v>
      </c>
      <c r="B833" s="4">
        <v>45675</v>
      </c>
      <c r="C833" s="6" t="s">
        <v>2794</v>
      </c>
      <c r="D833" s="7">
        <v>0.49861111111111112</v>
      </c>
      <c r="E833" s="6" t="s">
        <v>16</v>
      </c>
      <c r="F833" s="6" t="s">
        <v>1332</v>
      </c>
      <c r="G833" s="4">
        <v>29037</v>
      </c>
      <c r="H833" s="6" t="s">
        <v>36</v>
      </c>
      <c r="I833">
        <v>224</v>
      </c>
      <c r="J833">
        <v>3</v>
      </c>
      <c r="K833">
        <v>674</v>
      </c>
      <c r="L833" s="6" t="s">
        <v>67</v>
      </c>
      <c r="M833" s="6" t="s">
        <v>26</v>
      </c>
      <c r="N833" s="6" t="s">
        <v>27</v>
      </c>
    </row>
    <row r="834" spans="1:14" x14ac:dyDescent="0.25">
      <c r="A834" s="6" t="s">
        <v>1333</v>
      </c>
      <c r="B834" s="4">
        <v>45672</v>
      </c>
      <c r="C834" s="6" t="s">
        <v>2794</v>
      </c>
      <c r="D834" s="7">
        <v>0.7333912037037037</v>
      </c>
      <c r="E834" s="6" t="s">
        <v>16</v>
      </c>
      <c r="F834" s="6" t="s">
        <v>95</v>
      </c>
      <c r="G834" s="4">
        <v>35382</v>
      </c>
      <c r="H834" s="6" t="s">
        <v>164</v>
      </c>
      <c r="I834">
        <v>356</v>
      </c>
      <c r="J834">
        <v>1</v>
      </c>
      <c r="K834">
        <v>357</v>
      </c>
      <c r="L834" s="6" t="s">
        <v>2787</v>
      </c>
      <c r="M834" s="6" t="s">
        <v>37</v>
      </c>
      <c r="N834" s="6" t="s">
        <v>27</v>
      </c>
    </row>
    <row r="835" spans="1:14" x14ac:dyDescent="0.25">
      <c r="A835" s="6" t="s">
        <v>1335</v>
      </c>
      <c r="B835" s="4">
        <v>45959</v>
      </c>
      <c r="C835" s="6" t="s">
        <v>2791</v>
      </c>
      <c r="D835" s="7">
        <v>0.45208333333333334</v>
      </c>
      <c r="E835" s="6" t="s">
        <v>16</v>
      </c>
      <c r="F835" s="6" t="s">
        <v>1336</v>
      </c>
      <c r="G835" s="4">
        <v>33584</v>
      </c>
      <c r="H835" s="6" t="s">
        <v>164</v>
      </c>
      <c r="I835">
        <v>310</v>
      </c>
      <c r="J835">
        <v>1</v>
      </c>
      <c r="K835">
        <v>311</v>
      </c>
      <c r="L835" s="6" t="s">
        <v>67</v>
      </c>
      <c r="M835" s="6" t="s">
        <v>47</v>
      </c>
      <c r="N835" s="6" t="s">
        <v>56</v>
      </c>
    </row>
    <row r="836" spans="1:14" x14ac:dyDescent="0.25">
      <c r="A836" s="6" t="s">
        <v>1337</v>
      </c>
      <c r="B836" s="4">
        <v>45832</v>
      </c>
      <c r="C836" s="6" t="s">
        <v>2800</v>
      </c>
      <c r="D836" s="7">
        <v>0.69305555555555554</v>
      </c>
      <c r="E836" s="6" t="s">
        <v>16</v>
      </c>
      <c r="F836" s="6" t="s">
        <v>405</v>
      </c>
      <c r="G836" s="4">
        <v>26574</v>
      </c>
      <c r="H836" s="6" t="s">
        <v>259</v>
      </c>
      <c r="I836">
        <v>234</v>
      </c>
      <c r="J836">
        <v>2</v>
      </c>
      <c r="K836">
        <v>470</v>
      </c>
      <c r="L836" s="6" t="s">
        <v>19</v>
      </c>
      <c r="M836" s="6" t="s">
        <v>37</v>
      </c>
      <c r="N836" s="6" t="s">
        <v>105</v>
      </c>
    </row>
    <row r="837" spans="1:14" x14ac:dyDescent="0.25">
      <c r="A837" s="6" t="s">
        <v>1338</v>
      </c>
      <c r="B837" s="4">
        <v>45935</v>
      </c>
      <c r="C837" s="6" t="s">
        <v>2791</v>
      </c>
      <c r="D837" s="7">
        <v>0.61458333333333337</v>
      </c>
      <c r="E837" s="6" t="s">
        <v>16</v>
      </c>
      <c r="F837" s="6" t="s">
        <v>187</v>
      </c>
      <c r="G837" s="4">
        <v>35252</v>
      </c>
      <c r="H837" s="6" t="s">
        <v>93</v>
      </c>
      <c r="I837">
        <v>210</v>
      </c>
      <c r="J837">
        <v>2</v>
      </c>
      <c r="K837">
        <v>421</v>
      </c>
      <c r="L837" s="6" t="s">
        <v>19</v>
      </c>
      <c r="M837" s="6" t="s">
        <v>47</v>
      </c>
      <c r="N837" s="6" t="s">
        <v>21</v>
      </c>
    </row>
    <row r="838" spans="1:14" x14ac:dyDescent="0.25">
      <c r="A838" s="6" t="s">
        <v>1339</v>
      </c>
      <c r="B838" s="4">
        <v>45662</v>
      </c>
      <c r="C838" s="6" t="s">
        <v>2794</v>
      </c>
      <c r="D838" s="7">
        <v>0.85763888888888884</v>
      </c>
      <c r="E838" s="6" t="s">
        <v>16</v>
      </c>
      <c r="F838" s="6" t="s">
        <v>292</v>
      </c>
      <c r="G838" s="4">
        <v>37001</v>
      </c>
      <c r="H838" s="6" t="s">
        <v>259</v>
      </c>
      <c r="I838">
        <v>164</v>
      </c>
      <c r="J838">
        <v>1</v>
      </c>
      <c r="K838">
        <v>165</v>
      </c>
      <c r="L838" s="6" t="s">
        <v>19</v>
      </c>
      <c r="M838" s="6" t="s">
        <v>26</v>
      </c>
      <c r="N838" s="6" t="s">
        <v>21</v>
      </c>
    </row>
    <row r="839" spans="1:14" x14ac:dyDescent="0.25">
      <c r="A839" s="6" t="s">
        <v>1340</v>
      </c>
      <c r="B839" s="4">
        <v>45870</v>
      </c>
      <c r="C839" s="6" t="s">
        <v>2793</v>
      </c>
      <c r="D839" s="7">
        <v>0.85624999999999996</v>
      </c>
      <c r="E839" s="6" t="s">
        <v>16</v>
      </c>
      <c r="F839" s="6" t="s">
        <v>95</v>
      </c>
      <c r="G839" s="4">
        <v>33606</v>
      </c>
      <c r="H839" s="6" t="s">
        <v>53</v>
      </c>
      <c r="I839">
        <v>88</v>
      </c>
      <c r="J839">
        <v>1</v>
      </c>
      <c r="K839">
        <v>89</v>
      </c>
      <c r="L839" s="6" t="s">
        <v>41</v>
      </c>
      <c r="M839" s="6" t="s">
        <v>32</v>
      </c>
      <c r="N839" s="6" t="s">
        <v>27</v>
      </c>
    </row>
    <row r="840" spans="1:14" x14ac:dyDescent="0.25">
      <c r="A840" s="6" t="s">
        <v>1341</v>
      </c>
      <c r="B840" s="4">
        <v>45712</v>
      </c>
      <c r="C840" s="6" t="s">
        <v>2799</v>
      </c>
      <c r="D840" s="7">
        <v>0.72083333333333333</v>
      </c>
      <c r="E840" s="6" t="s">
        <v>16</v>
      </c>
      <c r="F840" s="6" t="s">
        <v>411</v>
      </c>
      <c r="G840" s="4">
        <v>33044</v>
      </c>
      <c r="H840" s="6" t="s">
        <v>53</v>
      </c>
      <c r="I840">
        <v>94</v>
      </c>
      <c r="J840">
        <v>1</v>
      </c>
      <c r="K840">
        <v>94</v>
      </c>
      <c r="L840" s="6" t="s">
        <v>2787</v>
      </c>
      <c r="M840" s="6" t="s">
        <v>26</v>
      </c>
      <c r="N840" s="6" t="s">
        <v>27</v>
      </c>
    </row>
    <row r="841" spans="1:14" x14ac:dyDescent="0.25">
      <c r="A841" s="6" t="s">
        <v>1342</v>
      </c>
      <c r="B841" s="4">
        <v>45672</v>
      </c>
      <c r="C841" s="6" t="s">
        <v>2794</v>
      </c>
      <c r="D841" s="7">
        <v>0.64583333333333337</v>
      </c>
      <c r="E841" s="6" t="s">
        <v>16</v>
      </c>
      <c r="F841" s="6" t="s">
        <v>1343</v>
      </c>
      <c r="G841" s="4">
        <v>39261</v>
      </c>
      <c r="H841" s="6" t="s">
        <v>141</v>
      </c>
      <c r="I841">
        <v>139</v>
      </c>
      <c r="J841">
        <v>1</v>
      </c>
      <c r="K841">
        <v>167</v>
      </c>
      <c r="L841" s="6" t="s">
        <v>2787</v>
      </c>
      <c r="M841" s="6" t="s">
        <v>37</v>
      </c>
      <c r="N841" s="6" t="s">
        <v>27</v>
      </c>
    </row>
    <row r="842" spans="1:14" x14ac:dyDescent="0.25">
      <c r="A842" s="6" t="s">
        <v>1345</v>
      </c>
      <c r="B842" s="4">
        <v>45845</v>
      </c>
      <c r="C842" s="6" t="s">
        <v>2795</v>
      </c>
      <c r="D842" s="7">
        <v>0.65277777777777779</v>
      </c>
      <c r="E842" s="6" t="s">
        <v>16</v>
      </c>
      <c r="F842" s="6" t="s">
        <v>109</v>
      </c>
      <c r="G842" s="4">
        <v>39173</v>
      </c>
      <c r="H842" s="6" t="s">
        <v>202</v>
      </c>
      <c r="I842">
        <v>109</v>
      </c>
      <c r="J842">
        <v>3</v>
      </c>
      <c r="K842">
        <v>329</v>
      </c>
      <c r="L842" s="6" t="s">
        <v>41</v>
      </c>
      <c r="M842" s="6" t="s">
        <v>47</v>
      </c>
      <c r="N842" s="6" t="s">
        <v>33</v>
      </c>
    </row>
    <row r="843" spans="1:14" x14ac:dyDescent="0.25">
      <c r="A843" s="6" t="s">
        <v>1346</v>
      </c>
      <c r="B843" s="4">
        <v>45825</v>
      </c>
      <c r="C843" s="6" t="s">
        <v>2800</v>
      </c>
      <c r="D843" s="7">
        <v>0.85765046296296299</v>
      </c>
      <c r="E843" s="6" t="s">
        <v>16</v>
      </c>
      <c r="F843" s="6" t="s">
        <v>1347</v>
      </c>
      <c r="G843" s="4">
        <v>40269</v>
      </c>
      <c r="H843" s="6" t="s">
        <v>93</v>
      </c>
      <c r="I843">
        <v>175</v>
      </c>
      <c r="J843">
        <v>1</v>
      </c>
      <c r="K843">
        <v>175</v>
      </c>
      <c r="L843" s="6" t="s">
        <v>19</v>
      </c>
      <c r="M843" s="6" t="s">
        <v>89</v>
      </c>
      <c r="N843" s="6" t="s">
        <v>48</v>
      </c>
    </row>
    <row r="844" spans="1:14" x14ac:dyDescent="0.25">
      <c r="A844" s="6" t="s">
        <v>1348</v>
      </c>
      <c r="B844" s="4">
        <v>45817</v>
      </c>
      <c r="C844" s="6" t="s">
        <v>2800</v>
      </c>
      <c r="D844" s="7">
        <v>0.69709490740740743</v>
      </c>
      <c r="E844" s="6" t="s">
        <v>16</v>
      </c>
      <c r="F844" s="6" t="s">
        <v>136</v>
      </c>
      <c r="G844" s="4">
        <v>36993</v>
      </c>
      <c r="H844" s="6" t="s">
        <v>110</v>
      </c>
      <c r="I844">
        <v>109</v>
      </c>
      <c r="J844">
        <v>1</v>
      </c>
      <c r="K844">
        <v>109</v>
      </c>
      <c r="L844" s="6" t="s">
        <v>67</v>
      </c>
      <c r="M844" s="6" t="s">
        <v>89</v>
      </c>
      <c r="N844" s="6" t="s">
        <v>48</v>
      </c>
    </row>
    <row r="845" spans="1:14" x14ac:dyDescent="0.25">
      <c r="A845" s="6" t="s">
        <v>1349</v>
      </c>
      <c r="B845" s="4">
        <v>45734</v>
      </c>
      <c r="C845" s="6" t="s">
        <v>2798</v>
      </c>
      <c r="D845" s="7">
        <v>0.85763888888888884</v>
      </c>
      <c r="E845" s="6" t="s">
        <v>16</v>
      </c>
      <c r="F845" s="6" t="s">
        <v>328</v>
      </c>
      <c r="G845" s="4">
        <v>34836</v>
      </c>
      <c r="H845" s="6" t="s">
        <v>40</v>
      </c>
      <c r="I845">
        <v>197</v>
      </c>
      <c r="J845">
        <v>1</v>
      </c>
      <c r="K845">
        <v>198</v>
      </c>
      <c r="L845" s="6" t="s">
        <v>41</v>
      </c>
      <c r="M845" s="6" t="s">
        <v>47</v>
      </c>
      <c r="N845" s="6" t="s">
        <v>48</v>
      </c>
    </row>
    <row r="846" spans="1:14" x14ac:dyDescent="0.25">
      <c r="A846" s="6" t="s">
        <v>1351</v>
      </c>
      <c r="B846" s="4">
        <v>45770</v>
      </c>
      <c r="C846" s="6" t="s">
        <v>2801</v>
      </c>
      <c r="D846" s="7">
        <v>0.82222222222222219</v>
      </c>
      <c r="E846" s="6" t="s">
        <v>16</v>
      </c>
      <c r="F846" s="6" t="s">
        <v>1352</v>
      </c>
      <c r="G846" s="4">
        <v>32685</v>
      </c>
      <c r="H846" s="6" t="s">
        <v>53</v>
      </c>
      <c r="I846">
        <v>101</v>
      </c>
      <c r="J846">
        <v>3</v>
      </c>
      <c r="K846">
        <v>306</v>
      </c>
      <c r="L846" s="6" t="s">
        <v>41</v>
      </c>
      <c r="M846" s="6" t="s">
        <v>61</v>
      </c>
      <c r="N846" s="6" t="s">
        <v>33</v>
      </c>
    </row>
    <row r="847" spans="1:14" x14ac:dyDescent="0.25">
      <c r="A847" s="6" t="s">
        <v>1353</v>
      </c>
      <c r="B847" s="4">
        <v>45867</v>
      </c>
      <c r="C847" s="6" t="s">
        <v>2795</v>
      </c>
      <c r="D847" s="7">
        <v>0.61168981481481477</v>
      </c>
      <c r="E847" s="6" t="s">
        <v>16</v>
      </c>
      <c r="F847" s="6" t="s">
        <v>346</v>
      </c>
      <c r="G847" s="4">
        <v>27215</v>
      </c>
      <c r="H847" s="6" t="s">
        <v>126</v>
      </c>
      <c r="I847">
        <v>207</v>
      </c>
      <c r="J847">
        <v>1</v>
      </c>
      <c r="K847">
        <v>207</v>
      </c>
      <c r="L847" s="6" t="s">
        <v>41</v>
      </c>
      <c r="M847" s="6" t="s">
        <v>89</v>
      </c>
      <c r="N847" s="6" t="s">
        <v>33</v>
      </c>
    </row>
    <row r="848" spans="1:14" x14ac:dyDescent="0.25">
      <c r="A848" s="6" t="s">
        <v>1354</v>
      </c>
      <c r="B848" s="4">
        <v>45731</v>
      </c>
      <c r="C848" s="6" t="s">
        <v>2798</v>
      </c>
      <c r="D848" s="7">
        <v>0.54513888888888884</v>
      </c>
      <c r="E848" s="6" t="s">
        <v>16</v>
      </c>
      <c r="F848" s="6" t="s">
        <v>295</v>
      </c>
      <c r="G848" s="4">
        <v>33878</v>
      </c>
      <c r="H848" s="6" t="s">
        <v>110</v>
      </c>
      <c r="I848">
        <v>97</v>
      </c>
      <c r="J848">
        <v>3</v>
      </c>
      <c r="K848">
        <v>292</v>
      </c>
      <c r="L848" s="6" t="s">
        <v>67</v>
      </c>
      <c r="M848" s="6" t="s">
        <v>32</v>
      </c>
      <c r="N848" s="6" t="s">
        <v>56</v>
      </c>
    </row>
    <row r="849" spans="1:14" x14ac:dyDescent="0.25">
      <c r="A849" s="6" t="s">
        <v>1355</v>
      </c>
      <c r="B849" s="4">
        <v>45766</v>
      </c>
      <c r="C849" s="6" t="s">
        <v>2801</v>
      </c>
      <c r="D849" s="7">
        <v>0.61166666666666669</v>
      </c>
      <c r="E849" s="6" t="s">
        <v>16</v>
      </c>
      <c r="F849" s="6" t="s">
        <v>334</v>
      </c>
      <c r="G849" s="4">
        <v>39183</v>
      </c>
      <c r="H849" s="6" t="s">
        <v>129</v>
      </c>
      <c r="I849">
        <v>204</v>
      </c>
      <c r="J849">
        <v>1</v>
      </c>
      <c r="K849">
        <v>204</v>
      </c>
      <c r="L849" s="6" t="s">
        <v>67</v>
      </c>
      <c r="M849" s="6" t="s">
        <v>89</v>
      </c>
      <c r="N849" s="6" t="s">
        <v>74</v>
      </c>
    </row>
    <row r="850" spans="1:14" x14ac:dyDescent="0.25">
      <c r="A850" s="6" t="s">
        <v>1356</v>
      </c>
      <c r="B850" s="4">
        <v>45665</v>
      </c>
      <c r="C850" s="6" t="s">
        <v>2794</v>
      </c>
      <c r="D850" s="7">
        <v>0.96229166666666666</v>
      </c>
      <c r="E850" s="6" t="s">
        <v>16</v>
      </c>
      <c r="F850" s="6" t="s">
        <v>163</v>
      </c>
      <c r="G850" s="4">
        <v>29411</v>
      </c>
      <c r="H850" s="6" t="s">
        <v>145</v>
      </c>
      <c r="I850">
        <v>110</v>
      </c>
      <c r="J850">
        <v>3</v>
      </c>
      <c r="K850">
        <v>331</v>
      </c>
      <c r="L850" s="6" t="s">
        <v>41</v>
      </c>
      <c r="M850" s="6" t="s">
        <v>47</v>
      </c>
      <c r="N850" s="6" t="s">
        <v>105</v>
      </c>
    </row>
    <row r="851" spans="1:14" x14ac:dyDescent="0.25">
      <c r="A851" s="6" t="s">
        <v>1357</v>
      </c>
      <c r="B851" s="4">
        <v>45737</v>
      </c>
      <c r="C851" s="6" t="s">
        <v>2798</v>
      </c>
      <c r="D851" s="7">
        <v>0.4776273148148148</v>
      </c>
      <c r="E851" s="6" t="s">
        <v>16</v>
      </c>
      <c r="F851" s="6" t="s">
        <v>351</v>
      </c>
      <c r="G851" s="4">
        <v>40104</v>
      </c>
      <c r="H851" s="6" t="s">
        <v>243</v>
      </c>
      <c r="I851">
        <v>121</v>
      </c>
      <c r="J851">
        <v>3</v>
      </c>
      <c r="K851">
        <v>365</v>
      </c>
      <c r="L851" s="6" t="s">
        <v>54</v>
      </c>
      <c r="M851" s="6" t="s">
        <v>89</v>
      </c>
      <c r="N851" s="6" t="s">
        <v>105</v>
      </c>
    </row>
    <row r="852" spans="1:14" x14ac:dyDescent="0.25">
      <c r="A852" s="6" t="s">
        <v>1358</v>
      </c>
      <c r="B852" s="4">
        <v>45793</v>
      </c>
      <c r="C852" s="6" t="s">
        <v>2792</v>
      </c>
      <c r="D852" s="7">
        <v>0.84583333333333333</v>
      </c>
      <c r="E852" s="6" t="s">
        <v>16</v>
      </c>
      <c r="F852" s="6" t="s">
        <v>582</v>
      </c>
      <c r="G852" s="4">
        <v>34831</v>
      </c>
      <c r="H852" s="6" t="s">
        <v>104</v>
      </c>
      <c r="I852">
        <v>245</v>
      </c>
      <c r="J852">
        <v>1</v>
      </c>
      <c r="K852">
        <v>246</v>
      </c>
      <c r="L852" s="6" t="s">
        <v>54</v>
      </c>
      <c r="M852" s="6" t="s">
        <v>89</v>
      </c>
      <c r="N852" s="6" t="s">
        <v>48</v>
      </c>
    </row>
    <row r="853" spans="1:14" x14ac:dyDescent="0.25">
      <c r="A853" s="6" t="s">
        <v>1359</v>
      </c>
      <c r="B853" s="4">
        <v>45716</v>
      </c>
      <c r="C853" s="6" t="s">
        <v>2799</v>
      </c>
      <c r="D853" s="7">
        <v>0.84670138888888891</v>
      </c>
      <c r="E853" s="6" t="s">
        <v>16</v>
      </c>
      <c r="F853" s="6" t="s">
        <v>332</v>
      </c>
      <c r="G853" s="4">
        <v>26624</v>
      </c>
      <c r="H853" s="6" t="s">
        <v>129</v>
      </c>
      <c r="I853">
        <v>145</v>
      </c>
      <c r="J853">
        <v>2</v>
      </c>
      <c r="K853">
        <v>291</v>
      </c>
      <c r="L853" s="6" t="s">
        <v>67</v>
      </c>
      <c r="M853" s="6" t="s">
        <v>37</v>
      </c>
      <c r="N853" s="6" t="s">
        <v>48</v>
      </c>
    </row>
    <row r="854" spans="1:14" x14ac:dyDescent="0.25">
      <c r="A854" s="6" t="s">
        <v>1360</v>
      </c>
      <c r="B854" s="4">
        <v>45674</v>
      </c>
      <c r="C854" s="6" t="s">
        <v>2794</v>
      </c>
      <c r="D854" s="7">
        <v>0.86041666666666672</v>
      </c>
      <c r="E854" s="6" t="s">
        <v>16</v>
      </c>
      <c r="F854" s="6" t="s">
        <v>512</v>
      </c>
      <c r="G854" s="4">
        <v>28918</v>
      </c>
      <c r="H854" s="6" t="s">
        <v>243</v>
      </c>
      <c r="I854">
        <v>121</v>
      </c>
      <c r="J854">
        <v>2</v>
      </c>
      <c r="K854">
        <v>242</v>
      </c>
      <c r="L854" s="6" t="s">
        <v>2787</v>
      </c>
      <c r="M854" s="6" t="s">
        <v>32</v>
      </c>
      <c r="N854" s="6" t="s">
        <v>21</v>
      </c>
    </row>
    <row r="855" spans="1:14" x14ac:dyDescent="0.25">
      <c r="A855" s="6" t="s">
        <v>1361</v>
      </c>
      <c r="B855" s="4">
        <v>45808</v>
      </c>
      <c r="C855" s="6" t="s">
        <v>2792</v>
      </c>
      <c r="D855" s="7">
        <v>0.59513888888888888</v>
      </c>
      <c r="E855" s="6" t="s">
        <v>16</v>
      </c>
      <c r="F855" s="6" t="s">
        <v>1362</v>
      </c>
      <c r="G855" s="4">
        <v>34694</v>
      </c>
      <c r="H855" s="6" t="s">
        <v>259</v>
      </c>
      <c r="I855">
        <v>207</v>
      </c>
      <c r="J855">
        <v>1</v>
      </c>
      <c r="K855">
        <v>207</v>
      </c>
      <c r="L855" s="6" t="s">
        <v>67</v>
      </c>
      <c r="M855" s="6" t="s">
        <v>89</v>
      </c>
      <c r="N855" s="6" t="s">
        <v>74</v>
      </c>
    </row>
    <row r="856" spans="1:14" x14ac:dyDescent="0.25">
      <c r="A856" s="6" t="s">
        <v>1363</v>
      </c>
      <c r="B856" s="4">
        <v>45967</v>
      </c>
      <c r="C856" s="6" t="s">
        <v>2802</v>
      </c>
      <c r="D856" s="7">
        <v>0.61111111111111116</v>
      </c>
      <c r="E856" s="6" t="s">
        <v>16</v>
      </c>
      <c r="F856" s="6" t="s">
        <v>279</v>
      </c>
      <c r="G856" s="4">
        <v>37289</v>
      </c>
      <c r="H856" s="6" t="s">
        <v>164</v>
      </c>
      <c r="I856">
        <v>240</v>
      </c>
      <c r="J856">
        <v>1</v>
      </c>
      <c r="K856">
        <v>220</v>
      </c>
      <c r="L856" s="6" t="s">
        <v>41</v>
      </c>
      <c r="M856" s="6" t="s">
        <v>32</v>
      </c>
      <c r="N856" s="6" t="s">
        <v>33</v>
      </c>
    </row>
    <row r="857" spans="1:14" x14ac:dyDescent="0.25">
      <c r="A857" s="6" t="s">
        <v>1364</v>
      </c>
      <c r="B857" s="4">
        <v>45705</v>
      </c>
      <c r="C857" s="6" t="s">
        <v>2799</v>
      </c>
      <c r="D857" s="7">
        <v>0.86527777777777781</v>
      </c>
      <c r="E857" s="6" t="s">
        <v>16</v>
      </c>
      <c r="F857" s="6" t="s">
        <v>191</v>
      </c>
      <c r="G857" s="4">
        <v>35169</v>
      </c>
      <c r="H857" s="6" t="s">
        <v>202</v>
      </c>
      <c r="I857">
        <v>240</v>
      </c>
      <c r="J857">
        <v>2</v>
      </c>
      <c r="K857">
        <v>220</v>
      </c>
      <c r="L857" s="6" t="s">
        <v>41</v>
      </c>
      <c r="M857" s="6" t="s">
        <v>20</v>
      </c>
      <c r="N857" s="6" t="s">
        <v>33</v>
      </c>
    </row>
    <row r="858" spans="1:14" x14ac:dyDescent="0.25">
      <c r="A858" s="6" t="s">
        <v>1365</v>
      </c>
      <c r="B858" s="4">
        <v>45711</v>
      </c>
      <c r="C858" s="6" t="s">
        <v>2799</v>
      </c>
      <c r="D858" s="7">
        <v>0.63061342592592595</v>
      </c>
      <c r="E858" s="6" t="s">
        <v>16</v>
      </c>
      <c r="F858" s="6" t="s">
        <v>295</v>
      </c>
      <c r="G858" s="4">
        <v>25784</v>
      </c>
      <c r="H858" s="6" t="s">
        <v>104</v>
      </c>
      <c r="I858">
        <v>237</v>
      </c>
      <c r="J858">
        <v>3</v>
      </c>
      <c r="K858">
        <v>713</v>
      </c>
      <c r="L858" s="6" t="s">
        <v>19</v>
      </c>
      <c r="M858" s="6" t="s">
        <v>89</v>
      </c>
      <c r="N858" s="6" t="s">
        <v>56</v>
      </c>
    </row>
    <row r="859" spans="1:14" x14ac:dyDescent="0.25">
      <c r="A859" s="6" t="s">
        <v>1366</v>
      </c>
      <c r="B859" s="4">
        <v>45832</v>
      </c>
      <c r="C859" s="6" t="s">
        <v>2800</v>
      </c>
      <c r="D859" s="7">
        <v>0.80928240740740742</v>
      </c>
      <c r="E859" s="6" t="s">
        <v>16</v>
      </c>
      <c r="F859" s="6" t="s">
        <v>882</v>
      </c>
      <c r="G859" s="4">
        <v>36930</v>
      </c>
      <c r="H859" s="6" t="s">
        <v>85</v>
      </c>
      <c r="I859">
        <v>344</v>
      </c>
      <c r="J859">
        <v>2</v>
      </c>
      <c r="K859">
        <v>688</v>
      </c>
      <c r="L859" s="6" t="s">
        <v>19</v>
      </c>
      <c r="M859" s="6" t="s">
        <v>32</v>
      </c>
      <c r="N859" s="6" t="s">
        <v>56</v>
      </c>
    </row>
    <row r="860" spans="1:14" x14ac:dyDescent="0.25">
      <c r="A860" s="6" t="s">
        <v>1367</v>
      </c>
      <c r="B860" s="4">
        <v>45723</v>
      </c>
      <c r="C860" s="6" t="s">
        <v>2798</v>
      </c>
      <c r="D860" s="7">
        <v>0.78749999999999998</v>
      </c>
      <c r="E860" s="6" t="s">
        <v>16</v>
      </c>
      <c r="F860" s="6" t="s">
        <v>562</v>
      </c>
      <c r="G860" s="4">
        <v>28602</v>
      </c>
      <c r="H860" s="6" t="s">
        <v>141</v>
      </c>
      <c r="I860">
        <v>125</v>
      </c>
      <c r="J860">
        <v>1</v>
      </c>
      <c r="K860">
        <v>126</v>
      </c>
      <c r="L860" s="6" t="s">
        <v>19</v>
      </c>
      <c r="M860" s="6" t="s">
        <v>89</v>
      </c>
      <c r="N860" s="6" t="s">
        <v>27</v>
      </c>
    </row>
    <row r="861" spans="1:14" x14ac:dyDescent="0.25">
      <c r="A861" s="6" t="s">
        <v>1368</v>
      </c>
      <c r="B861" s="4">
        <v>45937</v>
      </c>
      <c r="C861" s="6" t="s">
        <v>2791</v>
      </c>
      <c r="D861" s="7">
        <v>0.51249999999999996</v>
      </c>
      <c r="E861" s="6" t="s">
        <v>16</v>
      </c>
      <c r="F861" s="6" t="s">
        <v>712</v>
      </c>
      <c r="G861" s="4">
        <v>28602</v>
      </c>
      <c r="H861" s="6" t="s">
        <v>110</v>
      </c>
      <c r="I861">
        <v>109</v>
      </c>
      <c r="J861">
        <v>2</v>
      </c>
      <c r="K861">
        <v>219</v>
      </c>
      <c r="L861" s="6" t="s">
        <v>67</v>
      </c>
      <c r="M861" s="6" t="s">
        <v>55</v>
      </c>
      <c r="N861" s="6" t="s">
        <v>105</v>
      </c>
    </row>
    <row r="862" spans="1:14" x14ac:dyDescent="0.25">
      <c r="A862" s="6" t="s">
        <v>1369</v>
      </c>
      <c r="B862" s="4">
        <v>45759</v>
      </c>
      <c r="C862" s="6" t="s">
        <v>2801</v>
      </c>
      <c r="D862" s="7">
        <v>0.85972222222222228</v>
      </c>
      <c r="E862" s="6" t="s">
        <v>16</v>
      </c>
      <c r="F862" s="6" t="s">
        <v>84</v>
      </c>
      <c r="G862" s="4">
        <v>27564</v>
      </c>
      <c r="H862" s="6" t="s">
        <v>36</v>
      </c>
      <c r="I862">
        <v>157</v>
      </c>
      <c r="J862">
        <v>2</v>
      </c>
      <c r="K862">
        <v>315</v>
      </c>
      <c r="L862" s="6" t="s">
        <v>19</v>
      </c>
      <c r="M862" s="6" t="s">
        <v>26</v>
      </c>
      <c r="N862" s="6" t="s">
        <v>105</v>
      </c>
    </row>
    <row r="863" spans="1:14" x14ac:dyDescent="0.25">
      <c r="A863" s="6" t="s">
        <v>1371</v>
      </c>
      <c r="B863" s="4">
        <v>45848</v>
      </c>
      <c r="C863" s="6" t="s">
        <v>2795</v>
      </c>
      <c r="D863" s="7">
        <v>0.60416666666666663</v>
      </c>
      <c r="E863" s="6" t="s">
        <v>16</v>
      </c>
      <c r="F863" s="6" t="s">
        <v>855</v>
      </c>
      <c r="G863" s="4">
        <v>39284</v>
      </c>
      <c r="H863" s="6" t="s">
        <v>60</v>
      </c>
      <c r="I863">
        <v>107</v>
      </c>
      <c r="J863">
        <v>2</v>
      </c>
      <c r="K863">
        <v>216</v>
      </c>
      <c r="L863" s="6" t="s">
        <v>41</v>
      </c>
      <c r="M863" s="6" t="s">
        <v>32</v>
      </c>
      <c r="N863" s="6" t="s">
        <v>74</v>
      </c>
    </row>
    <row r="864" spans="1:14" x14ac:dyDescent="0.25">
      <c r="A864" s="6" t="s">
        <v>1372</v>
      </c>
      <c r="B864" s="4">
        <v>45799</v>
      </c>
      <c r="C864" s="6" t="s">
        <v>2792</v>
      </c>
      <c r="D864" s="7">
        <v>0.77708333333333335</v>
      </c>
      <c r="E864" s="6" t="s">
        <v>16</v>
      </c>
      <c r="F864" s="6" t="s">
        <v>211</v>
      </c>
      <c r="G864" s="4">
        <v>40510</v>
      </c>
      <c r="H864" s="6" t="s">
        <v>30</v>
      </c>
      <c r="I864">
        <v>302</v>
      </c>
      <c r="J864">
        <v>2</v>
      </c>
      <c r="K864">
        <v>605</v>
      </c>
      <c r="L864" s="6" t="s">
        <v>41</v>
      </c>
      <c r="M864" s="6" t="s">
        <v>47</v>
      </c>
      <c r="N864" s="6" t="s">
        <v>74</v>
      </c>
    </row>
    <row r="865" spans="1:14" x14ac:dyDescent="0.25">
      <c r="A865" s="6" t="s">
        <v>1373</v>
      </c>
      <c r="B865" s="4">
        <v>45904</v>
      </c>
      <c r="C865" s="6" t="s">
        <v>2797</v>
      </c>
      <c r="D865" s="7">
        <v>0.82847222222222228</v>
      </c>
      <c r="E865" s="6" t="s">
        <v>16</v>
      </c>
      <c r="F865" s="6" t="s">
        <v>169</v>
      </c>
      <c r="G865" s="4">
        <v>26862</v>
      </c>
      <c r="H865" s="6" t="s">
        <v>116</v>
      </c>
      <c r="I865">
        <v>233</v>
      </c>
      <c r="J865">
        <v>1</v>
      </c>
      <c r="K865">
        <v>234</v>
      </c>
      <c r="L865" s="6" t="s">
        <v>67</v>
      </c>
      <c r="M865" s="6" t="s">
        <v>26</v>
      </c>
      <c r="N865" s="6" t="s">
        <v>74</v>
      </c>
    </row>
    <row r="866" spans="1:14" x14ac:dyDescent="0.25">
      <c r="A866" s="6" t="s">
        <v>1374</v>
      </c>
      <c r="B866" s="4">
        <v>45931</v>
      </c>
      <c r="C866" s="6" t="s">
        <v>2791</v>
      </c>
      <c r="D866" s="7">
        <v>0.60902777777777772</v>
      </c>
      <c r="E866" s="6" t="s">
        <v>16</v>
      </c>
      <c r="F866" s="6" t="s">
        <v>118</v>
      </c>
      <c r="G866" s="4">
        <v>29506</v>
      </c>
      <c r="H866" s="6" t="s">
        <v>126</v>
      </c>
      <c r="I866">
        <v>310</v>
      </c>
      <c r="J866">
        <v>2</v>
      </c>
      <c r="K866">
        <v>622</v>
      </c>
      <c r="L866" s="6" t="s">
        <v>67</v>
      </c>
      <c r="M866" s="6" t="s">
        <v>37</v>
      </c>
      <c r="N866" s="6" t="s">
        <v>27</v>
      </c>
    </row>
    <row r="867" spans="1:14" x14ac:dyDescent="0.25">
      <c r="A867" s="6" t="s">
        <v>1375</v>
      </c>
      <c r="B867" s="4">
        <v>45781</v>
      </c>
      <c r="C867" s="6" t="s">
        <v>2792</v>
      </c>
      <c r="D867" s="7">
        <v>0.47836805555555556</v>
      </c>
      <c r="E867" s="6" t="s">
        <v>16</v>
      </c>
      <c r="F867" s="6" t="s">
        <v>712</v>
      </c>
      <c r="G867" s="4">
        <v>38404</v>
      </c>
      <c r="H867" s="6" t="s">
        <v>73</v>
      </c>
      <c r="I867">
        <v>53</v>
      </c>
      <c r="J867">
        <v>1</v>
      </c>
      <c r="K867">
        <v>54</v>
      </c>
      <c r="L867" s="6" t="s">
        <v>2787</v>
      </c>
      <c r="M867" s="6" t="s">
        <v>32</v>
      </c>
      <c r="N867" s="6" t="s">
        <v>48</v>
      </c>
    </row>
    <row r="868" spans="1:14" x14ac:dyDescent="0.25">
      <c r="A868" s="6" t="s">
        <v>1376</v>
      </c>
      <c r="B868" s="4">
        <v>45667</v>
      </c>
      <c r="C868" s="6" t="s">
        <v>2794</v>
      </c>
      <c r="D868" s="7">
        <v>0.63479166666666664</v>
      </c>
      <c r="E868" s="6" t="s">
        <v>16</v>
      </c>
      <c r="F868" s="6" t="s">
        <v>95</v>
      </c>
      <c r="G868" s="4">
        <v>25800</v>
      </c>
      <c r="H868" s="6" t="s">
        <v>202</v>
      </c>
      <c r="I868">
        <v>133</v>
      </c>
      <c r="J868">
        <v>1</v>
      </c>
      <c r="K868">
        <v>134</v>
      </c>
      <c r="L868" s="6" t="s">
        <v>41</v>
      </c>
      <c r="M868" s="6" t="s">
        <v>26</v>
      </c>
      <c r="N868" s="6" t="s">
        <v>48</v>
      </c>
    </row>
    <row r="869" spans="1:14" x14ac:dyDescent="0.25">
      <c r="A869" s="6" t="s">
        <v>1377</v>
      </c>
      <c r="B869" s="4">
        <v>45864</v>
      </c>
      <c r="C869" s="6" t="s">
        <v>2795</v>
      </c>
      <c r="D869" s="7">
        <v>0.65347222222222223</v>
      </c>
      <c r="E869" s="6" t="s">
        <v>16</v>
      </c>
      <c r="F869" s="6" t="s">
        <v>204</v>
      </c>
      <c r="G869" s="4">
        <v>30426</v>
      </c>
      <c r="H869" s="6" t="s">
        <v>104</v>
      </c>
      <c r="I869">
        <v>133</v>
      </c>
      <c r="J869">
        <v>1</v>
      </c>
      <c r="K869">
        <v>134</v>
      </c>
      <c r="L869" s="6" t="s">
        <v>41</v>
      </c>
      <c r="M869" s="6" t="s">
        <v>89</v>
      </c>
      <c r="N869" s="6" t="s">
        <v>21</v>
      </c>
    </row>
    <row r="870" spans="1:14" x14ac:dyDescent="0.25">
      <c r="A870" s="6" t="s">
        <v>1378</v>
      </c>
      <c r="B870" s="4">
        <v>45969</v>
      </c>
      <c r="C870" s="6" t="s">
        <v>2802</v>
      </c>
      <c r="D870" s="7">
        <v>0.95211805555555551</v>
      </c>
      <c r="E870" s="6" t="s">
        <v>16</v>
      </c>
      <c r="F870" s="6" t="s">
        <v>109</v>
      </c>
      <c r="G870" s="4">
        <v>32994</v>
      </c>
      <c r="H870" s="6" t="s">
        <v>178</v>
      </c>
      <c r="I870">
        <v>262</v>
      </c>
      <c r="J870">
        <v>2</v>
      </c>
      <c r="K870">
        <v>524</v>
      </c>
      <c r="L870" s="6" t="s">
        <v>19</v>
      </c>
      <c r="M870" s="6" t="s">
        <v>55</v>
      </c>
      <c r="N870" s="6" t="s">
        <v>48</v>
      </c>
    </row>
    <row r="871" spans="1:14" x14ac:dyDescent="0.25">
      <c r="A871" s="6" t="s">
        <v>1379</v>
      </c>
      <c r="B871" s="4">
        <v>45841</v>
      </c>
      <c r="C871" s="6" t="s">
        <v>2795</v>
      </c>
      <c r="D871" s="7">
        <v>0.48749999999999999</v>
      </c>
      <c r="E871" s="6" t="s">
        <v>16</v>
      </c>
      <c r="F871" s="6" t="s">
        <v>882</v>
      </c>
      <c r="G871" s="4">
        <v>31797</v>
      </c>
      <c r="H871" s="6" t="s">
        <v>30</v>
      </c>
      <c r="I871">
        <v>260</v>
      </c>
      <c r="J871">
        <v>3</v>
      </c>
      <c r="K871">
        <v>754</v>
      </c>
      <c r="L871" s="6" t="s">
        <v>19</v>
      </c>
      <c r="M871" s="6" t="s">
        <v>26</v>
      </c>
      <c r="N871" s="6" t="s">
        <v>105</v>
      </c>
    </row>
    <row r="872" spans="1:14" x14ac:dyDescent="0.25">
      <c r="A872" s="6" t="s">
        <v>1380</v>
      </c>
      <c r="B872" s="4">
        <v>45946</v>
      </c>
      <c r="C872" s="6" t="s">
        <v>2791</v>
      </c>
      <c r="D872" s="7">
        <v>0.65208333333333335</v>
      </c>
      <c r="E872" s="6" t="s">
        <v>16</v>
      </c>
      <c r="F872" s="6" t="s">
        <v>281</v>
      </c>
      <c r="G872" s="4">
        <v>40245</v>
      </c>
      <c r="H872" s="6" t="s">
        <v>77</v>
      </c>
      <c r="I872">
        <v>334</v>
      </c>
      <c r="J872">
        <v>3</v>
      </c>
      <c r="K872">
        <v>1004</v>
      </c>
      <c r="L872" s="6" t="s">
        <v>54</v>
      </c>
      <c r="M872" s="6" t="s">
        <v>47</v>
      </c>
      <c r="N872" s="6" t="s">
        <v>48</v>
      </c>
    </row>
    <row r="873" spans="1:14" x14ac:dyDescent="0.25">
      <c r="A873" s="6" t="s">
        <v>1382</v>
      </c>
      <c r="B873" s="4">
        <v>45681</v>
      </c>
      <c r="C873" s="6" t="s">
        <v>2794</v>
      </c>
      <c r="D873" s="7">
        <v>0.58361111111111108</v>
      </c>
      <c r="E873" s="6" t="s">
        <v>16</v>
      </c>
      <c r="F873" s="6" t="s">
        <v>128</v>
      </c>
      <c r="G873" s="4">
        <v>35162</v>
      </c>
      <c r="H873" s="6" t="s">
        <v>110</v>
      </c>
      <c r="I873">
        <v>100</v>
      </c>
      <c r="J873">
        <v>1</v>
      </c>
      <c r="K873">
        <v>100</v>
      </c>
      <c r="L873" s="6" t="s">
        <v>19</v>
      </c>
      <c r="M873" s="6" t="s">
        <v>89</v>
      </c>
      <c r="N873" s="6" t="s">
        <v>27</v>
      </c>
    </row>
    <row r="874" spans="1:14" x14ac:dyDescent="0.25">
      <c r="A874" s="6" t="s">
        <v>1383</v>
      </c>
      <c r="B874" s="4">
        <v>45762</v>
      </c>
      <c r="C874" s="6" t="s">
        <v>2801</v>
      </c>
      <c r="D874" s="7">
        <v>0.69374999999999998</v>
      </c>
      <c r="E874" s="6" t="s">
        <v>16</v>
      </c>
      <c r="F874" s="6" t="s">
        <v>1384</v>
      </c>
      <c r="G874" s="4">
        <v>33257</v>
      </c>
      <c r="H874" s="6" t="s">
        <v>77</v>
      </c>
      <c r="I874">
        <v>227</v>
      </c>
      <c r="J874">
        <v>2</v>
      </c>
      <c r="K874">
        <v>455</v>
      </c>
      <c r="L874" s="6" t="s">
        <v>19</v>
      </c>
      <c r="M874" s="6" t="s">
        <v>61</v>
      </c>
      <c r="N874" s="6" t="s">
        <v>74</v>
      </c>
    </row>
    <row r="875" spans="1:14" x14ac:dyDescent="0.25">
      <c r="A875" s="6" t="s">
        <v>1385</v>
      </c>
      <c r="B875" s="4">
        <v>45785</v>
      </c>
      <c r="C875" s="6" t="s">
        <v>2792</v>
      </c>
      <c r="D875" s="7">
        <v>0.49375000000000002</v>
      </c>
      <c r="E875" s="6" t="s">
        <v>16</v>
      </c>
      <c r="F875" s="6" t="s">
        <v>1387</v>
      </c>
      <c r="G875" s="4">
        <v>39242</v>
      </c>
      <c r="H875" s="6" t="s">
        <v>259</v>
      </c>
      <c r="I875">
        <v>204</v>
      </c>
      <c r="J875">
        <v>2</v>
      </c>
      <c r="K875">
        <v>410</v>
      </c>
      <c r="L875" s="6" t="s">
        <v>19</v>
      </c>
      <c r="M875" s="6" t="s">
        <v>61</v>
      </c>
      <c r="N875" s="6" t="s">
        <v>105</v>
      </c>
    </row>
    <row r="876" spans="1:14" x14ac:dyDescent="0.25">
      <c r="A876" s="6" t="s">
        <v>1388</v>
      </c>
      <c r="B876" s="4">
        <v>45838</v>
      </c>
      <c r="C876" s="6" t="s">
        <v>2800</v>
      </c>
      <c r="D876" s="7">
        <v>0.96989583333333329</v>
      </c>
      <c r="E876" s="6" t="s">
        <v>16</v>
      </c>
      <c r="F876" s="6" t="s">
        <v>1389</v>
      </c>
      <c r="G876" s="4">
        <v>37767</v>
      </c>
      <c r="H876" s="6" t="s">
        <v>116</v>
      </c>
      <c r="I876">
        <v>43</v>
      </c>
      <c r="J876">
        <v>1</v>
      </c>
      <c r="K876">
        <v>43</v>
      </c>
      <c r="L876" s="6" t="s">
        <v>2787</v>
      </c>
      <c r="M876" s="6" t="s">
        <v>89</v>
      </c>
      <c r="N876" s="6" t="s">
        <v>27</v>
      </c>
    </row>
    <row r="877" spans="1:14" x14ac:dyDescent="0.25">
      <c r="A877" s="6" t="s">
        <v>1390</v>
      </c>
      <c r="B877" s="4">
        <v>45721</v>
      </c>
      <c r="C877" s="6" t="s">
        <v>2798</v>
      </c>
      <c r="D877" s="7">
        <v>0.65208333333333335</v>
      </c>
      <c r="E877" s="6" t="s">
        <v>16</v>
      </c>
      <c r="F877" s="6" t="s">
        <v>408</v>
      </c>
      <c r="G877" s="4">
        <v>31953</v>
      </c>
      <c r="H877" s="6" t="s">
        <v>116</v>
      </c>
      <c r="I877">
        <v>263</v>
      </c>
      <c r="J877">
        <v>2</v>
      </c>
      <c r="K877">
        <v>528</v>
      </c>
      <c r="L877" s="6" t="s">
        <v>41</v>
      </c>
      <c r="M877" s="6" t="s">
        <v>32</v>
      </c>
      <c r="N877" s="6" t="s">
        <v>27</v>
      </c>
    </row>
    <row r="878" spans="1:14" x14ac:dyDescent="0.25">
      <c r="A878" s="6" t="s">
        <v>1391</v>
      </c>
      <c r="B878" s="4">
        <v>45680</v>
      </c>
      <c r="C878" s="6" t="s">
        <v>2794</v>
      </c>
      <c r="D878" s="7">
        <v>0.96388888888888891</v>
      </c>
      <c r="E878" s="6" t="s">
        <v>16</v>
      </c>
      <c r="F878" s="6" t="s">
        <v>109</v>
      </c>
      <c r="G878" s="4">
        <v>37096</v>
      </c>
      <c r="H878" s="6" t="s">
        <v>202</v>
      </c>
      <c r="I878">
        <v>294</v>
      </c>
      <c r="J878">
        <v>1</v>
      </c>
      <c r="K878">
        <v>294</v>
      </c>
      <c r="L878" s="6" t="s">
        <v>19</v>
      </c>
      <c r="M878" s="6" t="s">
        <v>47</v>
      </c>
      <c r="N878" s="6" t="s">
        <v>105</v>
      </c>
    </row>
    <row r="879" spans="1:14" x14ac:dyDescent="0.25">
      <c r="A879" s="6" t="s">
        <v>1392</v>
      </c>
      <c r="B879" s="4">
        <v>45680</v>
      </c>
      <c r="C879" s="6" t="s">
        <v>2794</v>
      </c>
      <c r="D879" s="7">
        <v>0.49583333333333335</v>
      </c>
      <c r="E879" s="6" t="s">
        <v>16</v>
      </c>
      <c r="F879" s="6" t="s">
        <v>240</v>
      </c>
      <c r="G879" s="4">
        <v>27688</v>
      </c>
      <c r="H879" s="6" t="s">
        <v>93</v>
      </c>
      <c r="I879">
        <v>230</v>
      </c>
      <c r="J879">
        <v>2</v>
      </c>
      <c r="K879">
        <v>460</v>
      </c>
      <c r="L879" s="6" t="s">
        <v>67</v>
      </c>
      <c r="M879" s="6" t="s">
        <v>20</v>
      </c>
      <c r="N879" s="6" t="s">
        <v>33</v>
      </c>
    </row>
    <row r="880" spans="1:14" x14ac:dyDescent="0.25">
      <c r="A880" s="6" t="s">
        <v>1393</v>
      </c>
      <c r="B880" s="4">
        <v>45746</v>
      </c>
      <c r="C880" s="6" t="s">
        <v>2798</v>
      </c>
      <c r="D880" s="7">
        <v>0.56988425925925923</v>
      </c>
      <c r="E880" s="6" t="s">
        <v>16</v>
      </c>
      <c r="F880" s="6" t="s">
        <v>191</v>
      </c>
      <c r="G880" s="4">
        <v>31141</v>
      </c>
      <c r="H880" s="6" t="s">
        <v>36</v>
      </c>
      <c r="I880">
        <v>217</v>
      </c>
      <c r="J880">
        <v>2</v>
      </c>
      <c r="K880">
        <v>434</v>
      </c>
      <c r="L880" s="6" t="s">
        <v>67</v>
      </c>
      <c r="M880" s="6" t="s">
        <v>20</v>
      </c>
      <c r="N880" s="6" t="s">
        <v>27</v>
      </c>
    </row>
    <row r="881" spans="1:14" x14ac:dyDescent="0.25">
      <c r="A881" s="6" t="s">
        <v>1394</v>
      </c>
      <c r="B881" s="4">
        <v>45962</v>
      </c>
      <c r="C881" s="6" t="s">
        <v>2802</v>
      </c>
      <c r="D881" s="7">
        <v>0.67737268518518523</v>
      </c>
      <c r="E881" s="6" t="s">
        <v>16</v>
      </c>
      <c r="F881" s="6" t="s">
        <v>218</v>
      </c>
      <c r="G881" s="4">
        <v>38641</v>
      </c>
      <c r="H881" s="6" t="s">
        <v>77</v>
      </c>
      <c r="I881">
        <v>211</v>
      </c>
      <c r="J881">
        <v>1</v>
      </c>
      <c r="K881">
        <v>211</v>
      </c>
      <c r="L881" s="6" t="s">
        <v>2787</v>
      </c>
      <c r="M881" s="6" t="s">
        <v>55</v>
      </c>
      <c r="N881" s="6" t="s">
        <v>33</v>
      </c>
    </row>
    <row r="882" spans="1:14" x14ac:dyDescent="0.25">
      <c r="A882" s="6" t="s">
        <v>1395</v>
      </c>
      <c r="B882" s="4">
        <v>45860</v>
      </c>
      <c r="C882" s="6" t="s">
        <v>2795</v>
      </c>
      <c r="D882" s="7">
        <v>0.77083333333333337</v>
      </c>
      <c r="E882" s="6" t="s">
        <v>16</v>
      </c>
      <c r="F882" s="6" t="s">
        <v>1397</v>
      </c>
      <c r="G882" s="4">
        <v>35289</v>
      </c>
      <c r="H882" s="6" t="s">
        <v>129</v>
      </c>
      <c r="I882">
        <v>204</v>
      </c>
      <c r="J882">
        <v>1</v>
      </c>
      <c r="K882">
        <v>204</v>
      </c>
      <c r="L882" s="6" t="s">
        <v>54</v>
      </c>
      <c r="M882" s="6" t="s">
        <v>20</v>
      </c>
      <c r="N882" s="6" t="s">
        <v>56</v>
      </c>
    </row>
    <row r="883" spans="1:14" x14ac:dyDescent="0.25">
      <c r="A883" s="6" t="s">
        <v>1398</v>
      </c>
      <c r="B883" s="4">
        <v>45820</v>
      </c>
      <c r="C883" s="6" t="s">
        <v>2800</v>
      </c>
      <c r="D883" s="7">
        <v>0.57430555555555551</v>
      </c>
      <c r="E883" s="6" t="s">
        <v>16</v>
      </c>
      <c r="F883" s="6" t="s">
        <v>264</v>
      </c>
      <c r="G883" s="4">
        <v>33564</v>
      </c>
      <c r="H883" s="6" t="s">
        <v>73</v>
      </c>
      <c r="I883">
        <v>44</v>
      </c>
      <c r="J883">
        <v>1</v>
      </c>
      <c r="K883">
        <v>45</v>
      </c>
      <c r="L883" s="6" t="s">
        <v>54</v>
      </c>
      <c r="M883" s="6" t="s">
        <v>55</v>
      </c>
      <c r="N883" s="6" t="s">
        <v>21</v>
      </c>
    </row>
    <row r="884" spans="1:14" x14ac:dyDescent="0.25">
      <c r="A884" s="6" t="s">
        <v>1400</v>
      </c>
      <c r="B884" s="4">
        <v>45652</v>
      </c>
      <c r="C884" s="6" t="s">
        <v>2796</v>
      </c>
      <c r="D884" s="7">
        <v>0.97152777777777777</v>
      </c>
      <c r="E884" s="6" t="s">
        <v>16</v>
      </c>
      <c r="F884" s="6" t="s">
        <v>222</v>
      </c>
      <c r="G884" s="4">
        <v>39710</v>
      </c>
      <c r="H884" s="6" t="s">
        <v>36</v>
      </c>
      <c r="I884">
        <v>127</v>
      </c>
      <c r="J884">
        <v>2</v>
      </c>
      <c r="K884">
        <v>254</v>
      </c>
      <c r="L884" s="6" t="s">
        <v>19</v>
      </c>
      <c r="M884" s="6" t="s">
        <v>20</v>
      </c>
      <c r="N884" s="6" t="s">
        <v>21</v>
      </c>
    </row>
    <row r="885" spans="1:14" x14ac:dyDescent="0.25">
      <c r="A885" s="6" t="s">
        <v>1401</v>
      </c>
      <c r="B885" s="4">
        <v>45866</v>
      </c>
      <c r="C885" s="6" t="s">
        <v>2795</v>
      </c>
      <c r="D885" s="7">
        <v>0.89513888888888893</v>
      </c>
      <c r="E885" s="6" t="s">
        <v>16</v>
      </c>
      <c r="F885" s="6" t="s">
        <v>204</v>
      </c>
      <c r="G885" s="4">
        <v>39710</v>
      </c>
      <c r="H885" s="6" t="s">
        <v>40</v>
      </c>
      <c r="I885">
        <v>213</v>
      </c>
      <c r="J885">
        <v>2</v>
      </c>
      <c r="K885">
        <v>427</v>
      </c>
      <c r="L885" s="6" t="s">
        <v>67</v>
      </c>
      <c r="M885" s="6" t="s">
        <v>55</v>
      </c>
      <c r="N885" s="6" t="s">
        <v>27</v>
      </c>
    </row>
    <row r="886" spans="1:14" x14ac:dyDescent="0.25">
      <c r="A886" s="6" t="s">
        <v>1402</v>
      </c>
      <c r="B886" s="4">
        <v>45911</v>
      </c>
      <c r="C886" s="6" t="s">
        <v>2797</v>
      </c>
      <c r="D886" s="7">
        <v>0.70694444444444449</v>
      </c>
      <c r="E886" s="6" t="s">
        <v>16</v>
      </c>
      <c r="F886" s="6" t="s">
        <v>173</v>
      </c>
      <c r="G886" s="4">
        <v>40070</v>
      </c>
      <c r="H886" s="6" t="s">
        <v>164</v>
      </c>
      <c r="I886">
        <v>303</v>
      </c>
      <c r="J886">
        <v>1</v>
      </c>
      <c r="K886">
        <v>303</v>
      </c>
      <c r="L886" s="6" t="s">
        <v>19</v>
      </c>
      <c r="M886" s="6" t="s">
        <v>37</v>
      </c>
      <c r="N886" s="6" t="s">
        <v>48</v>
      </c>
    </row>
    <row r="887" spans="1:14" x14ac:dyDescent="0.25">
      <c r="A887" s="6" t="s">
        <v>1403</v>
      </c>
      <c r="B887" s="4">
        <v>45850</v>
      </c>
      <c r="C887" s="6" t="s">
        <v>2795</v>
      </c>
      <c r="D887" s="7">
        <v>0.96388888888888891</v>
      </c>
      <c r="E887" s="6" t="s">
        <v>16</v>
      </c>
      <c r="F887" s="6" t="s">
        <v>206</v>
      </c>
      <c r="G887" s="4">
        <v>29563</v>
      </c>
      <c r="H887" s="6" t="s">
        <v>45</v>
      </c>
      <c r="I887">
        <v>152</v>
      </c>
      <c r="J887">
        <v>1</v>
      </c>
      <c r="K887">
        <v>153</v>
      </c>
      <c r="L887" s="6" t="s">
        <v>19</v>
      </c>
      <c r="M887" s="6" t="s">
        <v>26</v>
      </c>
      <c r="N887" s="6" t="s">
        <v>48</v>
      </c>
    </row>
    <row r="888" spans="1:14" x14ac:dyDescent="0.25">
      <c r="A888" s="6" t="s">
        <v>1404</v>
      </c>
      <c r="B888" s="4">
        <v>45962</v>
      </c>
      <c r="C888" s="6" t="s">
        <v>2802</v>
      </c>
      <c r="D888" s="7">
        <v>0.64722222222222225</v>
      </c>
      <c r="E888" s="6" t="s">
        <v>16</v>
      </c>
      <c r="F888" s="6" t="s">
        <v>125</v>
      </c>
      <c r="G888" s="4">
        <v>27552</v>
      </c>
      <c r="H888" s="6" t="s">
        <v>126</v>
      </c>
      <c r="I888">
        <v>240</v>
      </c>
      <c r="J888">
        <v>1</v>
      </c>
      <c r="K888">
        <v>240</v>
      </c>
      <c r="L888" s="6" t="s">
        <v>41</v>
      </c>
      <c r="M888" s="6" t="s">
        <v>32</v>
      </c>
      <c r="N888" s="6" t="s">
        <v>56</v>
      </c>
    </row>
    <row r="889" spans="1:14" x14ac:dyDescent="0.25">
      <c r="A889" s="6" t="s">
        <v>1405</v>
      </c>
      <c r="B889" s="4">
        <v>45882</v>
      </c>
      <c r="C889" s="6" t="s">
        <v>2793</v>
      </c>
      <c r="D889" s="7">
        <v>0.68680555555555556</v>
      </c>
      <c r="E889" s="6" t="s">
        <v>16</v>
      </c>
      <c r="F889" s="6" t="s">
        <v>492</v>
      </c>
      <c r="G889" s="4">
        <v>28041</v>
      </c>
      <c r="H889" s="6" t="s">
        <v>259</v>
      </c>
      <c r="I889">
        <v>251</v>
      </c>
      <c r="J889">
        <v>1</v>
      </c>
      <c r="K889">
        <v>251</v>
      </c>
      <c r="L889" s="6" t="s">
        <v>19</v>
      </c>
      <c r="M889" s="6" t="s">
        <v>61</v>
      </c>
      <c r="N889" s="6" t="s">
        <v>33</v>
      </c>
    </row>
    <row r="890" spans="1:14" x14ac:dyDescent="0.25">
      <c r="A890" s="6" t="s">
        <v>1406</v>
      </c>
      <c r="B890" s="4">
        <v>45643</v>
      </c>
      <c r="C890" s="6" t="s">
        <v>2796</v>
      </c>
      <c r="D890" s="7">
        <v>0.50314814814814812</v>
      </c>
      <c r="E890" s="6" t="s">
        <v>16</v>
      </c>
      <c r="F890" s="6" t="s">
        <v>358</v>
      </c>
      <c r="G890" s="4">
        <v>27538</v>
      </c>
      <c r="H890" s="6" t="s">
        <v>40</v>
      </c>
      <c r="I890">
        <v>169</v>
      </c>
      <c r="J890">
        <v>2</v>
      </c>
      <c r="K890">
        <v>339</v>
      </c>
      <c r="L890" s="6" t="s">
        <v>19</v>
      </c>
      <c r="M890" s="6" t="s">
        <v>55</v>
      </c>
      <c r="N890" s="6" t="s">
        <v>74</v>
      </c>
    </row>
    <row r="891" spans="1:14" x14ac:dyDescent="0.25">
      <c r="A891" s="6" t="s">
        <v>1407</v>
      </c>
      <c r="B891" s="4">
        <v>45801</v>
      </c>
      <c r="C891" s="6" t="s">
        <v>2792</v>
      </c>
      <c r="D891" s="7">
        <v>0.86759259259259258</v>
      </c>
      <c r="E891" s="6" t="s">
        <v>16</v>
      </c>
      <c r="F891" s="6" t="s">
        <v>187</v>
      </c>
      <c r="G891" s="4">
        <v>31407</v>
      </c>
      <c r="H891" s="6" t="s">
        <v>77</v>
      </c>
      <c r="I891">
        <v>113</v>
      </c>
      <c r="J891">
        <v>1</v>
      </c>
      <c r="K891">
        <v>114</v>
      </c>
      <c r="L891" s="6" t="s">
        <v>19</v>
      </c>
      <c r="M891" s="6" t="s">
        <v>55</v>
      </c>
      <c r="N891" s="6" t="s">
        <v>74</v>
      </c>
    </row>
    <row r="892" spans="1:14" x14ac:dyDescent="0.25">
      <c r="A892" s="6" t="s">
        <v>1408</v>
      </c>
      <c r="B892" s="4">
        <v>45670</v>
      </c>
      <c r="C892" s="6" t="s">
        <v>2794</v>
      </c>
      <c r="D892" s="7">
        <v>0.85</v>
      </c>
      <c r="E892" s="6" t="s">
        <v>16</v>
      </c>
      <c r="F892" s="6" t="s">
        <v>664</v>
      </c>
      <c r="G892" s="4">
        <v>37930</v>
      </c>
      <c r="H892" s="6" t="s">
        <v>73</v>
      </c>
      <c r="I892">
        <v>52</v>
      </c>
      <c r="J892">
        <v>1</v>
      </c>
      <c r="K892">
        <v>52</v>
      </c>
      <c r="L892" s="6" t="s">
        <v>41</v>
      </c>
      <c r="M892" s="6" t="s">
        <v>37</v>
      </c>
      <c r="N892" s="6" t="s">
        <v>105</v>
      </c>
    </row>
    <row r="893" spans="1:14" x14ac:dyDescent="0.25">
      <c r="A893" s="6" t="s">
        <v>1409</v>
      </c>
      <c r="B893" s="4">
        <v>45887</v>
      </c>
      <c r="C893" s="6" t="s">
        <v>2793</v>
      </c>
      <c r="D893" s="7">
        <v>0.73333333333333328</v>
      </c>
      <c r="E893" s="6" t="s">
        <v>16</v>
      </c>
      <c r="F893" s="6" t="s">
        <v>664</v>
      </c>
      <c r="G893" s="4">
        <v>28820</v>
      </c>
      <c r="H893" s="6" t="s">
        <v>85</v>
      </c>
      <c r="I893">
        <v>305</v>
      </c>
      <c r="J893">
        <v>2</v>
      </c>
      <c r="K893">
        <v>611</v>
      </c>
      <c r="L893" s="6" t="s">
        <v>41</v>
      </c>
      <c r="M893" s="6" t="s">
        <v>89</v>
      </c>
      <c r="N893" s="6" t="s">
        <v>33</v>
      </c>
    </row>
    <row r="894" spans="1:14" x14ac:dyDescent="0.25">
      <c r="A894" s="6" t="s">
        <v>1410</v>
      </c>
      <c r="B894" s="4">
        <v>45901</v>
      </c>
      <c r="C894" s="6" t="s">
        <v>2797</v>
      </c>
      <c r="D894" s="7">
        <v>0.52708333333333335</v>
      </c>
      <c r="E894" s="6" t="s">
        <v>16</v>
      </c>
      <c r="F894" s="6" t="s">
        <v>264</v>
      </c>
      <c r="G894" s="4">
        <v>28820</v>
      </c>
      <c r="H894" s="6" t="s">
        <v>93</v>
      </c>
      <c r="I894">
        <v>230</v>
      </c>
      <c r="J894">
        <v>1</v>
      </c>
      <c r="K894">
        <v>231</v>
      </c>
      <c r="L894" s="6" t="s">
        <v>19</v>
      </c>
      <c r="M894" s="6" t="s">
        <v>89</v>
      </c>
      <c r="N894" s="6" t="s">
        <v>33</v>
      </c>
    </row>
    <row r="895" spans="1:14" x14ac:dyDescent="0.25">
      <c r="A895" s="6" t="s">
        <v>1411</v>
      </c>
      <c r="B895" s="4">
        <v>45751</v>
      </c>
      <c r="C895" s="6" t="s">
        <v>2801</v>
      </c>
      <c r="D895" s="7">
        <v>0.90138888888888891</v>
      </c>
      <c r="E895" s="6" t="s">
        <v>16</v>
      </c>
      <c r="F895" s="6" t="s">
        <v>427</v>
      </c>
      <c r="G895" s="4">
        <v>40445</v>
      </c>
      <c r="H895" s="6" t="s">
        <v>24</v>
      </c>
      <c r="I895">
        <v>198</v>
      </c>
      <c r="J895">
        <v>3</v>
      </c>
      <c r="K895">
        <v>597</v>
      </c>
      <c r="L895" s="6" t="s">
        <v>41</v>
      </c>
      <c r="M895" s="6" t="s">
        <v>32</v>
      </c>
      <c r="N895" s="6" t="s">
        <v>74</v>
      </c>
    </row>
    <row r="896" spans="1:14" x14ac:dyDescent="0.25">
      <c r="A896" s="6" t="s">
        <v>1413</v>
      </c>
      <c r="B896" s="4">
        <v>45973</v>
      </c>
      <c r="C896" s="6" t="s">
        <v>2802</v>
      </c>
      <c r="D896" s="7">
        <v>0.46736111111111112</v>
      </c>
      <c r="E896" s="6" t="s">
        <v>16</v>
      </c>
      <c r="F896" s="6" t="s">
        <v>201</v>
      </c>
      <c r="G896" s="4">
        <v>28764</v>
      </c>
      <c r="H896" s="6" t="s">
        <v>199</v>
      </c>
      <c r="I896">
        <v>244</v>
      </c>
      <c r="J896">
        <v>3</v>
      </c>
      <c r="L896" s="6" t="s">
        <v>19</v>
      </c>
      <c r="M896" s="6" t="s">
        <v>26</v>
      </c>
      <c r="N896" s="6" t="s">
        <v>48</v>
      </c>
    </row>
    <row r="897" spans="1:14" x14ac:dyDescent="0.25">
      <c r="A897" s="6" t="s">
        <v>1415</v>
      </c>
      <c r="B897" s="4">
        <v>45883</v>
      </c>
      <c r="C897" s="6" t="s">
        <v>2793</v>
      </c>
      <c r="D897" s="7">
        <v>0.88541666666666663</v>
      </c>
      <c r="E897" s="6" t="s">
        <v>16</v>
      </c>
      <c r="F897" s="6" t="s">
        <v>281</v>
      </c>
      <c r="G897" s="4">
        <v>28260</v>
      </c>
      <c r="H897" s="6" t="s">
        <v>93</v>
      </c>
      <c r="I897">
        <v>200</v>
      </c>
      <c r="J897">
        <v>3</v>
      </c>
      <c r="K897">
        <v>602</v>
      </c>
      <c r="L897" s="6" t="s">
        <v>41</v>
      </c>
      <c r="M897" s="6" t="s">
        <v>61</v>
      </c>
      <c r="N897" s="6" t="s">
        <v>105</v>
      </c>
    </row>
    <row r="898" spans="1:14" x14ac:dyDescent="0.25">
      <c r="A898" s="6" t="s">
        <v>1416</v>
      </c>
      <c r="B898" s="4">
        <v>45901</v>
      </c>
      <c r="C898" s="6" t="s">
        <v>2797</v>
      </c>
      <c r="D898" s="7">
        <v>0.98611111111111116</v>
      </c>
      <c r="E898" s="6" t="s">
        <v>16</v>
      </c>
      <c r="F898" s="6" t="s">
        <v>520</v>
      </c>
      <c r="G898" s="4">
        <v>39153</v>
      </c>
      <c r="H898" s="6" t="s">
        <v>145</v>
      </c>
      <c r="I898">
        <v>117</v>
      </c>
      <c r="J898">
        <v>1</v>
      </c>
      <c r="K898">
        <v>118</v>
      </c>
      <c r="L898" s="6" t="s">
        <v>41</v>
      </c>
      <c r="M898" s="6" t="s">
        <v>32</v>
      </c>
      <c r="N898" s="6" t="s">
        <v>74</v>
      </c>
    </row>
    <row r="899" spans="1:14" x14ac:dyDescent="0.25">
      <c r="A899" s="6" t="s">
        <v>1418</v>
      </c>
      <c r="B899" s="4">
        <v>45891</v>
      </c>
      <c r="C899" s="6" t="s">
        <v>2793</v>
      </c>
      <c r="D899" s="7">
        <v>0.74861111111111112</v>
      </c>
      <c r="E899" s="6" t="s">
        <v>16</v>
      </c>
      <c r="F899" s="6" t="s">
        <v>1420</v>
      </c>
      <c r="G899" s="4">
        <v>31954</v>
      </c>
      <c r="H899" s="6" t="s">
        <v>60</v>
      </c>
      <c r="I899">
        <v>85</v>
      </c>
      <c r="J899">
        <v>2</v>
      </c>
      <c r="K899">
        <v>171</v>
      </c>
      <c r="L899" s="6" t="s">
        <v>41</v>
      </c>
      <c r="M899" s="6" t="s">
        <v>89</v>
      </c>
      <c r="N899" s="6" t="s">
        <v>74</v>
      </c>
    </row>
    <row r="900" spans="1:14" x14ac:dyDescent="0.25">
      <c r="A900" s="6" t="s">
        <v>1421</v>
      </c>
      <c r="B900" s="4">
        <v>45979</v>
      </c>
      <c r="C900" s="6" t="s">
        <v>2802</v>
      </c>
      <c r="D900" s="7">
        <v>0.48819444444444443</v>
      </c>
      <c r="E900" s="6" t="s">
        <v>16</v>
      </c>
      <c r="F900" s="6" t="s">
        <v>225</v>
      </c>
      <c r="G900" s="4">
        <v>29417</v>
      </c>
      <c r="H900" s="6" t="s">
        <v>73</v>
      </c>
      <c r="I900">
        <v>41</v>
      </c>
      <c r="J900">
        <v>2</v>
      </c>
      <c r="K900">
        <v>82</v>
      </c>
      <c r="L900" s="6" t="s">
        <v>41</v>
      </c>
      <c r="M900" s="6" t="s">
        <v>61</v>
      </c>
      <c r="N900" s="6" t="s">
        <v>74</v>
      </c>
    </row>
    <row r="901" spans="1:14" x14ac:dyDescent="0.25">
      <c r="A901" s="6" t="s">
        <v>1422</v>
      </c>
      <c r="B901" s="4">
        <v>45923</v>
      </c>
      <c r="C901" s="6" t="s">
        <v>2797</v>
      </c>
      <c r="D901" s="7">
        <v>0.91874999999999996</v>
      </c>
      <c r="E901" s="6" t="s">
        <v>16</v>
      </c>
      <c r="F901" s="6" t="s">
        <v>379</v>
      </c>
      <c r="G901" s="4">
        <v>28332</v>
      </c>
      <c r="H901" s="6" t="s">
        <v>202</v>
      </c>
      <c r="I901">
        <v>156</v>
      </c>
      <c r="J901">
        <v>3</v>
      </c>
      <c r="K901">
        <v>469</v>
      </c>
      <c r="L901" s="6" t="s">
        <v>54</v>
      </c>
      <c r="M901" s="6" t="s">
        <v>89</v>
      </c>
      <c r="N901" s="6" t="s">
        <v>74</v>
      </c>
    </row>
    <row r="902" spans="1:14" x14ac:dyDescent="0.25">
      <c r="A902" s="6" t="s">
        <v>1423</v>
      </c>
      <c r="B902" s="4">
        <v>45952</v>
      </c>
      <c r="C902" s="6" t="s">
        <v>2791</v>
      </c>
      <c r="D902" s="7">
        <v>0.94444444444444442</v>
      </c>
      <c r="E902" s="6" t="s">
        <v>16</v>
      </c>
      <c r="F902" s="6" t="s">
        <v>1424</v>
      </c>
      <c r="G902" s="4">
        <v>32752</v>
      </c>
      <c r="H902" s="6" t="s">
        <v>40</v>
      </c>
      <c r="I902">
        <v>220</v>
      </c>
      <c r="J902">
        <v>2</v>
      </c>
      <c r="K902">
        <v>441</v>
      </c>
      <c r="L902" s="6" t="s">
        <v>41</v>
      </c>
      <c r="M902" s="6" t="s">
        <v>20</v>
      </c>
      <c r="N902" s="6" t="s">
        <v>105</v>
      </c>
    </row>
    <row r="903" spans="1:14" x14ac:dyDescent="0.25">
      <c r="A903" s="6" t="s">
        <v>1425</v>
      </c>
      <c r="B903" s="4">
        <v>45931</v>
      </c>
      <c r="C903" s="6" t="s">
        <v>2791</v>
      </c>
      <c r="D903" s="7">
        <v>0.97013888888888888</v>
      </c>
      <c r="E903" s="6" t="s">
        <v>16</v>
      </c>
      <c r="F903" s="6" t="s">
        <v>194</v>
      </c>
      <c r="G903" s="4">
        <v>33579</v>
      </c>
      <c r="H903" s="6" t="s">
        <v>104</v>
      </c>
      <c r="I903">
        <v>287</v>
      </c>
      <c r="J903">
        <v>1</v>
      </c>
      <c r="K903">
        <v>288</v>
      </c>
      <c r="L903" s="6" t="s">
        <v>54</v>
      </c>
      <c r="M903" s="6" t="s">
        <v>37</v>
      </c>
      <c r="N903" s="6" t="s">
        <v>21</v>
      </c>
    </row>
    <row r="904" spans="1:14" x14ac:dyDescent="0.25">
      <c r="A904" s="6" t="s">
        <v>1426</v>
      </c>
      <c r="B904" s="4">
        <v>45799</v>
      </c>
      <c r="C904" s="6" t="s">
        <v>2792</v>
      </c>
      <c r="D904" s="7">
        <v>0.76041666666666663</v>
      </c>
      <c r="E904" s="6" t="s">
        <v>16</v>
      </c>
      <c r="F904" s="6" t="s">
        <v>1427</v>
      </c>
      <c r="G904" s="4">
        <v>38414</v>
      </c>
      <c r="H904" s="6" t="s">
        <v>53</v>
      </c>
      <c r="I904">
        <v>102</v>
      </c>
      <c r="J904">
        <v>2</v>
      </c>
      <c r="K904">
        <v>205</v>
      </c>
      <c r="L904" s="6" t="s">
        <v>19</v>
      </c>
      <c r="M904" s="6" t="s">
        <v>26</v>
      </c>
      <c r="N904" s="6" t="s">
        <v>21</v>
      </c>
    </row>
    <row r="905" spans="1:14" x14ac:dyDescent="0.25">
      <c r="A905" s="6" t="s">
        <v>1428</v>
      </c>
      <c r="B905" s="4">
        <v>45864</v>
      </c>
      <c r="C905" s="6" t="s">
        <v>2795</v>
      </c>
      <c r="D905" s="7">
        <v>0.52500000000000002</v>
      </c>
      <c r="E905" s="6" t="s">
        <v>16</v>
      </c>
      <c r="F905" s="6" t="s">
        <v>299</v>
      </c>
      <c r="G905" s="4">
        <v>29379</v>
      </c>
      <c r="H905" s="6" t="s">
        <v>145</v>
      </c>
      <c r="I905">
        <v>109</v>
      </c>
      <c r="J905">
        <v>1</v>
      </c>
      <c r="K905">
        <v>110</v>
      </c>
      <c r="L905" s="6" t="s">
        <v>2787</v>
      </c>
      <c r="M905" s="6" t="s">
        <v>89</v>
      </c>
      <c r="N905" s="6" t="s">
        <v>33</v>
      </c>
    </row>
    <row r="906" spans="1:14" x14ac:dyDescent="0.25">
      <c r="A906" s="6" t="s">
        <v>1429</v>
      </c>
      <c r="B906" s="4">
        <v>45943</v>
      </c>
      <c r="C906" s="6" t="s">
        <v>2791</v>
      </c>
      <c r="D906" s="7">
        <v>0.93581018518518522</v>
      </c>
      <c r="E906" s="6" t="s">
        <v>16</v>
      </c>
      <c r="F906" s="6" t="s">
        <v>1427</v>
      </c>
      <c r="G906" s="4">
        <v>38781</v>
      </c>
      <c r="H906" s="6" t="s">
        <v>116</v>
      </c>
      <c r="I906">
        <v>315</v>
      </c>
      <c r="J906">
        <v>1</v>
      </c>
      <c r="K906">
        <v>316</v>
      </c>
      <c r="L906" s="6" t="s">
        <v>19</v>
      </c>
      <c r="M906" s="6" t="s">
        <v>89</v>
      </c>
      <c r="N906" s="6" t="s">
        <v>33</v>
      </c>
    </row>
    <row r="907" spans="1:14" x14ac:dyDescent="0.25">
      <c r="A907" s="6" t="s">
        <v>1430</v>
      </c>
      <c r="B907" s="4">
        <v>45849</v>
      </c>
      <c r="C907" s="6" t="s">
        <v>2795</v>
      </c>
      <c r="D907" s="7">
        <v>0.80277777777777781</v>
      </c>
      <c r="E907" s="6" t="s">
        <v>16</v>
      </c>
      <c r="F907" s="6" t="s">
        <v>420</v>
      </c>
      <c r="G907" s="4">
        <v>29749</v>
      </c>
      <c r="H907" s="6" t="s">
        <v>110</v>
      </c>
      <c r="I907">
        <v>122</v>
      </c>
      <c r="J907">
        <v>1</v>
      </c>
      <c r="K907">
        <v>122</v>
      </c>
      <c r="L907" s="6" t="s">
        <v>67</v>
      </c>
      <c r="M907" s="6" t="s">
        <v>37</v>
      </c>
      <c r="N907" s="6" t="s">
        <v>33</v>
      </c>
    </row>
    <row r="908" spans="1:14" x14ac:dyDescent="0.25">
      <c r="A908" s="6" t="s">
        <v>1431</v>
      </c>
      <c r="B908" s="4">
        <v>45804</v>
      </c>
      <c r="C908" s="6" t="s">
        <v>2792</v>
      </c>
      <c r="D908" s="7">
        <v>0.75069444444444444</v>
      </c>
      <c r="E908" s="6" t="s">
        <v>16</v>
      </c>
      <c r="F908" s="6" t="s">
        <v>281</v>
      </c>
      <c r="G908" s="4">
        <v>37245</v>
      </c>
      <c r="H908" s="6" t="s">
        <v>53</v>
      </c>
      <c r="I908">
        <v>82</v>
      </c>
      <c r="J908">
        <v>2</v>
      </c>
      <c r="K908">
        <v>166</v>
      </c>
      <c r="L908" s="6" t="s">
        <v>2787</v>
      </c>
      <c r="M908" s="6" t="s">
        <v>61</v>
      </c>
      <c r="N908" s="6" t="s">
        <v>105</v>
      </c>
    </row>
    <row r="909" spans="1:14" x14ac:dyDescent="0.25">
      <c r="A909" s="6" t="s">
        <v>1432</v>
      </c>
      <c r="B909" s="4">
        <v>45804</v>
      </c>
      <c r="C909" s="6" t="s">
        <v>2792</v>
      </c>
      <c r="D909" s="7">
        <v>0.46944444444444444</v>
      </c>
      <c r="E909" s="6" t="s">
        <v>16</v>
      </c>
      <c r="F909" s="6" t="s">
        <v>208</v>
      </c>
      <c r="G909" s="4">
        <v>39318</v>
      </c>
      <c r="H909" s="6" t="s">
        <v>126</v>
      </c>
      <c r="I909">
        <v>296</v>
      </c>
      <c r="J909">
        <v>1</v>
      </c>
      <c r="L909" s="6" t="s">
        <v>41</v>
      </c>
      <c r="M909" s="6" t="s">
        <v>26</v>
      </c>
      <c r="N909" s="6" t="s">
        <v>105</v>
      </c>
    </row>
    <row r="910" spans="1:14" x14ac:dyDescent="0.25">
      <c r="A910" s="6" t="s">
        <v>1434</v>
      </c>
      <c r="B910" s="4">
        <v>45656</v>
      </c>
      <c r="C910" s="6" t="s">
        <v>2796</v>
      </c>
      <c r="D910" s="7">
        <v>0.87083333333333335</v>
      </c>
      <c r="E910" s="6" t="s">
        <v>16</v>
      </c>
      <c r="F910" s="6" t="s">
        <v>88</v>
      </c>
      <c r="G910" s="4">
        <v>32052</v>
      </c>
      <c r="H910" s="6" t="s">
        <v>129</v>
      </c>
      <c r="I910">
        <v>198</v>
      </c>
      <c r="J910">
        <v>3</v>
      </c>
      <c r="K910">
        <v>595</v>
      </c>
      <c r="L910" s="6" t="s">
        <v>41</v>
      </c>
      <c r="M910" s="6" t="s">
        <v>61</v>
      </c>
      <c r="N910" s="6" t="s">
        <v>74</v>
      </c>
    </row>
    <row r="911" spans="1:14" x14ac:dyDescent="0.25">
      <c r="A911" s="6" t="s">
        <v>1435</v>
      </c>
      <c r="B911" s="4">
        <v>45963</v>
      </c>
      <c r="C911" s="6" t="s">
        <v>2802</v>
      </c>
      <c r="D911" s="7">
        <v>0.93541666666666667</v>
      </c>
      <c r="E911" s="6" t="s">
        <v>16</v>
      </c>
      <c r="F911" s="6" t="s">
        <v>652</v>
      </c>
      <c r="G911" s="4">
        <v>26513</v>
      </c>
      <c r="H911" s="6" t="s">
        <v>30</v>
      </c>
      <c r="I911">
        <v>233</v>
      </c>
      <c r="J911">
        <v>2</v>
      </c>
      <c r="K911">
        <v>467</v>
      </c>
      <c r="L911" s="6" t="s">
        <v>41</v>
      </c>
      <c r="M911" s="6" t="s">
        <v>89</v>
      </c>
      <c r="N911" s="6" t="s">
        <v>33</v>
      </c>
    </row>
    <row r="912" spans="1:14" x14ac:dyDescent="0.25">
      <c r="A912" s="6" t="s">
        <v>1437</v>
      </c>
      <c r="B912" s="4">
        <v>45838</v>
      </c>
      <c r="C912" s="6" t="s">
        <v>2800</v>
      </c>
      <c r="D912" s="7">
        <v>0.64583333333333337</v>
      </c>
      <c r="E912" s="6" t="s">
        <v>16</v>
      </c>
      <c r="F912" s="6" t="s">
        <v>227</v>
      </c>
      <c r="G912" s="4">
        <v>26513</v>
      </c>
      <c r="H912" s="6" t="s">
        <v>126</v>
      </c>
      <c r="I912">
        <v>119</v>
      </c>
      <c r="J912">
        <v>1</v>
      </c>
      <c r="K912">
        <v>119</v>
      </c>
      <c r="L912" s="6" t="s">
        <v>41</v>
      </c>
      <c r="M912" s="6" t="s">
        <v>32</v>
      </c>
      <c r="N912" s="6" t="s">
        <v>33</v>
      </c>
    </row>
    <row r="913" spans="1:14" x14ac:dyDescent="0.25">
      <c r="A913" s="6" t="s">
        <v>1438</v>
      </c>
      <c r="B913" s="4">
        <v>45695</v>
      </c>
      <c r="C913" s="6" t="s">
        <v>2799</v>
      </c>
      <c r="D913" s="7">
        <v>0.75826388888888885</v>
      </c>
      <c r="E913" s="6" t="s">
        <v>16</v>
      </c>
      <c r="F913" s="6" t="s">
        <v>328</v>
      </c>
      <c r="G913" s="4">
        <v>39225</v>
      </c>
      <c r="H913" s="6" t="s">
        <v>73</v>
      </c>
      <c r="I913">
        <v>54</v>
      </c>
      <c r="J913">
        <v>2</v>
      </c>
      <c r="K913">
        <v>110</v>
      </c>
      <c r="L913" s="6" t="s">
        <v>41</v>
      </c>
      <c r="M913" s="6" t="s">
        <v>20</v>
      </c>
      <c r="N913" s="6" t="s">
        <v>21</v>
      </c>
    </row>
    <row r="914" spans="1:14" x14ac:dyDescent="0.25">
      <c r="A914" s="6" t="s">
        <v>1439</v>
      </c>
      <c r="B914" s="4">
        <v>45672</v>
      </c>
      <c r="C914" s="6" t="s">
        <v>2794</v>
      </c>
      <c r="D914" s="7">
        <v>0.97291666666666665</v>
      </c>
      <c r="E914" s="6" t="s">
        <v>16</v>
      </c>
      <c r="F914" s="6" t="s">
        <v>125</v>
      </c>
      <c r="G914" s="4">
        <v>35936</v>
      </c>
      <c r="H914" s="6" t="s">
        <v>36</v>
      </c>
      <c r="I914">
        <v>42</v>
      </c>
      <c r="J914">
        <v>2</v>
      </c>
      <c r="K914">
        <v>85</v>
      </c>
      <c r="L914" s="6" t="s">
        <v>41</v>
      </c>
      <c r="M914" s="6" t="s">
        <v>47</v>
      </c>
      <c r="N914" s="6" t="s">
        <v>21</v>
      </c>
    </row>
    <row r="915" spans="1:14" x14ac:dyDescent="0.25">
      <c r="A915" s="6" t="s">
        <v>1440</v>
      </c>
      <c r="B915" s="4">
        <v>45626</v>
      </c>
      <c r="C915" s="6" t="s">
        <v>2802</v>
      </c>
      <c r="D915" s="7">
        <v>0.42569444444444443</v>
      </c>
      <c r="E915" s="6" t="s">
        <v>16</v>
      </c>
      <c r="F915" s="6" t="s">
        <v>256</v>
      </c>
      <c r="G915" s="4">
        <v>36143</v>
      </c>
      <c r="H915" s="6" t="s">
        <v>164</v>
      </c>
      <c r="I915">
        <v>267</v>
      </c>
      <c r="J915">
        <v>2</v>
      </c>
      <c r="K915">
        <v>536</v>
      </c>
      <c r="L915" s="6" t="s">
        <v>19</v>
      </c>
      <c r="M915" s="6" t="s">
        <v>26</v>
      </c>
      <c r="N915" s="6" t="s">
        <v>27</v>
      </c>
    </row>
    <row r="916" spans="1:14" x14ac:dyDescent="0.25">
      <c r="A916" s="6" t="s">
        <v>1441</v>
      </c>
      <c r="B916" s="4">
        <v>45843</v>
      </c>
      <c r="C916" s="6" t="s">
        <v>2795</v>
      </c>
      <c r="D916" s="7">
        <v>0.66666666666666663</v>
      </c>
      <c r="E916" s="6" t="s">
        <v>16</v>
      </c>
      <c r="F916" s="6" t="s">
        <v>189</v>
      </c>
      <c r="G916" s="4">
        <v>32371</v>
      </c>
      <c r="H916" s="6" t="s">
        <v>73</v>
      </c>
      <c r="I916">
        <v>38</v>
      </c>
      <c r="J916">
        <v>2</v>
      </c>
      <c r="K916">
        <v>76</v>
      </c>
      <c r="L916" s="6" t="s">
        <v>41</v>
      </c>
      <c r="M916" s="6" t="s">
        <v>37</v>
      </c>
      <c r="N916" s="6" t="s">
        <v>21</v>
      </c>
    </row>
    <row r="917" spans="1:14" x14ac:dyDescent="0.25">
      <c r="A917" s="6" t="s">
        <v>1442</v>
      </c>
      <c r="B917" s="4">
        <v>45872</v>
      </c>
      <c r="C917" s="6" t="s">
        <v>2793</v>
      </c>
      <c r="D917" s="7">
        <v>0.7729166666666667</v>
      </c>
      <c r="E917" s="6" t="s">
        <v>16</v>
      </c>
      <c r="F917" s="6" t="s">
        <v>1443</v>
      </c>
      <c r="G917" s="4">
        <v>37464</v>
      </c>
      <c r="H917" s="6" t="s">
        <v>141</v>
      </c>
      <c r="I917">
        <v>147</v>
      </c>
      <c r="J917">
        <v>1</v>
      </c>
      <c r="K917">
        <v>147</v>
      </c>
      <c r="L917" s="6" t="s">
        <v>67</v>
      </c>
      <c r="M917" s="6" t="s">
        <v>55</v>
      </c>
      <c r="N917" s="6" t="s">
        <v>74</v>
      </c>
    </row>
    <row r="918" spans="1:14" x14ac:dyDescent="0.25">
      <c r="A918" s="6" t="s">
        <v>1444</v>
      </c>
      <c r="B918" s="4">
        <v>45745</v>
      </c>
      <c r="C918" s="6" t="s">
        <v>2798</v>
      </c>
      <c r="D918" s="7">
        <v>0.82413194444444449</v>
      </c>
      <c r="E918" s="6" t="s">
        <v>16</v>
      </c>
      <c r="F918" s="6" t="s">
        <v>346</v>
      </c>
      <c r="G918" s="4">
        <v>28479</v>
      </c>
      <c r="H918" s="6" t="s">
        <v>45</v>
      </c>
      <c r="I918">
        <v>113</v>
      </c>
      <c r="J918">
        <v>1</v>
      </c>
      <c r="K918">
        <v>100</v>
      </c>
      <c r="L918" s="6" t="s">
        <v>19</v>
      </c>
      <c r="M918" s="6" t="s">
        <v>47</v>
      </c>
      <c r="N918" s="6" t="s">
        <v>21</v>
      </c>
    </row>
    <row r="919" spans="1:14" x14ac:dyDescent="0.25">
      <c r="A919" s="6" t="s">
        <v>1445</v>
      </c>
      <c r="B919" s="4">
        <v>45923</v>
      </c>
      <c r="C919" s="6" t="s">
        <v>2797</v>
      </c>
      <c r="D919" s="7">
        <v>0.88112268518518522</v>
      </c>
      <c r="E919" s="6" t="s">
        <v>16</v>
      </c>
      <c r="F919" s="6" t="s">
        <v>328</v>
      </c>
      <c r="G919" s="4">
        <v>28325</v>
      </c>
      <c r="H919" s="6" t="s">
        <v>213</v>
      </c>
      <c r="I919">
        <v>196</v>
      </c>
      <c r="J919">
        <v>3</v>
      </c>
      <c r="K919">
        <v>590</v>
      </c>
      <c r="L919" s="6" t="s">
        <v>19</v>
      </c>
      <c r="M919" s="6" t="s">
        <v>55</v>
      </c>
      <c r="N919" s="6" t="s">
        <v>74</v>
      </c>
    </row>
    <row r="920" spans="1:14" x14ac:dyDescent="0.25">
      <c r="A920" s="6" t="s">
        <v>1447</v>
      </c>
      <c r="B920" s="4">
        <v>45802</v>
      </c>
      <c r="C920" s="6" t="s">
        <v>2792</v>
      </c>
      <c r="D920" s="7">
        <v>0.96215277777777775</v>
      </c>
      <c r="E920" s="6" t="s">
        <v>16</v>
      </c>
      <c r="F920" s="6" t="s">
        <v>173</v>
      </c>
      <c r="G920" s="4">
        <v>33635</v>
      </c>
      <c r="H920" s="6" t="s">
        <v>93</v>
      </c>
      <c r="I920">
        <v>230</v>
      </c>
      <c r="J920">
        <v>3</v>
      </c>
      <c r="K920">
        <v>691</v>
      </c>
      <c r="L920" s="6" t="s">
        <v>19</v>
      </c>
      <c r="M920" s="6" t="s">
        <v>61</v>
      </c>
      <c r="N920" s="6" t="s">
        <v>21</v>
      </c>
    </row>
    <row r="921" spans="1:14" x14ac:dyDescent="0.25">
      <c r="A921" s="6" t="s">
        <v>1448</v>
      </c>
      <c r="B921" s="4">
        <v>45869</v>
      </c>
      <c r="C921" s="6" t="s">
        <v>2795</v>
      </c>
      <c r="D921" s="7">
        <v>0.97986111111111107</v>
      </c>
      <c r="E921" s="6" t="s">
        <v>16</v>
      </c>
      <c r="F921" s="6" t="s">
        <v>855</v>
      </c>
      <c r="G921" s="4">
        <v>26947</v>
      </c>
      <c r="H921" s="6" t="s">
        <v>164</v>
      </c>
      <c r="I921">
        <v>359</v>
      </c>
      <c r="J921">
        <v>2</v>
      </c>
      <c r="K921">
        <v>718</v>
      </c>
      <c r="L921" s="6" t="s">
        <v>19</v>
      </c>
      <c r="M921" s="6" t="s">
        <v>20</v>
      </c>
      <c r="N921" s="6" t="s">
        <v>21</v>
      </c>
    </row>
    <row r="922" spans="1:14" x14ac:dyDescent="0.25">
      <c r="A922" s="6" t="s">
        <v>1449</v>
      </c>
      <c r="B922" s="4">
        <v>45854</v>
      </c>
      <c r="C922" s="6" t="s">
        <v>2795</v>
      </c>
      <c r="D922" s="7">
        <v>0.9604166666666667</v>
      </c>
      <c r="E922" s="6" t="s">
        <v>16</v>
      </c>
      <c r="F922" s="6" t="s">
        <v>330</v>
      </c>
      <c r="G922" s="4">
        <v>39431</v>
      </c>
      <c r="H922" s="6" t="s">
        <v>85</v>
      </c>
      <c r="I922">
        <v>221</v>
      </c>
      <c r="J922">
        <v>2</v>
      </c>
      <c r="K922">
        <v>443</v>
      </c>
      <c r="L922" s="6" t="s">
        <v>19</v>
      </c>
      <c r="M922" s="6" t="s">
        <v>26</v>
      </c>
      <c r="N922" s="6" t="s">
        <v>105</v>
      </c>
    </row>
    <row r="923" spans="1:14" x14ac:dyDescent="0.25">
      <c r="A923" s="6" t="s">
        <v>1450</v>
      </c>
      <c r="B923" s="4">
        <v>45771</v>
      </c>
      <c r="C923" s="6" t="s">
        <v>2801</v>
      </c>
      <c r="D923" s="7">
        <v>0.8053703703703704</v>
      </c>
      <c r="E923" s="6" t="s">
        <v>16</v>
      </c>
      <c r="F923" s="6" t="s">
        <v>44</v>
      </c>
      <c r="G923" s="4">
        <v>33786</v>
      </c>
      <c r="H923" s="6" t="s">
        <v>60</v>
      </c>
      <c r="I923">
        <v>228</v>
      </c>
      <c r="J923">
        <v>2</v>
      </c>
      <c r="K923">
        <v>457</v>
      </c>
      <c r="L923" s="6" t="s">
        <v>19</v>
      </c>
      <c r="M923" s="6" t="s">
        <v>89</v>
      </c>
      <c r="N923" s="6" t="s">
        <v>56</v>
      </c>
    </row>
    <row r="924" spans="1:14" x14ac:dyDescent="0.25">
      <c r="A924" s="6" t="s">
        <v>1451</v>
      </c>
      <c r="B924" s="4">
        <v>45831</v>
      </c>
      <c r="C924" s="6" t="s">
        <v>2800</v>
      </c>
      <c r="D924" s="7">
        <v>0.77557870370370374</v>
      </c>
      <c r="E924" s="6" t="s">
        <v>16</v>
      </c>
      <c r="F924" s="6" t="s">
        <v>35</v>
      </c>
      <c r="G924" s="4">
        <v>33584</v>
      </c>
      <c r="H924" s="6" t="s">
        <v>30</v>
      </c>
      <c r="I924">
        <v>273</v>
      </c>
      <c r="J924">
        <v>2</v>
      </c>
      <c r="K924">
        <v>547</v>
      </c>
      <c r="L924" s="6" t="s">
        <v>41</v>
      </c>
      <c r="M924" s="6" t="s">
        <v>20</v>
      </c>
      <c r="N924" s="6" t="s">
        <v>21</v>
      </c>
    </row>
    <row r="925" spans="1:14" x14ac:dyDescent="0.25">
      <c r="A925" s="6" t="s">
        <v>1452</v>
      </c>
      <c r="B925" s="4">
        <v>45728</v>
      </c>
      <c r="C925" s="6" t="s">
        <v>2798</v>
      </c>
      <c r="D925" s="7">
        <v>0.94097222222222221</v>
      </c>
      <c r="E925" s="6" t="s">
        <v>16</v>
      </c>
      <c r="F925" s="6" t="s">
        <v>50</v>
      </c>
      <c r="G925" s="4">
        <v>36080</v>
      </c>
      <c r="H925" s="6" t="s">
        <v>93</v>
      </c>
      <c r="I925">
        <v>184</v>
      </c>
      <c r="J925">
        <v>1</v>
      </c>
      <c r="K925">
        <v>191</v>
      </c>
      <c r="L925" s="6" t="s">
        <v>19</v>
      </c>
      <c r="M925" s="6" t="s">
        <v>26</v>
      </c>
      <c r="N925" s="6" t="s">
        <v>27</v>
      </c>
    </row>
    <row r="926" spans="1:14" x14ac:dyDescent="0.25">
      <c r="A926" s="6" t="s">
        <v>1453</v>
      </c>
      <c r="B926" s="4">
        <v>45900</v>
      </c>
      <c r="C926" s="6" t="s">
        <v>2793</v>
      </c>
      <c r="D926" s="7">
        <v>0.52916666666666667</v>
      </c>
      <c r="E926" s="6" t="s">
        <v>16</v>
      </c>
      <c r="F926" s="6" t="s">
        <v>191</v>
      </c>
      <c r="G926" s="4">
        <v>29348</v>
      </c>
      <c r="H926" s="6" t="s">
        <v>30</v>
      </c>
      <c r="I926">
        <v>277</v>
      </c>
      <c r="J926">
        <v>2</v>
      </c>
      <c r="K926">
        <v>556</v>
      </c>
      <c r="L926" s="6" t="s">
        <v>67</v>
      </c>
      <c r="M926" s="6" t="s">
        <v>55</v>
      </c>
      <c r="N926" s="6" t="s">
        <v>74</v>
      </c>
    </row>
    <row r="927" spans="1:14" x14ac:dyDescent="0.25">
      <c r="A927" s="6" t="s">
        <v>1454</v>
      </c>
      <c r="B927" s="4">
        <v>45930</v>
      </c>
      <c r="C927" s="6" t="s">
        <v>2797</v>
      </c>
      <c r="D927" s="7">
        <v>0.55625000000000002</v>
      </c>
      <c r="E927" s="6" t="s">
        <v>16</v>
      </c>
      <c r="F927" s="6" t="s">
        <v>520</v>
      </c>
      <c r="G927" s="4">
        <v>27470</v>
      </c>
      <c r="H927" s="6" t="s">
        <v>110</v>
      </c>
      <c r="I927">
        <v>102</v>
      </c>
      <c r="J927">
        <v>1</v>
      </c>
      <c r="K927">
        <v>103</v>
      </c>
      <c r="L927" s="6" t="s">
        <v>54</v>
      </c>
      <c r="M927" s="6" t="s">
        <v>89</v>
      </c>
      <c r="N927" s="6" t="s">
        <v>27</v>
      </c>
    </row>
    <row r="928" spans="1:14" x14ac:dyDescent="0.25">
      <c r="A928" s="6" t="s">
        <v>1455</v>
      </c>
      <c r="B928" s="4">
        <v>45802</v>
      </c>
      <c r="C928" s="6" t="s">
        <v>2792</v>
      </c>
      <c r="D928" s="7">
        <v>0.5229166666666667</v>
      </c>
      <c r="E928" s="6" t="s">
        <v>16</v>
      </c>
      <c r="F928" s="6" t="s">
        <v>92</v>
      </c>
      <c r="G928" s="4">
        <v>27470</v>
      </c>
      <c r="H928" s="6" t="s">
        <v>45</v>
      </c>
      <c r="I928">
        <v>55</v>
      </c>
      <c r="J928">
        <v>1</v>
      </c>
      <c r="K928">
        <v>55</v>
      </c>
      <c r="L928" s="6" t="s">
        <v>41</v>
      </c>
      <c r="M928" s="6" t="s">
        <v>26</v>
      </c>
      <c r="N928" s="6" t="s">
        <v>33</v>
      </c>
    </row>
    <row r="929" spans="1:14" x14ac:dyDescent="0.25">
      <c r="A929" s="6" t="s">
        <v>1456</v>
      </c>
      <c r="B929" s="4">
        <v>45655</v>
      </c>
      <c r="C929" s="6" t="s">
        <v>2796</v>
      </c>
      <c r="D929" s="7">
        <v>0.48593750000000002</v>
      </c>
      <c r="E929" s="6" t="s">
        <v>16</v>
      </c>
      <c r="F929" s="6" t="s">
        <v>338</v>
      </c>
      <c r="G929" s="4">
        <v>39377</v>
      </c>
      <c r="H929" s="6" t="s">
        <v>145</v>
      </c>
      <c r="I929">
        <v>80</v>
      </c>
      <c r="J929">
        <v>1</v>
      </c>
      <c r="K929">
        <v>80</v>
      </c>
      <c r="L929" s="6" t="s">
        <v>41</v>
      </c>
      <c r="M929" s="6" t="s">
        <v>89</v>
      </c>
      <c r="N929" s="6" t="s">
        <v>48</v>
      </c>
    </row>
    <row r="930" spans="1:14" x14ac:dyDescent="0.25">
      <c r="A930" s="6" t="s">
        <v>1457</v>
      </c>
      <c r="B930" s="4">
        <v>45675</v>
      </c>
      <c r="C930" s="6" t="s">
        <v>2794</v>
      </c>
      <c r="D930" s="7">
        <v>0.57499999999999996</v>
      </c>
      <c r="E930" s="6" t="s">
        <v>16</v>
      </c>
      <c r="F930" s="6" t="s">
        <v>1458</v>
      </c>
      <c r="G930" s="4">
        <v>32927</v>
      </c>
      <c r="H930" s="6" t="s">
        <v>199</v>
      </c>
      <c r="I930">
        <v>175</v>
      </c>
      <c r="J930">
        <v>2</v>
      </c>
      <c r="K930">
        <v>350</v>
      </c>
      <c r="L930" s="6" t="s">
        <v>2787</v>
      </c>
      <c r="M930" s="6" t="s">
        <v>61</v>
      </c>
      <c r="N930" s="6" t="s">
        <v>27</v>
      </c>
    </row>
    <row r="931" spans="1:14" x14ac:dyDescent="0.25">
      <c r="A931" s="6" t="s">
        <v>1459</v>
      </c>
      <c r="B931" s="4">
        <v>45954</v>
      </c>
      <c r="C931" s="6" t="s">
        <v>2791</v>
      </c>
      <c r="D931" s="7">
        <v>0.45550925925925928</v>
      </c>
      <c r="E931" s="6" t="s">
        <v>16</v>
      </c>
      <c r="F931" s="6" t="s">
        <v>204</v>
      </c>
      <c r="G931" s="4">
        <v>25976</v>
      </c>
      <c r="H931" s="6" t="s">
        <v>24</v>
      </c>
      <c r="I931">
        <v>213</v>
      </c>
      <c r="J931">
        <v>1</v>
      </c>
      <c r="K931">
        <v>213</v>
      </c>
      <c r="L931" s="6" t="s">
        <v>19</v>
      </c>
      <c r="M931" s="6" t="s">
        <v>61</v>
      </c>
      <c r="N931" s="6" t="s">
        <v>27</v>
      </c>
    </row>
    <row r="932" spans="1:14" x14ac:dyDescent="0.25">
      <c r="A932" s="6" t="s">
        <v>1460</v>
      </c>
      <c r="B932" s="4">
        <v>45738</v>
      </c>
      <c r="C932" s="6" t="s">
        <v>2798</v>
      </c>
      <c r="D932" s="7">
        <v>0.69027777777777777</v>
      </c>
      <c r="E932" s="6" t="s">
        <v>16</v>
      </c>
      <c r="F932" s="6" t="s">
        <v>1461</v>
      </c>
      <c r="G932" s="4">
        <v>31578</v>
      </c>
      <c r="H932" s="6" t="s">
        <v>259</v>
      </c>
      <c r="I932">
        <v>186</v>
      </c>
      <c r="J932">
        <v>3</v>
      </c>
      <c r="K932">
        <v>560</v>
      </c>
      <c r="L932" s="6" t="s">
        <v>19</v>
      </c>
      <c r="M932" s="6" t="s">
        <v>37</v>
      </c>
      <c r="N932" s="6" t="s">
        <v>105</v>
      </c>
    </row>
    <row r="933" spans="1:14" x14ac:dyDescent="0.25">
      <c r="A933" s="6" t="s">
        <v>1463</v>
      </c>
      <c r="B933" s="4">
        <v>45933</v>
      </c>
      <c r="C933" s="6" t="s">
        <v>2791</v>
      </c>
      <c r="D933" s="7">
        <v>0.79722222222222228</v>
      </c>
      <c r="E933" s="6" t="s">
        <v>16</v>
      </c>
      <c r="F933" s="6" t="s">
        <v>377</v>
      </c>
      <c r="G933" s="4">
        <v>31578</v>
      </c>
      <c r="H933" s="6" t="s">
        <v>110</v>
      </c>
      <c r="I933">
        <v>118</v>
      </c>
      <c r="J933">
        <v>3</v>
      </c>
      <c r="K933">
        <v>356</v>
      </c>
      <c r="L933" s="6" t="s">
        <v>19</v>
      </c>
      <c r="M933" s="6" t="s">
        <v>32</v>
      </c>
      <c r="N933" s="6" t="s">
        <v>21</v>
      </c>
    </row>
    <row r="934" spans="1:14" x14ac:dyDescent="0.25">
      <c r="A934" s="6" t="s">
        <v>1464</v>
      </c>
      <c r="B934" s="4">
        <v>45656</v>
      </c>
      <c r="C934" s="6" t="s">
        <v>2796</v>
      </c>
      <c r="D934" s="7">
        <v>0.94353009259259257</v>
      </c>
      <c r="E934" s="6" t="s">
        <v>16</v>
      </c>
      <c r="F934" s="6" t="s">
        <v>420</v>
      </c>
      <c r="G934" s="4">
        <v>36338</v>
      </c>
      <c r="H934" s="6" t="s">
        <v>178</v>
      </c>
      <c r="I934">
        <v>262</v>
      </c>
      <c r="J934">
        <v>3</v>
      </c>
      <c r="K934">
        <v>787</v>
      </c>
      <c r="L934" s="6" t="s">
        <v>19</v>
      </c>
      <c r="M934" s="6" t="s">
        <v>37</v>
      </c>
      <c r="N934" s="6" t="s">
        <v>48</v>
      </c>
    </row>
    <row r="935" spans="1:14" x14ac:dyDescent="0.25">
      <c r="A935" s="6" t="s">
        <v>1465</v>
      </c>
      <c r="B935" s="4">
        <v>45951</v>
      </c>
      <c r="C935" s="6" t="s">
        <v>2791</v>
      </c>
      <c r="D935" s="7">
        <v>0.89444444444444449</v>
      </c>
      <c r="E935" s="6" t="s">
        <v>16</v>
      </c>
      <c r="F935" s="6" t="s">
        <v>267</v>
      </c>
      <c r="G935" s="4">
        <v>31539</v>
      </c>
      <c r="H935" s="6" t="s">
        <v>145</v>
      </c>
      <c r="I935">
        <v>78</v>
      </c>
      <c r="J935">
        <v>2</v>
      </c>
      <c r="K935">
        <v>157</v>
      </c>
      <c r="L935" s="6" t="s">
        <v>54</v>
      </c>
      <c r="M935" s="6" t="s">
        <v>37</v>
      </c>
      <c r="N935" s="6" t="s">
        <v>105</v>
      </c>
    </row>
    <row r="936" spans="1:14" x14ac:dyDescent="0.25">
      <c r="A936" s="6" t="s">
        <v>1466</v>
      </c>
      <c r="B936" s="4">
        <v>45732</v>
      </c>
      <c r="C936" s="6" t="s">
        <v>2798</v>
      </c>
      <c r="D936" s="7">
        <v>0.84592592592592597</v>
      </c>
      <c r="E936" s="6" t="s">
        <v>16</v>
      </c>
      <c r="F936" s="6" t="s">
        <v>387</v>
      </c>
      <c r="G936" s="4">
        <v>40202</v>
      </c>
      <c r="H936" s="6" t="s">
        <v>116</v>
      </c>
      <c r="I936">
        <v>273</v>
      </c>
      <c r="J936">
        <v>1</v>
      </c>
      <c r="K936">
        <v>273</v>
      </c>
      <c r="L936" s="6" t="s">
        <v>54</v>
      </c>
      <c r="M936" s="6" t="s">
        <v>47</v>
      </c>
      <c r="N936" s="6" t="s">
        <v>74</v>
      </c>
    </row>
    <row r="937" spans="1:14" x14ac:dyDescent="0.25">
      <c r="A937" s="6" t="s">
        <v>1467</v>
      </c>
      <c r="B937" s="4">
        <v>45923</v>
      </c>
      <c r="C937" s="6" t="s">
        <v>2797</v>
      </c>
      <c r="D937" s="7">
        <v>0.88680555555555551</v>
      </c>
      <c r="E937" s="6" t="s">
        <v>16</v>
      </c>
      <c r="F937" s="6" t="s">
        <v>405</v>
      </c>
      <c r="G937" s="4">
        <v>31101</v>
      </c>
      <c r="H937" s="6" t="s">
        <v>110</v>
      </c>
      <c r="I937">
        <v>114</v>
      </c>
      <c r="J937">
        <v>1</v>
      </c>
      <c r="K937">
        <v>16</v>
      </c>
      <c r="L937" s="6" t="s">
        <v>67</v>
      </c>
      <c r="M937" s="6" t="s">
        <v>47</v>
      </c>
      <c r="N937" s="6" t="s">
        <v>56</v>
      </c>
    </row>
    <row r="938" spans="1:14" x14ac:dyDescent="0.25">
      <c r="A938" s="6" t="s">
        <v>1469</v>
      </c>
      <c r="B938" s="4">
        <v>45929</v>
      </c>
      <c r="C938" s="6" t="s">
        <v>2797</v>
      </c>
      <c r="D938" s="7">
        <v>0.74375000000000002</v>
      </c>
      <c r="E938" s="6" t="s">
        <v>16</v>
      </c>
      <c r="F938" s="6" t="s">
        <v>770</v>
      </c>
      <c r="G938" s="4">
        <v>33160</v>
      </c>
      <c r="H938" s="6" t="s">
        <v>40</v>
      </c>
      <c r="I938">
        <v>174</v>
      </c>
      <c r="J938">
        <v>1</v>
      </c>
      <c r="L938" s="6" t="s">
        <v>67</v>
      </c>
      <c r="M938" s="6" t="s">
        <v>37</v>
      </c>
      <c r="N938" s="6" t="s">
        <v>105</v>
      </c>
    </row>
    <row r="939" spans="1:14" x14ac:dyDescent="0.25">
      <c r="A939" s="6" t="s">
        <v>1471</v>
      </c>
      <c r="B939" s="4">
        <v>45911</v>
      </c>
      <c r="C939" s="6" t="s">
        <v>2797</v>
      </c>
      <c r="D939" s="7">
        <v>0.68047453703703709</v>
      </c>
      <c r="E939" s="6" t="s">
        <v>16</v>
      </c>
      <c r="F939" s="6" t="s">
        <v>882</v>
      </c>
      <c r="G939" s="4">
        <v>32582</v>
      </c>
      <c r="H939" s="6" t="s">
        <v>36</v>
      </c>
      <c r="I939">
        <v>226</v>
      </c>
      <c r="J939">
        <v>1</v>
      </c>
      <c r="K939">
        <v>226</v>
      </c>
      <c r="L939" s="6" t="s">
        <v>19</v>
      </c>
      <c r="M939" s="6" t="s">
        <v>89</v>
      </c>
      <c r="N939" s="6" t="s">
        <v>33</v>
      </c>
    </row>
    <row r="940" spans="1:14" x14ac:dyDescent="0.25">
      <c r="A940" s="6" t="s">
        <v>1472</v>
      </c>
      <c r="B940" s="4">
        <v>45935</v>
      </c>
      <c r="C940" s="6" t="s">
        <v>2791</v>
      </c>
      <c r="D940" s="7">
        <v>0.85833333333333328</v>
      </c>
      <c r="E940" s="6" t="s">
        <v>16</v>
      </c>
      <c r="F940" s="6" t="s">
        <v>351</v>
      </c>
      <c r="G940" s="4">
        <v>39167</v>
      </c>
      <c r="H940" s="6" t="s">
        <v>129</v>
      </c>
      <c r="I940">
        <v>180</v>
      </c>
      <c r="J940">
        <v>1</v>
      </c>
      <c r="K940">
        <v>181</v>
      </c>
      <c r="L940" s="6" t="s">
        <v>67</v>
      </c>
      <c r="M940" s="6" t="s">
        <v>55</v>
      </c>
      <c r="N940" s="6" t="s">
        <v>27</v>
      </c>
    </row>
    <row r="941" spans="1:14" x14ac:dyDescent="0.25">
      <c r="A941" s="6" t="s">
        <v>1473</v>
      </c>
      <c r="B941" s="4">
        <v>45734</v>
      </c>
      <c r="C941" s="6" t="s">
        <v>2798</v>
      </c>
      <c r="D941" s="7">
        <v>0.96607638888888892</v>
      </c>
      <c r="E941" s="6" t="s">
        <v>16</v>
      </c>
      <c r="F941" s="6" t="s">
        <v>1474</v>
      </c>
      <c r="G941" s="4">
        <v>34082</v>
      </c>
      <c r="H941" s="6" t="s">
        <v>164</v>
      </c>
      <c r="I941">
        <v>285</v>
      </c>
      <c r="J941">
        <v>2</v>
      </c>
      <c r="K941">
        <v>572</v>
      </c>
      <c r="L941" s="6" t="s">
        <v>54</v>
      </c>
      <c r="M941" s="6" t="s">
        <v>89</v>
      </c>
      <c r="N941" s="6" t="s">
        <v>105</v>
      </c>
    </row>
    <row r="942" spans="1:14" x14ac:dyDescent="0.25">
      <c r="A942" s="6" t="s">
        <v>1475</v>
      </c>
      <c r="B942" s="4">
        <v>45756</v>
      </c>
      <c r="C942" s="6" t="s">
        <v>2801</v>
      </c>
      <c r="D942" s="7">
        <v>0.64236111111111116</v>
      </c>
      <c r="E942" s="6" t="s">
        <v>16</v>
      </c>
      <c r="F942" s="6" t="s">
        <v>712</v>
      </c>
      <c r="G942" s="4">
        <v>34005</v>
      </c>
      <c r="H942" s="6" t="s">
        <v>60</v>
      </c>
      <c r="I942">
        <v>277</v>
      </c>
      <c r="J942">
        <v>2</v>
      </c>
      <c r="K942">
        <v>555</v>
      </c>
      <c r="L942" s="6" t="s">
        <v>19</v>
      </c>
      <c r="M942" s="6" t="s">
        <v>61</v>
      </c>
      <c r="N942" s="6" t="s">
        <v>21</v>
      </c>
    </row>
    <row r="943" spans="1:14" x14ac:dyDescent="0.25">
      <c r="A943" s="6" t="s">
        <v>1476</v>
      </c>
      <c r="B943" s="4">
        <v>45787</v>
      </c>
      <c r="C943" s="6" t="s">
        <v>2792</v>
      </c>
      <c r="D943" s="7">
        <v>0.64660879629629631</v>
      </c>
      <c r="E943" s="6" t="s">
        <v>16</v>
      </c>
      <c r="F943" s="6" t="s">
        <v>95</v>
      </c>
      <c r="G943" s="4">
        <v>28624</v>
      </c>
      <c r="H943" s="6" t="s">
        <v>164</v>
      </c>
      <c r="I943">
        <v>321</v>
      </c>
      <c r="J943">
        <v>1</v>
      </c>
      <c r="K943">
        <v>321</v>
      </c>
      <c r="L943" s="6" t="s">
        <v>19</v>
      </c>
      <c r="M943" s="6" t="s">
        <v>55</v>
      </c>
      <c r="N943" s="6" t="s">
        <v>48</v>
      </c>
    </row>
    <row r="944" spans="1:14" x14ac:dyDescent="0.25">
      <c r="A944" s="6" t="s">
        <v>1477</v>
      </c>
      <c r="B944" s="4">
        <v>45695</v>
      </c>
      <c r="C944" s="6" t="s">
        <v>2799</v>
      </c>
      <c r="D944" s="7">
        <v>0.78541666666666665</v>
      </c>
      <c r="E944" s="6" t="s">
        <v>16</v>
      </c>
      <c r="F944" s="6" t="s">
        <v>144</v>
      </c>
      <c r="G944" s="4">
        <v>27156</v>
      </c>
      <c r="H944" s="6" t="s">
        <v>259</v>
      </c>
      <c r="I944">
        <v>107</v>
      </c>
      <c r="J944">
        <v>1</v>
      </c>
      <c r="K944">
        <v>108</v>
      </c>
      <c r="L944" s="6" t="s">
        <v>19</v>
      </c>
      <c r="M944" s="6" t="s">
        <v>47</v>
      </c>
      <c r="N944" s="6" t="s">
        <v>105</v>
      </c>
    </row>
    <row r="945" spans="1:14" x14ac:dyDescent="0.25">
      <c r="A945" s="6" t="s">
        <v>1479</v>
      </c>
      <c r="B945" s="4">
        <v>45760</v>
      </c>
      <c r="C945" s="6" t="s">
        <v>2801</v>
      </c>
      <c r="D945" s="7">
        <v>0.83819444444444446</v>
      </c>
      <c r="E945" s="6" t="s">
        <v>16</v>
      </c>
      <c r="F945" s="6" t="s">
        <v>237</v>
      </c>
      <c r="G945" s="4">
        <v>36878</v>
      </c>
      <c r="H945" s="6" t="s">
        <v>77</v>
      </c>
      <c r="I945">
        <v>251</v>
      </c>
      <c r="J945">
        <v>1</v>
      </c>
      <c r="K945">
        <v>251</v>
      </c>
      <c r="L945" s="6" t="s">
        <v>54</v>
      </c>
      <c r="M945" s="6" t="s">
        <v>55</v>
      </c>
      <c r="N945" s="6" t="s">
        <v>105</v>
      </c>
    </row>
    <row r="946" spans="1:14" x14ac:dyDescent="0.25">
      <c r="A946" s="6" t="s">
        <v>1480</v>
      </c>
      <c r="B946" s="4">
        <v>45696</v>
      </c>
      <c r="C946" s="6" t="s">
        <v>2799</v>
      </c>
      <c r="D946" s="7">
        <v>0.95833333333333337</v>
      </c>
      <c r="E946" s="6" t="s">
        <v>16</v>
      </c>
      <c r="F946" s="6" t="s">
        <v>23</v>
      </c>
      <c r="G946" s="4">
        <v>32360</v>
      </c>
      <c r="H946" s="6" t="s">
        <v>145</v>
      </c>
      <c r="I946">
        <v>303</v>
      </c>
      <c r="J946">
        <v>2</v>
      </c>
      <c r="K946">
        <v>607</v>
      </c>
      <c r="L946" s="6" t="s">
        <v>19</v>
      </c>
      <c r="M946" s="6" t="s">
        <v>26</v>
      </c>
      <c r="N946" s="6" t="s">
        <v>48</v>
      </c>
    </row>
    <row r="947" spans="1:14" x14ac:dyDescent="0.25">
      <c r="A947" s="6" t="s">
        <v>1481</v>
      </c>
      <c r="B947" s="4">
        <v>45794</v>
      </c>
      <c r="C947" s="6" t="s">
        <v>2792</v>
      </c>
      <c r="D947" s="7">
        <v>0.68680555555555556</v>
      </c>
      <c r="E947" s="6" t="s">
        <v>16</v>
      </c>
      <c r="F947" s="6" t="s">
        <v>125</v>
      </c>
      <c r="G947" s="4">
        <v>35628</v>
      </c>
      <c r="H947" s="6" t="s">
        <v>85</v>
      </c>
      <c r="I947">
        <v>107</v>
      </c>
      <c r="J947">
        <v>2</v>
      </c>
      <c r="K947">
        <v>215</v>
      </c>
      <c r="L947" s="6" t="s">
        <v>19</v>
      </c>
      <c r="M947" s="6" t="s">
        <v>55</v>
      </c>
      <c r="N947" s="6" t="s">
        <v>48</v>
      </c>
    </row>
    <row r="948" spans="1:14" x14ac:dyDescent="0.25">
      <c r="A948" s="6" t="s">
        <v>1482</v>
      </c>
      <c r="B948" s="4">
        <v>45724</v>
      </c>
      <c r="C948" s="6" t="s">
        <v>2798</v>
      </c>
      <c r="D948" s="7">
        <v>0.44861111111111113</v>
      </c>
      <c r="E948" s="6" t="s">
        <v>16</v>
      </c>
      <c r="F948" s="6" t="s">
        <v>379</v>
      </c>
      <c r="G948" s="4">
        <v>33336</v>
      </c>
      <c r="H948" s="6" t="s">
        <v>104</v>
      </c>
      <c r="I948">
        <v>261</v>
      </c>
      <c r="J948">
        <v>3</v>
      </c>
      <c r="K948">
        <v>784</v>
      </c>
      <c r="L948" s="6" t="s">
        <v>19</v>
      </c>
      <c r="M948" s="6" t="s">
        <v>37</v>
      </c>
      <c r="N948" s="6" t="s">
        <v>48</v>
      </c>
    </row>
    <row r="949" spans="1:14" x14ac:dyDescent="0.25">
      <c r="A949" s="6" t="s">
        <v>1483</v>
      </c>
      <c r="B949" s="4">
        <v>45957</v>
      </c>
      <c r="C949" s="6" t="s">
        <v>2791</v>
      </c>
      <c r="D949" s="7">
        <v>0.97107638888888892</v>
      </c>
      <c r="E949" s="6" t="s">
        <v>16</v>
      </c>
      <c r="F949" s="6" t="s">
        <v>66</v>
      </c>
      <c r="G949" s="4">
        <v>26566</v>
      </c>
      <c r="H949" s="6" t="s">
        <v>60</v>
      </c>
      <c r="I949">
        <v>45</v>
      </c>
      <c r="J949">
        <v>1</v>
      </c>
      <c r="K949">
        <v>46</v>
      </c>
      <c r="L949" s="6" t="s">
        <v>2787</v>
      </c>
      <c r="M949" s="6" t="s">
        <v>47</v>
      </c>
      <c r="N949" s="6" t="s">
        <v>48</v>
      </c>
    </row>
    <row r="950" spans="1:14" x14ac:dyDescent="0.25">
      <c r="A950" s="6" t="s">
        <v>1484</v>
      </c>
      <c r="B950" s="4">
        <v>45729</v>
      </c>
      <c r="C950" s="6" t="s">
        <v>2798</v>
      </c>
      <c r="D950" s="7">
        <v>0.41736111111111113</v>
      </c>
      <c r="E950" s="6" t="s">
        <v>16</v>
      </c>
      <c r="F950" s="6" t="s">
        <v>330</v>
      </c>
      <c r="G950" s="4">
        <v>39904</v>
      </c>
      <c r="H950" s="6" t="s">
        <v>129</v>
      </c>
      <c r="I950">
        <v>223</v>
      </c>
      <c r="J950">
        <v>3</v>
      </c>
      <c r="K950">
        <v>670</v>
      </c>
      <c r="L950" s="6" t="s">
        <v>19</v>
      </c>
      <c r="M950" s="6" t="s">
        <v>37</v>
      </c>
      <c r="N950" s="6" t="s">
        <v>48</v>
      </c>
    </row>
    <row r="951" spans="1:14" x14ac:dyDescent="0.25">
      <c r="A951" s="6" t="s">
        <v>1485</v>
      </c>
      <c r="B951" s="4">
        <v>45784</v>
      </c>
      <c r="C951" s="6" t="s">
        <v>2792</v>
      </c>
      <c r="D951" s="7">
        <v>0.4236111111111111</v>
      </c>
      <c r="E951" s="6" t="s">
        <v>16</v>
      </c>
      <c r="F951" s="6" t="s">
        <v>582</v>
      </c>
      <c r="G951" s="4">
        <v>26463</v>
      </c>
      <c r="H951" s="6" t="s">
        <v>40</v>
      </c>
      <c r="I951">
        <v>159</v>
      </c>
      <c r="J951">
        <v>1</v>
      </c>
      <c r="K951">
        <v>160</v>
      </c>
      <c r="L951" s="6" t="s">
        <v>54</v>
      </c>
      <c r="M951" s="6" t="s">
        <v>32</v>
      </c>
      <c r="N951" s="6" t="s">
        <v>21</v>
      </c>
    </row>
    <row r="952" spans="1:14" x14ac:dyDescent="0.25">
      <c r="A952" s="6" t="s">
        <v>1486</v>
      </c>
      <c r="B952" s="4">
        <v>45828</v>
      </c>
      <c r="C952" s="6" t="s">
        <v>2800</v>
      </c>
      <c r="D952" s="7">
        <v>0.89861111111111114</v>
      </c>
      <c r="E952" s="6" t="s">
        <v>16</v>
      </c>
      <c r="F952" s="6" t="s">
        <v>492</v>
      </c>
      <c r="G952" s="4">
        <v>38497</v>
      </c>
      <c r="H952" s="6" t="s">
        <v>73</v>
      </c>
      <c r="I952">
        <v>37</v>
      </c>
      <c r="J952">
        <v>2</v>
      </c>
      <c r="L952" s="6" t="s">
        <v>41</v>
      </c>
      <c r="M952" s="6" t="s">
        <v>89</v>
      </c>
      <c r="N952" s="6" t="s">
        <v>21</v>
      </c>
    </row>
    <row r="953" spans="1:14" x14ac:dyDescent="0.25">
      <c r="A953" s="6" t="s">
        <v>1488</v>
      </c>
      <c r="B953" s="4">
        <v>45693</v>
      </c>
      <c r="C953" s="6" t="s">
        <v>2799</v>
      </c>
      <c r="D953" s="7">
        <v>0.57361111111111107</v>
      </c>
      <c r="E953" s="6" t="s">
        <v>16</v>
      </c>
      <c r="F953" s="6" t="s">
        <v>307</v>
      </c>
      <c r="G953" s="4">
        <v>26392</v>
      </c>
      <c r="H953" s="6" t="s">
        <v>53</v>
      </c>
      <c r="I953">
        <v>111</v>
      </c>
      <c r="J953">
        <v>3</v>
      </c>
      <c r="K953">
        <v>335</v>
      </c>
      <c r="L953" s="6" t="s">
        <v>54</v>
      </c>
      <c r="M953" s="6" t="s">
        <v>89</v>
      </c>
      <c r="N953" s="6" t="s">
        <v>21</v>
      </c>
    </row>
    <row r="954" spans="1:14" x14ac:dyDescent="0.25">
      <c r="A954" s="6" t="s">
        <v>1490</v>
      </c>
      <c r="B954" s="4">
        <v>45664</v>
      </c>
      <c r="C954" s="6" t="s">
        <v>2794</v>
      </c>
      <c r="D954" s="7">
        <v>0.96250000000000002</v>
      </c>
      <c r="E954" s="6" t="s">
        <v>16</v>
      </c>
      <c r="F954" s="6" t="s">
        <v>161</v>
      </c>
      <c r="G954" s="4">
        <v>34660</v>
      </c>
      <c r="H954" s="6" t="s">
        <v>141</v>
      </c>
      <c r="I954">
        <v>111</v>
      </c>
      <c r="J954">
        <v>1</v>
      </c>
      <c r="K954">
        <v>112</v>
      </c>
      <c r="L954" s="6" t="s">
        <v>19</v>
      </c>
      <c r="M954" s="6" t="s">
        <v>26</v>
      </c>
      <c r="N954" s="6" t="s">
        <v>48</v>
      </c>
    </row>
    <row r="955" spans="1:14" x14ac:dyDescent="0.25">
      <c r="A955" s="6" t="s">
        <v>1492</v>
      </c>
      <c r="B955" s="4">
        <v>45621</v>
      </c>
      <c r="C955" s="6" t="s">
        <v>2802</v>
      </c>
      <c r="D955" s="7">
        <v>0.48888888888888887</v>
      </c>
      <c r="E955" s="6" t="s">
        <v>16</v>
      </c>
      <c r="F955" s="6" t="s">
        <v>764</v>
      </c>
      <c r="G955" s="4">
        <v>39387</v>
      </c>
      <c r="H955" s="6" t="s">
        <v>213</v>
      </c>
      <c r="I955">
        <v>234</v>
      </c>
      <c r="J955">
        <v>1</v>
      </c>
      <c r="K955">
        <v>235</v>
      </c>
      <c r="L955" s="6" t="s">
        <v>19</v>
      </c>
      <c r="M955" s="6" t="s">
        <v>20</v>
      </c>
      <c r="N955" s="6" t="s">
        <v>48</v>
      </c>
    </row>
    <row r="956" spans="1:14" x14ac:dyDescent="0.25">
      <c r="A956" s="6" t="s">
        <v>1493</v>
      </c>
      <c r="B956" s="4">
        <v>45778</v>
      </c>
      <c r="C956" s="6" t="s">
        <v>2792</v>
      </c>
      <c r="D956" s="7">
        <v>0.72270833333333329</v>
      </c>
      <c r="E956" s="6" t="s">
        <v>16</v>
      </c>
      <c r="F956" s="6" t="s">
        <v>466</v>
      </c>
      <c r="G956" s="4">
        <v>31785</v>
      </c>
      <c r="H956" s="6" t="s">
        <v>199</v>
      </c>
      <c r="I956">
        <v>216</v>
      </c>
      <c r="J956">
        <v>1</v>
      </c>
      <c r="K956">
        <v>216</v>
      </c>
      <c r="L956" s="6" t="s">
        <v>2787</v>
      </c>
      <c r="M956" s="6" t="s">
        <v>26</v>
      </c>
      <c r="N956" s="6" t="s">
        <v>105</v>
      </c>
    </row>
    <row r="957" spans="1:14" x14ac:dyDescent="0.25">
      <c r="A957" s="6" t="s">
        <v>1494</v>
      </c>
      <c r="B957" s="4">
        <v>45778</v>
      </c>
      <c r="C957" s="6" t="s">
        <v>2792</v>
      </c>
      <c r="D957" s="7">
        <v>0.51930555555555558</v>
      </c>
      <c r="E957" s="6" t="s">
        <v>16</v>
      </c>
      <c r="F957" s="6" t="s">
        <v>92</v>
      </c>
      <c r="G957" s="4">
        <v>38364</v>
      </c>
      <c r="H957" s="6" t="s">
        <v>164</v>
      </c>
      <c r="I957">
        <v>237</v>
      </c>
      <c r="J957">
        <v>2</v>
      </c>
      <c r="L957" s="6" t="s">
        <v>2787</v>
      </c>
      <c r="M957" s="6" t="s">
        <v>61</v>
      </c>
      <c r="N957" s="6" t="s">
        <v>48</v>
      </c>
    </row>
    <row r="958" spans="1:14" x14ac:dyDescent="0.25">
      <c r="A958" s="6" t="s">
        <v>1496</v>
      </c>
      <c r="B958" s="4">
        <v>45883</v>
      </c>
      <c r="C958" s="6" t="s">
        <v>2793</v>
      </c>
      <c r="D958" s="7">
        <v>0.76666666666666672</v>
      </c>
      <c r="E958" s="6" t="s">
        <v>16</v>
      </c>
      <c r="F958" s="6" t="s">
        <v>79</v>
      </c>
      <c r="G958" s="4">
        <v>38364</v>
      </c>
      <c r="H958" s="6" t="s">
        <v>202</v>
      </c>
      <c r="I958">
        <v>264</v>
      </c>
      <c r="J958">
        <v>2</v>
      </c>
      <c r="K958">
        <v>529</v>
      </c>
      <c r="L958" s="6" t="s">
        <v>67</v>
      </c>
      <c r="M958" s="6" t="s">
        <v>61</v>
      </c>
      <c r="N958" s="6" t="s">
        <v>56</v>
      </c>
    </row>
    <row r="959" spans="1:14" x14ac:dyDescent="0.25">
      <c r="A959" s="6" t="s">
        <v>1497</v>
      </c>
      <c r="B959" s="4">
        <v>45910</v>
      </c>
      <c r="C959" s="6" t="s">
        <v>2797</v>
      </c>
      <c r="D959" s="7">
        <v>0.92500000000000004</v>
      </c>
      <c r="E959" s="6" t="s">
        <v>16</v>
      </c>
      <c r="F959" s="6" t="s">
        <v>240</v>
      </c>
      <c r="G959" s="4">
        <v>27245</v>
      </c>
      <c r="H959" s="6" t="s">
        <v>77</v>
      </c>
      <c r="I959">
        <v>177</v>
      </c>
      <c r="J959">
        <v>2</v>
      </c>
      <c r="K959">
        <v>355</v>
      </c>
      <c r="L959" s="6" t="s">
        <v>67</v>
      </c>
      <c r="M959" s="6" t="s">
        <v>89</v>
      </c>
      <c r="N959" s="6" t="s">
        <v>74</v>
      </c>
    </row>
    <row r="960" spans="1:14" x14ac:dyDescent="0.25">
      <c r="A960" s="6" t="s">
        <v>1498</v>
      </c>
      <c r="B960" s="4">
        <v>45976</v>
      </c>
      <c r="C960" s="6" t="s">
        <v>2802</v>
      </c>
      <c r="D960" s="7">
        <v>0.50972222222222219</v>
      </c>
      <c r="E960" s="6" t="s">
        <v>16</v>
      </c>
      <c r="F960" s="6" t="s">
        <v>88</v>
      </c>
      <c r="G960" s="4">
        <v>34060</v>
      </c>
      <c r="H960" s="6" t="s">
        <v>53</v>
      </c>
      <c r="I960">
        <v>109</v>
      </c>
      <c r="J960">
        <v>2</v>
      </c>
      <c r="K960">
        <v>218</v>
      </c>
      <c r="L960" s="6" t="s">
        <v>67</v>
      </c>
      <c r="M960" s="6" t="s">
        <v>89</v>
      </c>
      <c r="N960" s="6" t="s">
        <v>74</v>
      </c>
    </row>
    <row r="961" spans="1:14" x14ac:dyDescent="0.25">
      <c r="A961" s="6" t="s">
        <v>1499</v>
      </c>
      <c r="B961" s="4">
        <v>45972</v>
      </c>
      <c r="C961" s="6" t="s">
        <v>2802</v>
      </c>
      <c r="D961" s="7">
        <v>0.77152777777777781</v>
      </c>
      <c r="E961" s="6" t="s">
        <v>16</v>
      </c>
      <c r="F961" s="6" t="s">
        <v>492</v>
      </c>
      <c r="G961" s="4">
        <v>33860</v>
      </c>
      <c r="H961" s="6" t="s">
        <v>36</v>
      </c>
      <c r="I961">
        <v>98</v>
      </c>
      <c r="J961">
        <v>1</v>
      </c>
      <c r="K961">
        <v>98</v>
      </c>
      <c r="L961" s="6" t="s">
        <v>67</v>
      </c>
      <c r="M961" s="6" t="s">
        <v>20</v>
      </c>
      <c r="N961" s="6" t="s">
        <v>74</v>
      </c>
    </row>
    <row r="962" spans="1:14" x14ac:dyDescent="0.25">
      <c r="A962" s="6" t="s">
        <v>1500</v>
      </c>
      <c r="B962" s="4">
        <v>45634</v>
      </c>
      <c r="C962" s="6" t="s">
        <v>2796</v>
      </c>
      <c r="D962" s="7">
        <v>0.64930555555555558</v>
      </c>
      <c r="E962" s="6" t="s">
        <v>16</v>
      </c>
      <c r="F962" s="6" t="s">
        <v>307</v>
      </c>
      <c r="G962" s="4">
        <v>33584</v>
      </c>
      <c r="H962" s="6" t="s">
        <v>126</v>
      </c>
      <c r="I962">
        <v>107</v>
      </c>
      <c r="J962">
        <v>3</v>
      </c>
      <c r="K962">
        <v>322</v>
      </c>
      <c r="L962" s="6" t="s">
        <v>54</v>
      </c>
      <c r="M962" s="6" t="s">
        <v>26</v>
      </c>
      <c r="N962" s="6" t="s">
        <v>48</v>
      </c>
    </row>
    <row r="963" spans="1:14" x14ac:dyDescent="0.25">
      <c r="A963" s="6" t="s">
        <v>1501</v>
      </c>
      <c r="B963" s="4">
        <v>45956</v>
      </c>
      <c r="C963" s="6" t="s">
        <v>2791</v>
      </c>
      <c r="D963" s="7">
        <v>0.64652777777777781</v>
      </c>
      <c r="E963" s="6" t="s">
        <v>16</v>
      </c>
      <c r="F963" s="6" t="s">
        <v>198</v>
      </c>
      <c r="G963" s="4">
        <v>28112</v>
      </c>
      <c r="H963" s="6" t="s">
        <v>129</v>
      </c>
      <c r="I963">
        <v>154</v>
      </c>
      <c r="J963">
        <v>1</v>
      </c>
      <c r="K963">
        <v>114</v>
      </c>
      <c r="L963" s="6" t="s">
        <v>19</v>
      </c>
      <c r="M963" s="6" t="s">
        <v>55</v>
      </c>
      <c r="N963" s="6" t="s">
        <v>21</v>
      </c>
    </row>
    <row r="964" spans="1:14" x14ac:dyDescent="0.25">
      <c r="A964" s="6" t="s">
        <v>1502</v>
      </c>
      <c r="B964" s="4">
        <v>45784</v>
      </c>
      <c r="C964" s="6" t="s">
        <v>2792</v>
      </c>
      <c r="D964" s="7">
        <v>0.49626157407407406</v>
      </c>
      <c r="E964" s="6" t="s">
        <v>16</v>
      </c>
      <c r="F964" s="6" t="s">
        <v>133</v>
      </c>
      <c r="G964" s="4">
        <v>28112</v>
      </c>
      <c r="H964" s="6" t="s">
        <v>36</v>
      </c>
      <c r="I964">
        <v>200</v>
      </c>
      <c r="J964">
        <v>3</v>
      </c>
      <c r="K964">
        <v>638</v>
      </c>
      <c r="L964" s="6" t="s">
        <v>41</v>
      </c>
      <c r="M964" s="6" t="s">
        <v>61</v>
      </c>
      <c r="N964" s="6" t="s">
        <v>27</v>
      </c>
    </row>
    <row r="965" spans="1:14" x14ac:dyDescent="0.25">
      <c r="A965" s="6" t="s">
        <v>1504</v>
      </c>
      <c r="B965" s="4">
        <v>45717</v>
      </c>
      <c r="C965" s="6" t="s">
        <v>2798</v>
      </c>
      <c r="D965" s="7">
        <v>0.46041666666666664</v>
      </c>
      <c r="E965" s="6" t="s">
        <v>16</v>
      </c>
      <c r="F965" s="6" t="s">
        <v>158</v>
      </c>
      <c r="G965" s="4">
        <v>36472</v>
      </c>
      <c r="H965" s="6" t="s">
        <v>259</v>
      </c>
      <c r="I965">
        <v>215</v>
      </c>
      <c r="J965">
        <v>2</v>
      </c>
      <c r="K965">
        <v>430</v>
      </c>
      <c r="L965" s="6" t="s">
        <v>41</v>
      </c>
      <c r="M965" s="6" t="s">
        <v>89</v>
      </c>
      <c r="N965" s="6" t="s">
        <v>21</v>
      </c>
    </row>
    <row r="966" spans="1:14" x14ac:dyDescent="0.25">
      <c r="A966" s="6" t="s">
        <v>1505</v>
      </c>
      <c r="B966" s="4">
        <v>45863</v>
      </c>
      <c r="C966" s="6" t="s">
        <v>2795</v>
      </c>
      <c r="D966" s="7">
        <v>0.95902777777777781</v>
      </c>
      <c r="E966" s="6" t="s">
        <v>16</v>
      </c>
      <c r="F966" s="6" t="s">
        <v>232</v>
      </c>
      <c r="G966" s="4">
        <v>35711</v>
      </c>
      <c r="H966" s="6" t="s">
        <v>73</v>
      </c>
      <c r="I966">
        <v>52</v>
      </c>
      <c r="J966">
        <v>3</v>
      </c>
      <c r="K966">
        <v>159</v>
      </c>
      <c r="L966" s="6" t="s">
        <v>67</v>
      </c>
      <c r="M966" s="6" t="s">
        <v>37</v>
      </c>
      <c r="N966" s="6" t="s">
        <v>56</v>
      </c>
    </row>
    <row r="967" spans="1:14" x14ac:dyDescent="0.25">
      <c r="A967" s="6" t="s">
        <v>1506</v>
      </c>
      <c r="B967" s="4">
        <v>45688</v>
      </c>
      <c r="C967" s="6" t="s">
        <v>2794</v>
      </c>
      <c r="D967" s="7">
        <v>0.86903935185185188</v>
      </c>
      <c r="E967" s="6" t="s">
        <v>16</v>
      </c>
      <c r="F967" s="6" t="s">
        <v>229</v>
      </c>
      <c r="G967" s="4">
        <v>36442</v>
      </c>
      <c r="H967" s="6" t="s">
        <v>129</v>
      </c>
      <c r="I967">
        <v>158</v>
      </c>
      <c r="J967">
        <v>2</v>
      </c>
      <c r="K967">
        <v>318</v>
      </c>
      <c r="L967" s="6" t="s">
        <v>41</v>
      </c>
      <c r="M967" s="6" t="s">
        <v>26</v>
      </c>
      <c r="N967" s="6" t="s">
        <v>21</v>
      </c>
    </row>
    <row r="968" spans="1:14" x14ac:dyDescent="0.25">
      <c r="A968" s="6" t="s">
        <v>1507</v>
      </c>
      <c r="B968" s="4">
        <v>45655</v>
      </c>
      <c r="C968" s="6" t="s">
        <v>2796</v>
      </c>
      <c r="D968" s="7">
        <v>0.54336805555555556</v>
      </c>
      <c r="E968" s="6" t="s">
        <v>16</v>
      </c>
      <c r="F968" s="6" t="s">
        <v>1508</v>
      </c>
      <c r="G968" s="4">
        <v>38580</v>
      </c>
      <c r="H968" s="6" t="s">
        <v>85</v>
      </c>
      <c r="I968">
        <v>216</v>
      </c>
      <c r="J968">
        <v>2</v>
      </c>
      <c r="K968">
        <v>434</v>
      </c>
      <c r="L968" s="6" t="s">
        <v>54</v>
      </c>
      <c r="M968" s="6" t="s">
        <v>89</v>
      </c>
      <c r="N968" s="6" t="s">
        <v>74</v>
      </c>
    </row>
    <row r="969" spans="1:14" x14ac:dyDescent="0.25">
      <c r="A969" s="6" t="s">
        <v>1509</v>
      </c>
      <c r="B969" s="4">
        <v>45737</v>
      </c>
      <c r="C969" s="6" t="s">
        <v>2798</v>
      </c>
      <c r="D969" s="7">
        <v>0.6743055555555556</v>
      </c>
      <c r="E969" s="6" t="s">
        <v>16</v>
      </c>
      <c r="F969" s="6" t="s">
        <v>204</v>
      </c>
      <c r="G969" s="4">
        <v>33584</v>
      </c>
      <c r="H969" s="6" t="s">
        <v>77</v>
      </c>
      <c r="I969">
        <v>268</v>
      </c>
      <c r="J969">
        <v>3</v>
      </c>
      <c r="K969">
        <v>804</v>
      </c>
      <c r="L969" s="6" t="s">
        <v>54</v>
      </c>
      <c r="M969" s="6" t="s">
        <v>32</v>
      </c>
      <c r="N969" s="6" t="s">
        <v>56</v>
      </c>
    </row>
    <row r="970" spans="1:14" x14ac:dyDescent="0.25">
      <c r="A970" s="6" t="s">
        <v>1510</v>
      </c>
      <c r="B970" s="4">
        <v>45651</v>
      </c>
      <c r="C970" s="6" t="s">
        <v>2796</v>
      </c>
      <c r="D970" s="7">
        <v>0.6156018518518519</v>
      </c>
      <c r="E970" s="6" t="s">
        <v>16</v>
      </c>
      <c r="F970" s="6" t="s">
        <v>494</v>
      </c>
      <c r="G970" s="4">
        <v>33584</v>
      </c>
      <c r="H970" s="6" t="s">
        <v>126</v>
      </c>
      <c r="I970">
        <v>111</v>
      </c>
      <c r="J970">
        <v>3</v>
      </c>
      <c r="K970">
        <v>334</v>
      </c>
      <c r="L970" s="6" t="s">
        <v>67</v>
      </c>
      <c r="M970" s="6" t="s">
        <v>47</v>
      </c>
      <c r="N970" s="6" t="s">
        <v>105</v>
      </c>
    </row>
    <row r="971" spans="1:14" x14ac:dyDescent="0.25">
      <c r="A971" s="6" t="s">
        <v>1511</v>
      </c>
      <c r="B971" s="4">
        <v>45624</v>
      </c>
      <c r="C971" s="6" t="s">
        <v>2802</v>
      </c>
      <c r="D971" s="7">
        <v>0.67708333333333337</v>
      </c>
      <c r="E971" s="6" t="s">
        <v>16</v>
      </c>
      <c r="F971" s="6" t="s">
        <v>377</v>
      </c>
      <c r="G971" s="4">
        <v>31734</v>
      </c>
      <c r="H971" s="6" t="s">
        <v>213</v>
      </c>
      <c r="I971">
        <v>193</v>
      </c>
      <c r="J971">
        <v>2</v>
      </c>
      <c r="K971">
        <v>386</v>
      </c>
      <c r="L971" s="6" t="s">
        <v>2787</v>
      </c>
      <c r="M971" s="6" t="s">
        <v>32</v>
      </c>
      <c r="N971" s="6" t="s">
        <v>27</v>
      </c>
    </row>
    <row r="972" spans="1:14" x14ac:dyDescent="0.25">
      <c r="A972" s="6" t="s">
        <v>1512</v>
      </c>
      <c r="B972" s="4">
        <v>45624</v>
      </c>
      <c r="C972" s="6" t="s">
        <v>2802</v>
      </c>
      <c r="D972" s="7">
        <v>0.5</v>
      </c>
      <c r="E972" s="6" t="s">
        <v>16</v>
      </c>
      <c r="F972" s="6" t="s">
        <v>88</v>
      </c>
      <c r="G972" s="4">
        <v>36673</v>
      </c>
      <c r="H972" s="6" t="s">
        <v>85</v>
      </c>
      <c r="I972">
        <v>120</v>
      </c>
      <c r="J972">
        <v>1</v>
      </c>
      <c r="K972">
        <v>117</v>
      </c>
      <c r="L972" s="6" t="s">
        <v>54</v>
      </c>
      <c r="M972" s="6" t="s">
        <v>26</v>
      </c>
      <c r="N972" s="6" t="s">
        <v>48</v>
      </c>
    </row>
    <row r="973" spans="1:14" x14ac:dyDescent="0.25">
      <c r="A973" s="6" t="s">
        <v>1513</v>
      </c>
      <c r="B973" s="4">
        <v>45969</v>
      </c>
      <c r="C973" s="6" t="s">
        <v>2802</v>
      </c>
      <c r="D973" s="7">
        <v>0.88064814814814818</v>
      </c>
      <c r="E973" s="6" t="s">
        <v>16</v>
      </c>
      <c r="F973" s="6" t="s">
        <v>1514</v>
      </c>
      <c r="G973" s="4">
        <v>35079</v>
      </c>
      <c r="H973" s="6" t="s">
        <v>199</v>
      </c>
      <c r="I973">
        <v>225</v>
      </c>
      <c r="J973">
        <v>2</v>
      </c>
      <c r="K973">
        <v>451</v>
      </c>
      <c r="L973" s="6" t="s">
        <v>41</v>
      </c>
      <c r="M973" s="6" t="s">
        <v>37</v>
      </c>
      <c r="N973" s="6" t="s">
        <v>48</v>
      </c>
    </row>
    <row r="974" spans="1:14" x14ac:dyDescent="0.25">
      <c r="A974" s="6" t="s">
        <v>1515</v>
      </c>
      <c r="B974" s="4">
        <v>45632</v>
      </c>
      <c r="C974" s="6" t="s">
        <v>2796</v>
      </c>
      <c r="D974" s="7">
        <v>0.97690972222222228</v>
      </c>
      <c r="E974" s="6" t="s">
        <v>16</v>
      </c>
      <c r="F974" s="6" t="s">
        <v>370</v>
      </c>
      <c r="G974" s="4">
        <v>35079</v>
      </c>
      <c r="H974" s="6" t="s">
        <v>30</v>
      </c>
      <c r="I974">
        <v>305</v>
      </c>
      <c r="J974">
        <v>2</v>
      </c>
      <c r="L974" s="6" t="s">
        <v>2787</v>
      </c>
      <c r="M974" s="6" t="s">
        <v>89</v>
      </c>
      <c r="N974" s="6" t="s">
        <v>56</v>
      </c>
    </row>
    <row r="975" spans="1:14" x14ac:dyDescent="0.25">
      <c r="A975" s="6" t="s">
        <v>1517</v>
      </c>
      <c r="B975" s="4">
        <v>45632</v>
      </c>
      <c r="C975" s="6" t="s">
        <v>2796</v>
      </c>
      <c r="D975" s="7">
        <v>0.65694444444444444</v>
      </c>
      <c r="E975" s="6" t="s">
        <v>16</v>
      </c>
      <c r="F975" s="6" t="s">
        <v>187</v>
      </c>
      <c r="G975" s="4">
        <v>35405</v>
      </c>
      <c r="H975" s="6" t="s">
        <v>129</v>
      </c>
      <c r="I975">
        <v>209</v>
      </c>
      <c r="J975">
        <v>1</v>
      </c>
      <c r="K975">
        <v>209</v>
      </c>
      <c r="L975" s="6" t="s">
        <v>19</v>
      </c>
      <c r="M975" s="6" t="s">
        <v>32</v>
      </c>
      <c r="N975" s="6" t="s">
        <v>27</v>
      </c>
    </row>
    <row r="976" spans="1:14" x14ac:dyDescent="0.25">
      <c r="A976" s="6" t="s">
        <v>1518</v>
      </c>
      <c r="B976" s="4">
        <v>45974</v>
      </c>
      <c r="C976" s="6" t="s">
        <v>2802</v>
      </c>
      <c r="D976" s="7">
        <v>0.52916666666666667</v>
      </c>
      <c r="E976" s="6" t="s">
        <v>16</v>
      </c>
      <c r="F976" s="6" t="s">
        <v>776</v>
      </c>
      <c r="G976" s="4">
        <v>36479</v>
      </c>
      <c r="H976" s="6" t="s">
        <v>116</v>
      </c>
      <c r="I976">
        <v>227</v>
      </c>
      <c r="J976">
        <v>2</v>
      </c>
      <c r="K976">
        <v>454</v>
      </c>
      <c r="L976" s="6" t="s">
        <v>19</v>
      </c>
      <c r="M976" s="6" t="s">
        <v>20</v>
      </c>
      <c r="N976" s="6" t="s">
        <v>27</v>
      </c>
    </row>
    <row r="977" spans="1:14" x14ac:dyDescent="0.25">
      <c r="A977" s="6" t="s">
        <v>1519</v>
      </c>
      <c r="B977" s="4">
        <v>45854</v>
      </c>
      <c r="C977" s="6" t="s">
        <v>2795</v>
      </c>
      <c r="D977" s="7">
        <v>0.66805555555555551</v>
      </c>
      <c r="E977" s="6" t="s">
        <v>16</v>
      </c>
      <c r="F977" s="6" t="s">
        <v>1520</v>
      </c>
      <c r="G977" s="4">
        <v>31056</v>
      </c>
      <c r="H977" s="6" t="s">
        <v>126</v>
      </c>
      <c r="I977">
        <v>107</v>
      </c>
      <c r="J977">
        <v>1</v>
      </c>
      <c r="K977">
        <v>108</v>
      </c>
      <c r="L977" s="6" t="s">
        <v>67</v>
      </c>
      <c r="M977" s="6" t="s">
        <v>32</v>
      </c>
      <c r="N977" s="6" t="s">
        <v>56</v>
      </c>
    </row>
    <row r="978" spans="1:14" x14ac:dyDescent="0.25">
      <c r="A978" s="6" t="s">
        <v>1521</v>
      </c>
      <c r="B978" s="4">
        <v>45971</v>
      </c>
      <c r="C978" s="6" t="s">
        <v>2802</v>
      </c>
      <c r="D978" s="7">
        <v>0.8305555555555556</v>
      </c>
      <c r="E978" s="6" t="s">
        <v>16</v>
      </c>
      <c r="F978" s="6" t="s">
        <v>652</v>
      </c>
      <c r="G978" s="4">
        <v>36027</v>
      </c>
      <c r="H978" s="6" t="s">
        <v>60</v>
      </c>
      <c r="I978">
        <v>105</v>
      </c>
      <c r="J978">
        <v>2</v>
      </c>
      <c r="K978">
        <v>211</v>
      </c>
      <c r="L978" s="6" t="s">
        <v>2787</v>
      </c>
      <c r="M978" s="6" t="s">
        <v>32</v>
      </c>
      <c r="N978" s="6" t="s">
        <v>21</v>
      </c>
    </row>
    <row r="979" spans="1:14" x14ac:dyDescent="0.25">
      <c r="A979" s="6" t="s">
        <v>1523</v>
      </c>
      <c r="B979" s="4">
        <v>45661</v>
      </c>
      <c r="C979" s="6" t="s">
        <v>2794</v>
      </c>
      <c r="D979" s="7">
        <v>0.77565972222222224</v>
      </c>
      <c r="E979" s="6" t="s">
        <v>16</v>
      </c>
      <c r="F979" s="6" t="s">
        <v>169</v>
      </c>
      <c r="G979" s="4">
        <v>27933</v>
      </c>
      <c r="H979" s="6" t="s">
        <v>126</v>
      </c>
      <c r="I979">
        <v>119</v>
      </c>
      <c r="J979">
        <v>2</v>
      </c>
      <c r="K979">
        <v>240</v>
      </c>
      <c r="L979" s="6" t="s">
        <v>67</v>
      </c>
      <c r="M979" s="6" t="s">
        <v>55</v>
      </c>
      <c r="N979" s="6" t="s">
        <v>21</v>
      </c>
    </row>
    <row r="980" spans="1:14" x14ac:dyDescent="0.25">
      <c r="A980" s="6" t="s">
        <v>1524</v>
      </c>
      <c r="B980" s="4">
        <v>45760</v>
      </c>
      <c r="C980" s="6" t="s">
        <v>2801</v>
      </c>
      <c r="D980" s="7">
        <v>0.87986111111111109</v>
      </c>
      <c r="E980" s="6" t="s">
        <v>16</v>
      </c>
      <c r="F980" s="6" t="s">
        <v>281</v>
      </c>
      <c r="G980" s="4">
        <v>38995</v>
      </c>
      <c r="H980" s="6" t="s">
        <v>213</v>
      </c>
      <c r="I980">
        <v>52</v>
      </c>
      <c r="J980">
        <v>1</v>
      </c>
      <c r="K980">
        <v>53</v>
      </c>
      <c r="L980" s="6" t="s">
        <v>41</v>
      </c>
      <c r="M980" s="6" t="s">
        <v>26</v>
      </c>
      <c r="N980" s="6" t="s">
        <v>21</v>
      </c>
    </row>
    <row r="981" spans="1:14" x14ac:dyDescent="0.25">
      <c r="A981" s="6" t="s">
        <v>1525</v>
      </c>
      <c r="B981" s="4">
        <v>45749</v>
      </c>
      <c r="C981" s="6" t="s">
        <v>2801</v>
      </c>
      <c r="D981" s="7">
        <v>0.69722222222222219</v>
      </c>
      <c r="E981" s="6" t="s">
        <v>16</v>
      </c>
      <c r="F981" s="6" t="s">
        <v>1526</v>
      </c>
      <c r="G981" s="4">
        <v>31278</v>
      </c>
      <c r="H981" s="6" t="s">
        <v>213</v>
      </c>
      <c r="I981">
        <v>179</v>
      </c>
      <c r="J981">
        <v>1</v>
      </c>
      <c r="K981">
        <v>180</v>
      </c>
      <c r="L981" s="6" t="s">
        <v>41</v>
      </c>
      <c r="M981" s="6" t="s">
        <v>20</v>
      </c>
      <c r="N981" s="6" t="s">
        <v>27</v>
      </c>
    </row>
    <row r="982" spans="1:14" x14ac:dyDescent="0.25">
      <c r="A982" s="6" t="s">
        <v>1527</v>
      </c>
      <c r="B982" s="4">
        <v>45814</v>
      </c>
      <c r="C982" s="6" t="s">
        <v>2800</v>
      </c>
      <c r="D982" s="7">
        <v>0.61196759259259259</v>
      </c>
      <c r="E982" s="6" t="s">
        <v>16</v>
      </c>
      <c r="F982" s="6" t="s">
        <v>163</v>
      </c>
      <c r="G982" s="4">
        <v>34725</v>
      </c>
      <c r="H982" s="6" t="s">
        <v>77</v>
      </c>
      <c r="I982">
        <v>106</v>
      </c>
      <c r="J982">
        <v>3</v>
      </c>
      <c r="K982">
        <v>319</v>
      </c>
      <c r="L982" s="6" t="s">
        <v>19</v>
      </c>
      <c r="M982" s="6" t="s">
        <v>61</v>
      </c>
      <c r="N982" s="6" t="s">
        <v>27</v>
      </c>
    </row>
    <row r="983" spans="1:14" x14ac:dyDescent="0.25">
      <c r="A983" s="6" t="s">
        <v>1528</v>
      </c>
      <c r="B983" s="4">
        <v>45731</v>
      </c>
      <c r="C983" s="6" t="s">
        <v>2798</v>
      </c>
      <c r="D983" s="7">
        <v>0.6430555555555556</v>
      </c>
      <c r="E983" s="6" t="s">
        <v>16</v>
      </c>
      <c r="F983" s="6" t="s">
        <v>622</v>
      </c>
      <c r="G983" s="4">
        <v>30458</v>
      </c>
      <c r="H983" s="6" t="s">
        <v>202</v>
      </c>
      <c r="I983">
        <v>151</v>
      </c>
      <c r="J983">
        <v>1</v>
      </c>
      <c r="L983" s="6" t="s">
        <v>54</v>
      </c>
      <c r="M983" s="6" t="s">
        <v>61</v>
      </c>
      <c r="N983" s="6" t="s">
        <v>27</v>
      </c>
    </row>
    <row r="984" spans="1:14" x14ac:dyDescent="0.25">
      <c r="A984" s="6" t="s">
        <v>1531</v>
      </c>
      <c r="B984" s="4">
        <v>45890</v>
      </c>
      <c r="C984" s="6" t="s">
        <v>2793</v>
      </c>
      <c r="D984" s="7">
        <v>0.5083333333333333</v>
      </c>
      <c r="E984" s="6" t="s">
        <v>16</v>
      </c>
      <c r="F984" s="6" t="s">
        <v>1532</v>
      </c>
      <c r="G984" s="4">
        <v>30151</v>
      </c>
      <c r="H984" s="6" t="s">
        <v>259</v>
      </c>
      <c r="I984">
        <v>263</v>
      </c>
      <c r="J984">
        <v>2</v>
      </c>
      <c r="K984">
        <v>526</v>
      </c>
      <c r="L984" s="6" t="s">
        <v>19</v>
      </c>
      <c r="M984" s="6" t="s">
        <v>26</v>
      </c>
      <c r="N984" s="6" t="s">
        <v>48</v>
      </c>
    </row>
    <row r="985" spans="1:14" x14ac:dyDescent="0.25">
      <c r="A985" s="6" t="s">
        <v>1533</v>
      </c>
      <c r="B985" s="4">
        <v>45936</v>
      </c>
      <c r="C985" s="6" t="s">
        <v>2791</v>
      </c>
      <c r="D985" s="7">
        <v>0.82222222222222219</v>
      </c>
      <c r="E985" s="6" t="s">
        <v>16</v>
      </c>
      <c r="F985" s="6" t="s">
        <v>35</v>
      </c>
      <c r="G985" s="4">
        <v>27163</v>
      </c>
      <c r="H985" s="6" t="s">
        <v>129</v>
      </c>
      <c r="I985">
        <v>173</v>
      </c>
      <c r="J985">
        <v>2</v>
      </c>
      <c r="K985">
        <v>347</v>
      </c>
      <c r="L985" s="6" t="s">
        <v>2787</v>
      </c>
      <c r="M985" s="6" t="s">
        <v>89</v>
      </c>
      <c r="N985" s="6" t="s">
        <v>56</v>
      </c>
    </row>
    <row r="986" spans="1:14" x14ac:dyDescent="0.25">
      <c r="A986" s="6" t="s">
        <v>1534</v>
      </c>
      <c r="B986" s="4">
        <v>45905</v>
      </c>
      <c r="C986" s="6" t="s">
        <v>2797</v>
      </c>
      <c r="D986" s="7">
        <v>0.93402777777777779</v>
      </c>
      <c r="E986" s="6" t="s">
        <v>16</v>
      </c>
      <c r="F986" s="6" t="s">
        <v>17</v>
      </c>
      <c r="G986" s="4">
        <v>27163</v>
      </c>
      <c r="H986" s="6" t="s">
        <v>73</v>
      </c>
      <c r="I986">
        <v>42</v>
      </c>
      <c r="J986">
        <v>1</v>
      </c>
      <c r="K986">
        <v>42</v>
      </c>
      <c r="L986" s="6" t="s">
        <v>19</v>
      </c>
      <c r="M986" s="6" t="s">
        <v>20</v>
      </c>
      <c r="N986" s="6" t="s">
        <v>48</v>
      </c>
    </row>
    <row r="987" spans="1:14" x14ac:dyDescent="0.25">
      <c r="A987" s="6" t="s">
        <v>1535</v>
      </c>
      <c r="B987" s="4">
        <v>45762</v>
      </c>
      <c r="C987" s="6" t="s">
        <v>2801</v>
      </c>
      <c r="D987" s="7">
        <v>0.5708333333333333</v>
      </c>
      <c r="E987" s="6" t="s">
        <v>16</v>
      </c>
      <c r="F987" s="6" t="s">
        <v>652</v>
      </c>
      <c r="G987" s="4">
        <v>39235</v>
      </c>
      <c r="H987" s="6" t="s">
        <v>116</v>
      </c>
      <c r="I987">
        <v>102</v>
      </c>
      <c r="J987">
        <v>1</v>
      </c>
      <c r="K987">
        <v>103</v>
      </c>
      <c r="L987" s="6" t="s">
        <v>2787</v>
      </c>
      <c r="M987" s="6" t="s">
        <v>20</v>
      </c>
      <c r="N987" s="6" t="s">
        <v>105</v>
      </c>
    </row>
    <row r="988" spans="1:14" x14ac:dyDescent="0.25">
      <c r="A988" s="6" t="s">
        <v>1536</v>
      </c>
      <c r="B988" s="4">
        <v>45631</v>
      </c>
      <c r="C988" s="6" t="s">
        <v>2796</v>
      </c>
      <c r="D988" s="7">
        <v>0.69166666666666665</v>
      </c>
      <c r="E988" s="6" t="s">
        <v>16</v>
      </c>
      <c r="F988" s="6" t="s">
        <v>128</v>
      </c>
      <c r="G988" s="4">
        <v>38723</v>
      </c>
      <c r="H988" s="6" t="s">
        <v>36</v>
      </c>
      <c r="I988">
        <v>198</v>
      </c>
      <c r="J988">
        <v>1</v>
      </c>
      <c r="K988">
        <v>198</v>
      </c>
      <c r="L988" s="6" t="s">
        <v>41</v>
      </c>
      <c r="M988" s="6" t="s">
        <v>55</v>
      </c>
      <c r="N988" s="6" t="s">
        <v>105</v>
      </c>
    </row>
    <row r="989" spans="1:14" x14ac:dyDescent="0.25">
      <c r="A989" s="6" t="s">
        <v>1537</v>
      </c>
      <c r="B989" s="4">
        <v>45723</v>
      </c>
      <c r="C989" s="6" t="s">
        <v>2798</v>
      </c>
      <c r="D989" s="7">
        <v>0.59652777777777777</v>
      </c>
      <c r="E989" s="6" t="s">
        <v>16</v>
      </c>
      <c r="F989" s="6" t="s">
        <v>187</v>
      </c>
      <c r="G989" s="4">
        <v>28312</v>
      </c>
      <c r="H989" s="6" t="s">
        <v>60</v>
      </c>
      <c r="I989">
        <v>206</v>
      </c>
      <c r="J989">
        <v>1</v>
      </c>
      <c r="K989">
        <v>200</v>
      </c>
      <c r="L989" s="6" t="s">
        <v>41</v>
      </c>
      <c r="M989" s="6" t="s">
        <v>26</v>
      </c>
      <c r="N989" s="6" t="s">
        <v>27</v>
      </c>
    </row>
    <row r="990" spans="1:14" x14ac:dyDescent="0.25">
      <c r="A990" s="6" t="s">
        <v>1538</v>
      </c>
      <c r="B990" s="4">
        <v>45705</v>
      </c>
      <c r="C990" s="6" t="s">
        <v>2799</v>
      </c>
      <c r="D990" s="7">
        <v>0.9604166666666667</v>
      </c>
      <c r="E990" s="6" t="s">
        <v>16</v>
      </c>
      <c r="F990" s="6" t="s">
        <v>35</v>
      </c>
      <c r="G990" s="4">
        <v>36138</v>
      </c>
      <c r="H990" s="6" t="s">
        <v>116</v>
      </c>
      <c r="I990">
        <v>199</v>
      </c>
      <c r="J990">
        <v>1</v>
      </c>
      <c r="K990">
        <v>199</v>
      </c>
      <c r="L990" s="6" t="s">
        <v>54</v>
      </c>
      <c r="M990" s="6" t="s">
        <v>26</v>
      </c>
      <c r="N990" s="6" t="s">
        <v>27</v>
      </c>
    </row>
    <row r="991" spans="1:14" x14ac:dyDescent="0.25">
      <c r="A991" s="6" t="s">
        <v>1539</v>
      </c>
      <c r="B991" s="4">
        <v>45832</v>
      </c>
      <c r="C991" s="6" t="s">
        <v>2800</v>
      </c>
      <c r="D991" s="7">
        <v>0.59444444444444444</v>
      </c>
      <c r="E991" s="6" t="s">
        <v>16</v>
      </c>
      <c r="F991" s="6" t="s">
        <v>520</v>
      </c>
      <c r="G991" s="4">
        <v>36138</v>
      </c>
      <c r="H991" s="6" t="s">
        <v>60</v>
      </c>
      <c r="I991">
        <v>301</v>
      </c>
      <c r="J991">
        <v>2</v>
      </c>
      <c r="K991">
        <v>602</v>
      </c>
      <c r="L991" s="6" t="s">
        <v>41</v>
      </c>
      <c r="M991" s="6" t="s">
        <v>32</v>
      </c>
      <c r="N991" s="6" t="s">
        <v>27</v>
      </c>
    </row>
    <row r="992" spans="1:14" x14ac:dyDescent="0.25">
      <c r="A992" s="6" t="s">
        <v>1540</v>
      </c>
      <c r="B992" s="4">
        <v>45728</v>
      </c>
      <c r="C992" s="6" t="s">
        <v>2798</v>
      </c>
      <c r="D992" s="7">
        <v>0.88645833333333335</v>
      </c>
      <c r="E992" s="6" t="s">
        <v>16</v>
      </c>
      <c r="F992" s="6" t="s">
        <v>237</v>
      </c>
      <c r="G992" s="4">
        <v>39582</v>
      </c>
      <c r="H992" s="6" t="s">
        <v>164</v>
      </c>
      <c r="I992">
        <v>252</v>
      </c>
      <c r="J992">
        <v>3</v>
      </c>
      <c r="K992">
        <v>784</v>
      </c>
      <c r="L992" s="6" t="s">
        <v>41</v>
      </c>
      <c r="M992" s="6" t="s">
        <v>20</v>
      </c>
      <c r="N992" s="6" t="s">
        <v>21</v>
      </c>
    </row>
    <row r="993" spans="1:14" x14ac:dyDescent="0.25">
      <c r="A993" s="6" t="s">
        <v>1541</v>
      </c>
      <c r="B993" s="4">
        <v>45979</v>
      </c>
      <c r="C993" s="6" t="s">
        <v>2802</v>
      </c>
      <c r="D993" s="7">
        <v>0.58819444444444446</v>
      </c>
      <c r="E993" s="6" t="s">
        <v>16</v>
      </c>
      <c r="F993" s="6" t="s">
        <v>776</v>
      </c>
      <c r="G993" s="4">
        <v>37804</v>
      </c>
      <c r="H993" s="6" t="s">
        <v>164</v>
      </c>
      <c r="I993">
        <v>323</v>
      </c>
      <c r="J993">
        <v>1</v>
      </c>
      <c r="K993">
        <v>324</v>
      </c>
      <c r="L993" s="6" t="s">
        <v>67</v>
      </c>
      <c r="M993" s="6" t="s">
        <v>26</v>
      </c>
      <c r="N993" s="6" t="s">
        <v>27</v>
      </c>
    </row>
    <row r="994" spans="1:14" x14ac:dyDescent="0.25">
      <c r="A994" s="6" t="s">
        <v>1542</v>
      </c>
      <c r="B994" s="4">
        <v>45751</v>
      </c>
      <c r="C994" s="6" t="s">
        <v>2801</v>
      </c>
      <c r="D994" s="7">
        <v>0.55763888888888891</v>
      </c>
      <c r="E994" s="6" t="s">
        <v>16</v>
      </c>
      <c r="F994" s="6" t="s">
        <v>528</v>
      </c>
      <c r="G994" s="4">
        <v>27687</v>
      </c>
      <c r="H994" s="6" t="s">
        <v>199</v>
      </c>
      <c r="I994">
        <v>245</v>
      </c>
      <c r="J994">
        <v>2</v>
      </c>
      <c r="K994">
        <v>492</v>
      </c>
      <c r="L994" s="6" t="s">
        <v>19</v>
      </c>
      <c r="M994" s="6" t="s">
        <v>37</v>
      </c>
      <c r="N994" s="6" t="s">
        <v>105</v>
      </c>
    </row>
    <row r="995" spans="1:14" x14ac:dyDescent="0.25">
      <c r="A995" s="6" t="s">
        <v>1543</v>
      </c>
      <c r="B995" s="4">
        <v>45862</v>
      </c>
      <c r="C995" s="6" t="s">
        <v>2795</v>
      </c>
      <c r="D995" s="7">
        <v>0.8774305555555556</v>
      </c>
      <c r="E995" s="6" t="s">
        <v>16</v>
      </c>
      <c r="F995" s="6" t="s">
        <v>351</v>
      </c>
      <c r="G995" s="4">
        <v>38637</v>
      </c>
      <c r="H995" s="6" t="s">
        <v>73</v>
      </c>
      <c r="I995">
        <v>37</v>
      </c>
      <c r="J995">
        <v>1</v>
      </c>
      <c r="K995">
        <v>38</v>
      </c>
      <c r="L995" s="6" t="s">
        <v>19</v>
      </c>
      <c r="M995" s="6" t="s">
        <v>61</v>
      </c>
      <c r="N995" s="6" t="s">
        <v>105</v>
      </c>
    </row>
    <row r="996" spans="1:14" x14ac:dyDescent="0.25">
      <c r="A996" s="6" t="s">
        <v>1544</v>
      </c>
      <c r="B996" s="4">
        <v>45862</v>
      </c>
      <c r="C996" s="6" t="s">
        <v>2795</v>
      </c>
      <c r="D996" s="7">
        <v>0.5</v>
      </c>
      <c r="E996" s="6" t="s">
        <v>16</v>
      </c>
      <c r="F996" s="6" t="s">
        <v>764</v>
      </c>
      <c r="G996" s="4">
        <v>29550</v>
      </c>
      <c r="H996" s="6" t="s">
        <v>199</v>
      </c>
      <c r="I996">
        <v>251</v>
      </c>
      <c r="J996">
        <v>2</v>
      </c>
      <c r="K996">
        <v>502</v>
      </c>
      <c r="L996" s="6" t="s">
        <v>19</v>
      </c>
      <c r="M996" s="6" t="s">
        <v>47</v>
      </c>
      <c r="N996" s="6" t="s">
        <v>74</v>
      </c>
    </row>
    <row r="997" spans="1:14" x14ac:dyDescent="0.25">
      <c r="A997" s="6" t="s">
        <v>1545</v>
      </c>
      <c r="B997" s="4">
        <v>45781</v>
      </c>
      <c r="C997" s="6" t="s">
        <v>2792</v>
      </c>
      <c r="D997" s="7">
        <v>0.8881944444444444</v>
      </c>
      <c r="E997" s="6" t="s">
        <v>16</v>
      </c>
      <c r="F997" s="6" t="s">
        <v>475</v>
      </c>
      <c r="G997" s="4">
        <v>40156</v>
      </c>
      <c r="H997" s="6" t="s">
        <v>40</v>
      </c>
      <c r="I997">
        <v>219</v>
      </c>
      <c r="J997">
        <v>1</v>
      </c>
      <c r="K997">
        <v>219</v>
      </c>
      <c r="L997" s="6" t="s">
        <v>67</v>
      </c>
      <c r="M997" s="6" t="s">
        <v>61</v>
      </c>
      <c r="N997" s="6" t="s">
        <v>74</v>
      </c>
    </row>
    <row r="998" spans="1:14" x14ac:dyDescent="0.25">
      <c r="A998" s="6" t="s">
        <v>1546</v>
      </c>
      <c r="B998" s="4">
        <v>45819</v>
      </c>
      <c r="C998" s="6" t="s">
        <v>2800</v>
      </c>
      <c r="D998" s="7">
        <v>0.69027777777777777</v>
      </c>
      <c r="E998" s="6" t="s">
        <v>16</v>
      </c>
      <c r="F998" s="6" t="s">
        <v>1548</v>
      </c>
      <c r="G998" s="4">
        <v>37783</v>
      </c>
      <c r="H998" s="6" t="s">
        <v>213</v>
      </c>
      <c r="I998">
        <v>290</v>
      </c>
      <c r="J998">
        <v>1</v>
      </c>
      <c r="K998">
        <v>290</v>
      </c>
      <c r="L998" s="6" t="s">
        <v>19</v>
      </c>
      <c r="M998" s="6" t="s">
        <v>20</v>
      </c>
      <c r="N998" s="6" t="s">
        <v>27</v>
      </c>
    </row>
    <row r="999" spans="1:14" x14ac:dyDescent="0.25">
      <c r="A999" s="6" t="s">
        <v>1549</v>
      </c>
      <c r="B999" s="4">
        <v>45762</v>
      </c>
      <c r="C999" s="6" t="s">
        <v>2801</v>
      </c>
      <c r="D999" s="7">
        <v>0.71962962962962962</v>
      </c>
      <c r="E999" s="6" t="s">
        <v>16</v>
      </c>
      <c r="F999" s="6" t="s">
        <v>334</v>
      </c>
      <c r="G999" s="4">
        <v>30384</v>
      </c>
      <c r="H999" s="6" t="s">
        <v>104</v>
      </c>
      <c r="I999">
        <v>324</v>
      </c>
      <c r="J999">
        <v>3</v>
      </c>
      <c r="K999">
        <v>972</v>
      </c>
      <c r="L999" s="6" t="s">
        <v>19</v>
      </c>
      <c r="M999" s="6" t="s">
        <v>47</v>
      </c>
      <c r="N999" s="6" t="s">
        <v>27</v>
      </c>
    </row>
    <row r="1000" spans="1:14" x14ac:dyDescent="0.25">
      <c r="A1000" s="6" t="s">
        <v>1550</v>
      </c>
      <c r="B1000" s="4">
        <v>45656</v>
      </c>
      <c r="C1000" s="6" t="s">
        <v>2796</v>
      </c>
      <c r="D1000" s="7">
        <v>0.48055555555555557</v>
      </c>
      <c r="E1000" s="6" t="s">
        <v>16</v>
      </c>
      <c r="F1000" s="6" t="s">
        <v>640</v>
      </c>
      <c r="G1000" s="4">
        <v>32139</v>
      </c>
      <c r="H1000" s="6" t="s">
        <v>110</v>
      </c>
      <c r="I1000">
        <v>97</v>
      </c>
      <c r="J1000">
        <v>3</v>
      </c>
      <c r="K1000">
        <v>293</v>
      </c>
      <c r="L1000" s="6" t="s">
        <v>19</v>
      </c>
      <c r="M1000" s="6" t="s">
        <v>26</v>
      </c>
      <c r="N1000" s="6" t="s">
        <v>27</v>
      </c>
    </row>
    <row r="1001" spans="1:14" x14ac:dyDescent="0.25">
      <c r="A1001" s="6" t="s">
        <v>1552</v>
      </c>
      <c r="B1001" s="4">
        <v>45649</v>
      </c>
      <c r="C1001" s="6" t="s">
        <v>2796</v>
      </c>
      <c r="D1001" s="7">
        <v>0.73819444444444449</v>
      </c>
      <c r="E1001" s="6" t="s">
        <v>16</v>
      </c>
      <c r="F1001" s="6" t="s">
        <v>29</v>
      </c>
      <c r="G1001" s="4">
        <v>25694</v>
      </c>
      <c r="H1001" s="6" t="s">
        <v>36</v>
      </c>
      <c r="I1001">
        <v>111</v>
      </c>
      <c r="J1001">
        <v>2</v>
      </c>
      <c r="K1001">
        <v>223</v>
      </c>
      <c r="L1001" s="6" t="s">
        <v>41</v>
      </c>
      <c r="M1001" s="6" t="s">
        <v>20</v>
      </c>
      <c r="N1001" s="6" t="s">
        <v>27</v>
      </c>
    </row>
    <row r="1002" spans="1:14" x14ac:dyDescent="0.25">
      <c r="A1002" s="6" t="s">
        <v>1553</v>
      </c>
      <c r="B1002" s="4">
        <v>45836</v>
      </c>
      <c r="C1002" s="6" t="s">
        <v>2800</v>
      </c>
      <c r="D1002" s="7">
        <v>0.81565972222222227</v>
      </c>
      <c r="E1002" s="6" t="s">
        <v>16</v>
      </c>
      <c r="F1002" s="6" t="s">
        <v>163</v>
      </c>
      <c r="G1002" s="4">
        <v>31649</v>
      </c>
      <c r="H1002" s="6" t="s">
        <v>259</v>
      </c>
      <c r="I1002">
        <v>142</v>
      </c>
      <c r="J1002">
        <v>2</v>
      </c>
      <c r="K1002">
        <v>286</v>
      </c>
      <c r="L1002" s="6" t="s">
        <v>19</v>
      </c>
      <c r="M1002" s="6" t="s">
        <v>47</v>
      </c>
      <c r="N1002" s="6" t="s">
        <v>48</v>
      </c>
    </row>
    <row r="1003" spans="1:14" x14ac:dyDescent="0.25">
      <c r="A1003" s="6" t="s">
        <v>1554</v>
      </c>
      <c r="B1003" s="4">
        <v>45809</v>
      </c>
      <c r="C1003" s="6" t="s">
        <v>2800</v>
      </c>
      <c r="D1003" s="7">
        <v>0.46519675925925924</v>
      </c>
      <c r="E1003" s="6" t="s">
        <v>16</v>
      </c>
      <c r="F1003" s="6" t="s">
        <v>548</v>
      </c>
      <c r="G1003" s="4">
        <v>31252</v>
      </c>
      <c r="H1003" s="6" t="s">
        <v>73</v>
      </c>
      <c r="I1003">
        <v>47</v>
      </c>
      <c r="J1003">
        <v>2</v>
      </c>
      <c r="K1003">
        <v>97</v>
      </c>
      <c r="L1003" s="6" t="s">
        <v>2787</v>
      </c>
      <c r="M1003" s="6" t="s">
        <v>55</v>
      </c>
      <c r="N1003" s="6" t="s">
        <v>56</v>
      </c>
    </row>
    <row r="1004" spans="1:14" x14ac:dyDescent="0.25">
      <c r="A1004" s="6" t="s">
        <v>1555</v>
      </c>
      <c r="B1004" s="4">
        <v>45735</v>
      </c>
      <c r="C1004" s="6" t="s">
        <v>2798</v>
      </c>
      <c r="D1004" s="7">
        <v>0.53134259259259264</v>
      </c>
      <c r="E1004" s="6" t="s">
        <v>16</v>
      </c>
      <c r="F1004" s="6" t="s">
        <v>225</v>
      </c>
      <c r="G1004" s="4">
        <v>36105</v>
      </c>
      <c r="H1004" s="6" t="s">
        <v>45</v>
      </c>
      <c r="I1004">
        <v>280</v>
      </c>
      <c r="J1004">
        <v>1</v>
      </c>
      <c r="K1004">
        <v>280</v>
      </c>
      <c r="L1004" s="6" t="s">
        <v>54</v>
      </c>
      <c r="M1004" s="6" t="s">
        <v>61</v>
      </c>
      <c r="N1004" s="6" t="s">
        <v>56</v>
      </c>
    </row>
    <row r="1005" spans="1:14" x14ac:dyDescent="0.25">
      <c r="A1005" s="6" t="s">
        <v>1556</v>
      </c>
      <c r="B1005" s="4">
        <v>45712</v>
      </c>
      <c r="C1005" s="6" t="s">
        <v>2799</v>
      </c>
      <c r="D1005" s="7">
        <v>0.78333333333333333</v>
      </c>
      <c r="E1005" s="6" t="s">
        <v>16</v>
      </c>
      <c r="F1005" s="6" t="s">
        <v>204</v>
      </c>
      <c r="G1005" s="4">
        <v>32679</v>
      </c>
      <c r="H1005" s="6" t="s">
        <v>129</v>
      </c>
      <c r="I1005">
        <v>280</v>
      </c>
      <c r="J1005">
        <v>3</v>
      </c>
      <c r="K1005">
        <v>280</v>
      </c>
      <c r="L1005" s="6" t="s">
        <v>41</v>
      </c>
      <c r="M1005" s="6" t="s">
        <v>32</v>
      </c>
      <c r="N1005" s="6" t="s">
        <v>27</v>
      </c>
    </row>
    <row r="1006" spans="1:14" x14ac:dyDescent="0.25">
      <c r="A1006" s="6" t="s">
        <v>1558</v>
      </c>
      <c r="B1006" s="4">
        <v>45655</v>
      </c>
      <c r="C1006" s="6" t="s">
        <v>2796</v>
      </c>
      <c r="D1006" s="7">
        <v>0.69238425925925928</v>
      </c>
      <c r="E1006" s="6" t="s">
        <v>16</v>
      </c>
      <c r="F1006" s="6" t="s">
        <v>466</v>
      </c>
      <c r="G1006" s="4">
        <v>39716</v>
      </c>
      <c r="H1006" s="6" t="s">
        <v>243</v>
      </c>
      <c r="I1006">
        <v>161</v>
      </c>
      <c r="J1006">
        <v>3</v>
      </c>
      <c r="K1006">
        <v>483</v>
      </c>
      <c r="L1006" s="6" t="s">
        <v>19</v>
      </c>
      <c r="M1006" s="6" t="s">
        <v>37</v>
      </c>
      <c r="N1006" s="6" t="s">
        <v>33</v>
      </c>
    </row>
    <row r="1007" spans="1:14" x14ac:dyDescent="0.25">
      <c r="A1007" s="6" t="s">
        <v>1559</v>
      </c>
      <c r="B1007" s="4">
        <v>45698</v>
      </c>
      <c r="C1007" s="6" t="s">
        <v>2799</v>
      </c>
      <c r="D1007" s="7">
        <v>0.9770833333333333</v>
      </c>
      <c r="E1007" s="6" t="s">
        <v>16</v>
      </c>
      <c r="F1007" s="6" t="s">
        <v>232</v>
      </c>
      <c r="G1007" s="4">
        <v>36782</v>
      </c>
      <c r="H1007" s="6" t="s">
        <v>116</v>
      </c>
      <c r="I1007">
        <v>302</v>
      </c>
      <c r="J1007">
        <v>2</v>
      </c>
      <c r="K1007">
        <v>606</v>
      </c>
      <c r="L1007" s="6" t="s">
        <v>19</v>
      </c>
      <c r="M1007" s="6" t="s">
        <v>26</v>
      </c>
      <c r="N1007" s="6" t="s">
        <v>105</v>
      </c>
    </row>
    <row r="1008" spans="1:14" x14ac:dyDescent="0.25">
      <c r="A1008" s="6" t="s">
        <v>1560</v>
      </c>
      <c r="B1008" s="4">
        <v>45825</v>
      </c>
      <c r="C1008" s="6" t="s">
        <v>2800</v>
      </c>
      <c r="D1008" s="7">
        <v>0.96805555555555556</v>
      </c>
      <c r="E1008" s="6" t="s">
        <v>16</v>
      </c>
      <c r="F1008" s="6" t="s">
        <v>181</v>
      </c>
      <c r="G1008" s="4">
        <v>40524</v>
      </c>
      <c r="H1008" s="6" t="s">
        <v>213</v>
      </c>
      <c r="I1008">
        <v>52</v>
      </c>
      <c r="J1008">
        <v>3</v>
      </c>
      <c r="K1008">
        <v>158</v>
      </c>
      <c r="L1008" s="6" t="s">
        <v>41</v>
      </c>
      <c r="M1008" s="6" t="s">
        <v>61</v>
      </c>
      <c r="N1008" s="6" t="s">
        <v>33</v>
      </c>
    </row>
    <row r="1009" spans="1:14" x14ac:dyDescent="0.25">
      <c r="A1009" s="6" t="s">
        <v>1561</v>
      </c>
      <c r="B1009" s="4">
        <v>45942</v>
      </c>
      <c r="C1009" s="6" t="s">
        <v>2791</v>
      </c>
      <c r="D1009" s="7">
        <v>0.52456018518518521</v>
      </c>
      <c r="E1009" s="6" t="s">
        <v>16</v>
      </c>
      <c r="F1009" s="6" t="s">
        <v>351</v>
      </c>
      <c r="G1009" s="4">
        <v>26638</v>
      </c>
      <c r="H1009" s="6" t="s">
        <v>60</v>
      </c>
      <c r="I1009">
        <v>101</v>
      </c>
      <c r="J1009">
        <v>3</v>
      </c>
      <c r="K1009">
        <v>304</v>
      </c>
      <c r="L1009" s="6" t="s">
        <v>41</v>
      </c>
      <c r="M1009" s="6" t="s">
        <v>89</v>
      </c>
      <c r="N1009" s="6" t="s">
        <v>74</v>
      </c>
    </row>
    <row r="1010" spans="1:14" x14ac:dyDescent="0.25">
      <c r="A1010" s="6" t="s">
        <v>1562</v>
      </c>
      <c r="B1010" s="4">
        <v>45947</v>
      </c>
      <c r="C1010" s="6" t="s">
        <v>2791</v>
      </c>
      <c r="D1010" s="7">
        <v>0.99369212962962961</v>
      </c>
      <c r="E1010" s="6" t="s">
        <v>16</v>
      </c>
      <c r="F1010" s="6" t="s">
        <v>1564</v>
      </c>
      <c r="G1010" s="4">
        <v>32042</v>
      </c>
      <c r="H1010" s="6" t="s">
        <v>30</v>
      </c>
      <c r="I1010">
        <v>228</v>
      </c>
      <c r="J1010">
        <v>3</v>
      </c>
      <c r="K1010">
        <v>686</v>
      </c>
      <c r="L1010" s="6" t="s">
        <v>54</v>
      </c>
      <c r="M1010" s="6" t="s">
        <v>55</v>
      </c>
      <c r="N1010" s="6" t="s">
        <v>74</v>
      </c>
    </row>
    <row r="1011" spans="1:14" x14ac:dyDescent="0.25">
      <c r="A1011" s="6" t="s">
        <v>1565</v>
      </c>
      <c r="B1011" s="4">
        <v>45699</v>
      </c>
      <c r="C1011" s="6" t="s">
        <v>2799</v>
      </c>
      <c r="D1011" s="7">
        <v>0.65069444444444446</v>
      </c>
      <c r="E1011" s="6" t="s">
        <v>16</v>
      </c>
      <c r="F1011" s="6" t="s">
        <v>225</v>
      </c>
      <c r="G1011" s="4">
        <v>32042</v>
      </c>
      <c r="H1011" s="6" t="s">
        <v>45</v>
      </c>
      <c r="I1011">
        <v>127</v>
      </c>
      <c r="J1011">
        <v>1</v>
      </c>
      <c r="K1011">
        <v>127</v>
      </c>
      <c r="L1011" s="6" t="s">
        <v>54</v>
      </c>
      <c r="M1011" s="6" t="s">
        <v>26</v>
      </c>
      <c r="N1011" s="6" t="s">
        <v>74</v>
      </c>
    </row>
    <row r="1012" spans="1:14" x14ac:dyDescent="0.25">
      <c r="A1012" s="6" t="s">
        <v>1566</v>
      </c>
      <c r="B1012" s="4">
        <v>45690</v>
      </c>
      <c r="C1012" s="6" t="s">
        <v>2799</v>
      </c>
      <c r="D1012" s="7">
        <v>0.64375000000000004</v>
      </c>
      <c r="E1012" s="6" t="s">
        <v>16</v>
      </c>
      <c r="F1012" s="6" t="s">
        <v>776</v>
      </c>
      <c r="G1012" s="4">
        <v>27047</v>
      </c>
      <c r="H1012" s="6" t="s">
        <v>110</v>
      </c>
      <c r="I1012">
        <v>127</v>
      </c>
      <c r="J1012">
        <v>1</v>
      </c>
      <c r="K1012">
        <v>127</v>
      </c>
      <c r="L1012" s="6" t="s">
        <v>54</v>
      </c>
      <c r="M1012" s="6" t="s">
        <v>26</v>
      </c>
      <c r="N1012" s="6" t="s">
        <v>56</v>
      </c>
    </row>
    <row r="1013" spans="1:14" x14ac:dyDescent="0.25">
      <c r="A1013" s="6" t="s">
        <v>1567</v>
      </c>
      <c r="B1013" s="4">
        <v>45812</v>
      </c>
      <c r="C1013" s="6" t="s">
        <v>2800</v>
      </c>
      <c r="D1013" s="7">
        <v>0.86068287037037039</v>
      </c>
      <c r="E1013" s="6" t="s">
        <v>16</v>
      </c>
      <c r="F1013" s="6" t="s">
        <v>281</v>
      </c>
      <c r="G1013" s="4">
        <v>27047</v>
      </c>
      <c r="H1013" s="6" t="s">
        <v>129</v>
      </c>
      <c r="I1013">
        <v>169</v>
      </c>
      <c r="J1013">
        <v>2</v>
      </c>
      <c r="K1013">
        <v>340</v>
      </c>
      <c r="L1013" s="6" t="s">
        <v>2787</v>
      </c>
      <c r="M1013" s="6" t="s">
        <v>26</v>
      </c>
      <c r="N1013" s="6" t="s">
        <v>56</v>
      </c>
    </row>
    <row r="1014" spans="1:14" x14ac:dyDescent="0.25">
      <c r="A1014" s="6" t="s">
        <v>1569</v>
      </c>
      <c r="B1014" s="4">
        <v>45731</v>
      </c>
      <c r="C1014" s="6" t="s">
        <v>2798</v>
      </c>
      <c r="D1014" s="7">
        <v>0.88888888888888884</v>
      </c>
      <c r="E1014" s="6" t="s">
        <v>16</v>
      </c>
      <c r="F1014" s="6" t="s">
        <v>181</v>
      </c>
      <c r="G1014" s="4">
        <v>36489</v>
      </c>
      <c r="H1014" s="6" t="s">
        <v>202</v>
      </c>
      <c r="I1014">
        <v>237</v>
      </c>
      <c r="J1014">
        <v>2</v>
      </c>
      <c r="K1014">
        <v>474</v>
      </c>
      <c r="L1014" s="6" t="s">
        <v>67</v>
      </c>
      <c r="M1014" s="6" t="s">
        <v>55</v>
      </c>
      <c r="N1014" s="6" t="s">
        <v>27</v>
      </c>
    </row>
    <row r="1015" spans="1:14" x14ac:dyDescent="0.25">
      <c r="A1015" s="6" t="s">
        <v>1570</v>
      </c>
      <c r="B1015" s="4">
        <v>45859</v>
      </c>
      <c r="C1015" s="6" t="s">
        <v>2795</v>
      </c>
      <c r="D1015" s="7">
        <v>0.71666666666666667</v>
      </c>
      <c r="E1015" s="6" t="s">
        <v>16</v>
      </c>
      <c r="F1015" s="6" t="s">
        <v>29</v>
      </c>
      <c r="G1015" s="4">
        <v>30297</v>
      </c>
      <c r="H1015" s="6" t="s">
        <v>259</v>
      </c>
      <c r="I1015">
        <v>227</v>
      </c>
      <c r="J1015">
        <v>1</v>
      </c>
      <c r="K1015">
        <v>228</v>
      </c>
      <c r="L1015" s="6" t="s">
        <v>19</v>
      </c>
      <c r="M1015" s="6" t="s">
        <v>55</v>
      </c>
      <c r="N1015" s="6" t="s">
        <v>56</v>
      </c>
    </row>
    <row r="1016" spans="1:14" x14ac:dyDescent="0.25">
      <c r="A1016" s="6" t="s">
        <v>1571</v>
      </c>
      <c r="B1016" s="4">
        <v>45954</v>
      </c>
      <c r="C1016" s="6" t="s">
        <v>2791</v>
      </c>
      <c r="D1016" s="7">
        <v>0.80555555555555558</v>
      </c>
      <c r="E1016" s="6" t="s">
        <v>16</v>
      </c>
      <c r="F1016" s="6" t="s">
        <v>66</v>
      </c>
      <c r="G1016" s="4">
        <v>39571</v>
      </c>
      <c r="H1016" s="6" t="s">
        <v>73</v>
      </c>
      <c r="I1016">
        <v>36</v>
      </c>
      <c r="J1016">
        <v>1</v>
      </c>
      <c r="K1016">
        <v>36</v>
      </c>
      <c r="L1016" s="6" t="s">
        <v>19</v>
      </c>
      <c r="M1016" s="6" t="s">
        <v>61</v>
      </c>
      <c r="N1016" s="6" t="s">
        <v>21</v>
      </c>
    </row>
    <row r="1017" spans="1:14" x14ac:dyDescent="0.25">
      <c r="A1017" s="6" t="s">
        <v>1573</v>
      </c>
      <c r="B1017" s="4">
        <v>45720</v>
      </c>
      <c r="C1017" s="6" t="s">
        <v>2798</v>
      </c>
      <c r="D1017" s="7">
        <v>0.88329861111111108</v>
      </c>
      <c r="E1017" s="6" t="s">
        <v>16</v>
      </c>
      <c r="F1017" s="6" t="s">
        <v>191</v>
      </c>
      <c r="G1017" s="4">
        <v>31194</v>
      </c>
      <c r="H1017" s="6" t="s">
        <v>126</v>
      </c>
      <c r="I1017">
        <v>170</v>
      </c>
      <c r="J1017">
        <v>3</v>
      </c>
      <c r="K1017">
        <v>511</v>
      </c>
      <c r="L1017" s="6" t="s">
        <v>19</v>
      </c>
      <c r="M1017" s="6" t="s">
        <v>20</v>
      </c>
      <c r="N1017" s="6" t="s">
        <v>74</v>
      </c>
    </row>
    <row r="1018" spans="1:14" x14ac:dyDescent="0.25">
      <c r="A1018" s="6" t="s">
        <v>1575</v>
      </c>
      <c r="B1018" s="4">
        <v>45771</v>
      </c>
      <c r="C1018" s="6" t="s">
        <v>2801</v>
      </c>
      <c r="D1018" s="7">
        <v>0.54652777777777772</v>
      </c>
      <c r="E1018" s="6" t="s">
        <v>16</v>
      </c>
      <c r="F1018" s="6" t="s">
        <v>1576</v>
      </c>
      <c r="G1018" s="4">
        <v>28908</v>
      </c>
      <c r="H1018" s="6" t="s">
        <v>104</v>
      </c>
      <c r="I1018">
        <v>269</v>
      </c>
      <c r="J1018">
        <v>1</v>
      </c>
      <c r="K1018">
        <v>269</v>
      </c>
      <c r="L1018" s="6" t="s">
        <v>67</v>
      </c>
      <c r="M1018" s="6" t="s">
        <v>26</v>
      </c>
      <c r="N1018" s="6" t="s">
        <v>21</v>
      </c>
    </row>
    <row r="1019" spans="1:14" x14ac:dyDescent="0.25">
      <c r="A1019" s="6" t="s">
        <v>1577</v>
      </c>
      <c r="B1019" s="4">
        <v>45876</v>
      </c>
      <c r="C1019" s="6" t="s">
        <v>2793</v>
      </c>
      <c r="D1019" s="7">
        <v>0.58472222222222225</v>
      </c>
      <c r="E1019" s="6" t="s">
        <v>16</v>
      </c>
      <c r="F1019" s="6" t="s">
        <v>52</v>
      </c>
      <c r="G1019" s="4">
        <v>28908</v>
      </c>
      <c r="H1019" s="6" t="s">
        <v>116</v>
      </c>
      <c r="I1019">
        <v>215</v>
      </c>
      <c r="J1019">
        <v>1</v>
      </c>
      <c r="K1019">
        <v>216</v>
      </c>
      <c r="L1019" s="6" t="s">
        <v>67</v>
      </c>
      <c r="M1019" s="6" t="s">
        <v>37</v>
      </c>
      <c r="N1019" s="6" t="s">
        <v>33</v>
      </c>
    </row>
    <row r="1020" spans="1:14" x14ac:dyDescent="0.25">
      <c r="A1020" s="6" t="s">
        <v>1578</v>
      </c>
      <c r="B1020" s="4">
        <v>45655</v>
      </c>
      <c r="C1020" s="6" t="s">
        <v>2796</v>
      </c>
      <c r="D1020" s="7">
        <v>0.47569444444444442</v>
      </c>
      <c r="E1020" s="6" t="s">
        <v>16</v>
      </c>
      <c r="F1020" s="6" t="s">
        <v>1427</v>
      </c>
      <c r="G1020" s="4">
        <v>27081</v>
      </c>
      <c r="H1020" s="6" t="s">
        <v>199</v>
      </c>
      <c r="I1020">
        <v>247</v>
      </c>
      <c r="J1020">
        <v>2</v>
      </c>
      <c r="K1020">
        <v>490</v>
      </c>
      <c r="L1020" s="6" t="s">
        <v>2787</v>
      </c>
      <c r="M1020" s="6" t="s">
        <v>20</v>
      </c>
      <c r="N1020" s="6" t="s">
        <v>74</v>
      </c>
    </row>
    <row r="1021" spans="1:14" x14ac:dyDescent="0.25">
      <c r="A1021" s="6" t="s">
        <v>1579</v>
      </c>
      <c r="B1021" s="4">
        <v>45820</v>
      </c>
      <c r="C1021" s="6" t="s">
        <v>2800</v>
      </c>
      <c r="D1021" s="7">
        <v>0.98958333333333337</v>
      </c>
      <c r="E1021" s="6" t="s">
        <v>16</v>
      </c>
      <c r="F1021" s="6" t="s">
        <v>1580</v>
      </c>
      <c r="G1021" s="4">
        <v>27081</v>
      </c>
      <c r="H1021" s="6" t="s">
        <v>199</v>
      </c>
      <c r="I1021">
        <v>214</v>
      </c>
      <c r="J1021">
        <v>2</v>
      </c>
      <c r="K1021">
        <v>428</v>
      </c>
      <c r="L1021" s="6" t="s">
        <v>41</v>
      </c>
      <c r="M1021" s="6" t="s">
        <v>32</v>
      </c>
      <c r="N1021" s="6" t="s">
        <v>74</v>
      </c>
    </row>
    <row r="1022" spans="1:14" x14ac:dyDescent="0.25">
      <c r="A1022" s="6" t="s">
        <v>1581</v>
      </c>
      <c r="B1022" s="4">
        <v>45868</v>
      </c>
      <c r="C1022" s="6" t="s">
        <v>2795</v>
      </c>
      <c r="D1022" s="7">
        <v>0.8305555555555556</v>
      </c>
      <c r="E1022" s="6" t="s">
        <v>16</v>
      </c>
      <c r="F1022" s="6" t="s">
        <v>425</v>
      </c>
      <c r="G1022" s="4">
        <v>38935</v>
      </c>
      <c r="H1022" s="6" t="s">
        <v>36</v>
      </c>
      <c r="I1022">
        <v>293</v>
      </c>
      <c r="J1022">
        <v>3</v>
      </c>
      <c r="K1022">
        <v>881</v>
      </c>
      <c r="L1022" s="6" t="s">
        <v>67</v>
      </c>
      <c r="M1022" s="6" t="s">
        <v>89</v>
      </c>
      <c r="N1022" s="6" t="s">
        <v>74</v>
      </c>
    </row>
    <row r="1023" spans="1:14" x14ac:dyDescent="0.25">
      <c r="A1023" s="6" t="s">
        <v>1582</v>
      </c>
      <c r="B1023" s="4">
        <v>45701</v>
      </c>
      <c r="C1023" s="6" t="s">
        <v>2799</v>
      </c>
      <c r="D1023" s="7">
        <v>0.68819444444444444</v>
      </c>
      <c r="E1023" s="6" t="s">
        <v>16</v>
      </c>
      <c r="F1023" s="6" t="s">
        <v>133</v>
      </c>
      <c r="G1023" s="4">
        <v>33584</v>
      </c>
      <c r="H1023" s="6" t="s">
        <v>110</v>
      </c>
      <c r="I1023">
        <v>124</v>
      </c>
      <c r="J1023">
        <v>2</v>
      </c>
      <c r="K1023">
        <v>249</v>
      </c>
      <c r="L1023" s="6" t="s">
        <v>2787</v>
      </c>
      <c r="M1023" s="6" t="s">
        <v>26</v>
      </c>
      <c r="N1023" s="6" t="s">
        <v>74</v>
      </c>
    </row>
    <row r="1024" spans="1:14" x14ac:dyDescent="0.25">
      <c r="A1024" s="6" t="s">
        <v>1583</v>
      </c>
      <c r="B1024" s="4">
        <v>45735</v>
      </c>
      <c r="C1024" s="6" t="s">
        <v>2798</v>
      </c>
      <c r="D1024" s="7">
        <v>0.50138888888888888</v>
      </c>
      <c r="E1024" s="6" t="s">
        <v>16</v>
      </c>
      <c r="F1024" s="6" t="s">
        <v>123</v>
      </c>
      <c r="G1024" s="4">
        <v>38945</v>
      </c>
      <c r="H1024" s="6" t="s">
        <v>104</v>
      </c>
      <c r="I1024">
        <v>305</v>
      </c>
      <c r="J1024">
        <v>1</v>
      </c>
      <c r="K1024">
        <v>306</v>
      </c>
      <c r="L1024" s="6" t="s">
        <v>19</v>
      </c>
      <c r="M1024" s="6" t="s">
        <v>20</v>
      </c>
      <c r="N1024" s="6" t="s">
        <v>74</v>
      </c>
    </row>
    <row r="1025" spans="1:14" x14ac:dyDescent="0.25">
      <c r="A1025" s="6" t="s">
        <v>1584</v>
      </c>
      <c r="B1025" s="4">
        <v>45812</v>
      </c>
      <c r="C1025" s="6" t="s">
        <v>2800</v>
      </c>
      <c r="D1025" s="7">
        <v>0.70694444444444449</v>
      </c>
      <c r="E1025" s="6" t="s">
        <v>16</v>
      </c>
      <c r="F1025" s="6" t="s">
        <v>882</v>
      </c>
      <c r="G1025" s="4">
        <v>38945</v>
      </c>
      <c r="H1025" s="6" t="s">
        <v>129</v>
      </c>
      <c r="I1025">
        <v>171</v>
      </c>
      <c r="J1025">
        <v>1</v>
      </c>
      <c r="K1025">
        <v>171</v>
      </c>
      <c r="L1025" s="6" t="s">
        <v>67</v>
      </c>
      <c r="M1025" s="6" t="s">
        <v>61</v>
      </c>
      <c r="N1025" s="6" t="s">
        <v>74</v>
      </c>
    </row>
    <row r="1026" spans="1:14" x14ac:dyDescent="0.25">
      <c r="A1026" s="6" t="s">
        <v>1585</v>
      </c>
      <c r="B1026" s="4">
        <v>45662</v>
      </c>
      <c r="C1026" s="6" t="s">
        <v>2794</v>
      </c>
      <c r="D1026" s="7">
        <v>0.5541666666666667</v>
      </c>
      <c r="E1026" s="6" t="s">
        <v>16</v>
      </c>
      <c r="F1026" s="6" t="s">
        <v>264</v>
      </c>
      <c r="G1026" s="4">
        <v>33584</v>
      </c>
      <c r="H1026" s="6" t="s">
        <v>199</v>
      </c>
      <c r="I1026">
        <v>238</v>
      </c>
      <c r="J1026">
        <v>1</v>
      </c>
      <c r="K1026">
        <v>239</v>
      </c>
      <c r="L1026" s="6" t="s">
        <v>67</v>
      </c>
      <c r="M1026" s="6" t="s">
        <v>89</v>
      </c>
      <c r="N1026" s="6" t="s">
        <v>27</v>
      </c>
    </row>
    <row r="1027" spans="1:14" x14ac:dyDescent="0.25">
      <c r="A1027" s="6" t="s">
        <v>1586</v>
      </c>
      <c r="B1027" s="4">
        <v>45970</v>
      </c>
      <c r="C1027" s="6" t="s">
        <v>2802</v>
      </c>
      <c r="D1027" s="7">
        <v>0.91319444444444442</v>
      </c>
      <c r="E1027" s="6" t="s">
        <v>16</v>
      </c>
      <c r="F1027" s="6" t="s">
        <v>191</v>
      </c>
      <c r="G1027" s="4">
        <v>33584</v>
      </c>
      <c r="H1027" s="6" t="s">
        <v>213</v>
      </c>
      <c r="I1027">
        <v>119</v>
      </c>
      <c r="J1027">
        <v>2</v>
      </c>
      <c r="K1027">
        <v>239</v>
      </c>
      <c r="L1027" s="6" t="s">
        <v>54</v>
      </c>
      <c r="M1027" s="6" t="s">
        <v>26</v>
      </c>
      <c r="N1027" s="6" t="s">
        <v>21</v>
      </c>
    </row>
    <row r="1028" spans="1:14" x14ac:dyDescent="0.25">
      <c r="A1028" s="6" t="s">
        <v>1588</v>
      </c>
      <c r="B1028" s="4">
        <v>45713</v>
      </c>
      <c r="C1028" s="6" t="s">
        <v>2799</v>
      </c>
      <c r="D1028" s="7">
        <v>0.99791666666666667</v>
      </c>
      <c r="E1028" s="6" t="s">
        <v>16</v>
      </c>
      <c r="F1028" s="6" t="s">
        <v>434</v>
      </c>
      <c r="G1028" s="4">
        <v>38479</v>
      </c>
      <c r="H1028" s="6" t="s">
        <v>178</v>
      </c>
      <c r="I1028">
        <v>326</v>
      </c>
      <c r="J1028">
        <v>1</v>
      </c>
      <c r="K1028">
        <v>326</v>
      </c>
      <c r="L1028" s="6" t="s">
        <v>2787</v>
      </c>
      <c r="M1028" s="6" t="s">
        <v>20</v>
      </c>
      <c r="N1028" s="6" t="s">
        <v>74</v>
      </c>
    </row>
    <row r="1029" spans="1:14" x14ac:dyDescent="0.25">
      <c r="A1029" s="6" t="s">
        <v>1589</v>
      </c>
      <c r="B1029" s="4">
        <v>45911</v>
      </c>
      <c r="C1029" s="6" t="s">
        <v>2797</v>
      </c>
      <c r="D1029" s="7">
        <v>0.96180555555555558</v>
      </c>
      <c r="E1029" s="6" t="s">
        <v>16</v>
      </c>
      <c r="F1029" s="6" t="s">
        <v>163</v>
      </c>
      <c r="G1029" s="4">
        <v>38479</v>
      </c>
      <c r="H1029" s="6" t="s">
        <v>199</v>
      </c>
      <c r="I1029">
        <v>172</v>
      </c>
      <c r="J1029">
        <v>2</v>
      </c>
      <c r="K1029">
        <v>344</v>
      </c>
      <c r="L1029" s="6" t="s">
        <v>2787</v>
      </c>
      <c r="M1029" s="6" t="s">
        <v>32</v>
      </c>
      <c r="N1029" s="6" t="s">
        <v>27</v>
      </c>
    </row>
    <row r="1030" spans="1:14" x14ac:dyDescent="0.25">
      <c r="A1030" s="6" t="s">
        <v>1590</v>
      </c>
      <c r="B1030" s="4">
        <v>45736</v>
      </c>
      <c r="C1030" s="6" t="s">
        <v>2798</v>
      </c>
      <c r="D1030" s="7">
        <v>0.97638888888888886</v>
      </c>
      <c r="E1030" s="6" t="s">
        <v>16</v>
      </c>
      <c r="F1030" s="6" t="s">
        <v>63</v>
      </c>
      <c r="G1030" s="4">
        <v>37545</v>
      </c>
      <c r="H1030" s="6" t="s">
        <v>243</v>
      </c>
      <c r="I1030">
        <v>108</v>
      </c>
      <c r="J1030">
        <v>2</v>
      </c>
      <c r="K1030">
        <v>218</v>
      </c>
      <c r="L1030" s="6" t="s">
        <v>67</v>
      </c>
      <c r="M1030" s="6" t="s">
        <v>55</v>
      </c>
      <c r="N1030" s="6" t="s">
        <v>48</v>
      </c>
    </row>
    <row r="1031" spans="1:14" x14ac:dyDescent="0.25">
      <c r="A1031" s="6" t="s">
        <v>1591</v>
      </c>
      <c r="B1031" s="4">
        <v>45906</v>
      </c>
      <c r="C1031" s="6" t="s">
        <v>2797</v>
      </c>
      <c r="D1031" s="7">
        <v>0.48956018518518518</v>
      </c>
      <c r="E1031" s="6" t="s">
        <v>16</v>
      </c>
      <c r="F1031" s="6" t="s">
        <v>492</v>
      </c>
      <c r="G1031" s="4">
        <v>29105</v>
      </c>
      <c r="H1031" s="6" t="s">
        <v>53</v>
      </c>
      <c r="I1031">
        <v>110</v>
      </c>
      <c r="J1031">
        <v>2</v>
      </c>
      <c r="K1031">
        <v>221</v>
      </c>
      <c r="L1031" s="6" t="s">
        <v>67</v>
      </c>
      <c r="M1031" s="6" t="s">
        <v>26</v>
      </c>
      <c r="N1031" s="6" t="s">
        <v>21</v>
      </c>
    </row>
    <row r="1032" spans="1:14" x14ac:dyDescent="0.25">
      <c r="A1032" s="6" t="s">
        <v>1592</v>
      </c>
      <c r="B1032" s="4">
        <v>45791</v>
      </c>
      <c r="C1032" s="6" t="s">
        <v>2792</v>
      </c>
      <c r="D1032" s="7">
        <v>0.90694444444444444</v>
      </c>
      <c r="E1032" s="6" t="s">
        <v>16</v>
      </c>
      <c r="F1032" s="6" t="s">
        <v>88</v>
      </c>
      <c r="G1032" s="4">
        <v>39571</v>
      </c>
      <c r="H1032" s="6" t="s">
        <v>73</v>
      </c>
      <c r="I1032">
        <v>38</v>
      </c>
      <c r="J1032">
        <v>3</v>
      </c>
      <c r="K1032">
        <v>115</v>
      </c>
      <c r="L1032" s="6" t="s">
        <v>67</v>
      </c>
      <c r="M1032" s="6" t="s">
        <v>32</v>
      </c>
      <c r="N1032" s="6" t="s">
        <v>48</v>
      </c>
    </row>
    <row r="1033" spans="1:14" x14ac:dyDescent="0.25">
      <c r="A1033" s="6" t="s">
        <v>1593</v>
      </c>
      <c r="B1033" s="4">
        <v>45705</v>
      </c>
      <c r="C1033" s="6" t="s">
        <v>2799</v>
      </c>
      <c r="D1033" s="7">
        <v>0.99861111111111112</v>
      </c>
      <c r="E1033" s="6" t="s">
        <v>16</v>
      </c>
      <c r="F1033" s="6" t="s">
        <v>29</v>
      </c>
      <c r="G1033" s="4">
        <v>33578</v>
      </c>
      <c r="H1033" s="6" t="s">
        <v>243</v>
      </c>
      <c r="I1033">
        <v>108</v>
      </c>
      <c r="J1033">
        <v>1</v>
      </c>
      <c r="K1033">
        <v>108</v>
      </c>
      <c r="L1033" s="6" t="s">
        <v>54</v>
      </c>
      <c r="M1033" s="6" t="s">
        <v>37</v>
      </c>
      <c r="N1033" s="6" t="s">
        <v>27</v>
      </c>
    </row>
    <row r="1034" spans="1:14" x14ac:dyDescent="0.25">
      <c r="A1034" s="6" t="s">
        <v>1594</v>
      </c>
      <c r="B1034" s="4">
        <v>45824</v>
      </c>
      <c r="C1034" s="6" t="s">
        <v>2800</v>
      </c>
      <c r="D1034" s="7">
        <v>0.81020833333333331</v>
      </c>
      <c r="E1034" s="6" t="s">
        <v>16</v>
      </c>
      <c r="F1034" s="6" t="s">
        <v>594</v>
      </c>
      <c r="G1034" s="4">
        <v>30566</v>
      </c>
      <c r="H1034" s="6" t="s">
        <v>53</v>
      </c>
      <c r="I1034">
        <v>115</v>
      </c>
      <c r="J1034">
        <v>2</v>
      </c>
      <c r="K1034">
        <v>276</v>
      </c>
      <c r="L1034" s="6" t="s">
        <v>54</v>
      </c>
      <c r="M1034" s="6" t="s">
        <v>61</v>
      </c>
      <c r="N1034" s="6" t="s">
        <v>105</v>
      </c>
    </row>
    <row r="1035" spans="1:14" x14ac:dyDescent="0.25">
      <c r="A1035" s="6" t="s">
        <v>1595</v>
      </c>
      <c r="B1035" s="4">
        <v>45742</v>
      </c>
      <c r="C1035" s="6" t="s">
        <v>2798</v>
      </c>
      <c r="D1035" s="7">
        <v>0.77777777777777779</v>
      </c>
      <c r="E1035" s="6" t="s">
        <v>16</v>
      </c>
      <c r="F1035" s="6" t="s">
        <v>204</v>
      </c>
      <c r="G1035" s="4">
        <v>30743</v>
      </c>
      <c r="H1035" s="6" t="s">
        <v>110</v>
      </c>
      <c r="I1035">
        <v>115</v>
      </c>
      <c r="J1035">
        <v>2</v>
      </c>
      <c r="K1035">
        <v>230</v>
      </c>
      <c r="L1035" s="6" t="s">
        <v>41</v>
      </c>
      <c r="M1035" s="6" t="s">
        <v>32</v>
      </c>
      <c r="N1035" s="6" t="s">
        <v>105</v>
      </c>
    </row>
    <row r="1036" spans="1:14" x14ac:dyDescent="0.25">
      <c r="A1036" s="6" t="s">
        <v>1596</v>
      </c>
      <c r="B1036" s="4">
        <v>45860</v>
      </c>
      <c r="C1036" s="6" t="s">
        <v>2795</v>
      </c>
      <c r="D1036" s="7">
        <v>0.93153935185185188</v>
      </c>
      <c r="E1036" s="6" t="s">
        <v>16</v>
      </c>
      <c r="F1036" s="6" t="s">
        <v>82</v>
      </c>
      <c r="G1036" s="4">
        <v>31833</v>
      </c>
      <c r="H1036" s="6" t="s">
        <v>116</v>
      </c>
      <c r="I1036">
        <v>95</v>
      </c>
      <c r="J1036">
        <v>2</v>
      </c>
      <c r="K1036">
        <v>190</v>
      </c>
      <c r="L1036" s="6" t="s">
        <v>41</v>
      </c>
      <c r="M1036" s="6" t="s">
        <v>55</v>
      </c>
      <c r="N1036" s="6" t="s">
        <v>27</v>
      </c>
    </row>
    <row r="1037" spans="1:14" x14ac:dyDescent="0.25">
      <c r="A1037" s="6" t="s">
        <v>1598</v>
      </c>
      <c r="B1037" s="4">
        <v>45840</v>
      </c>
      <c r="C1037" s="6" t="s">
        <v>2795</v>
      </c>
      <c r="D1037" s="7">
        <v>0.80138888888888893</v>
      </c>
      <c r="E1037" s="6" t="s">
        <v>16</v>
      </c>
      <c r="F1037" s="6" t="s">
        <v>328</v>
      </c>
      <c r="G1037" s="4">
        <v>33584</v>
      </c>
      <c r="H1037" s="6" t="s">
        <v>126</v>
      </c>
      <c r="I1037">
        <v>82</v>
      </c>
      <c r="J1037">
        <v>2</v>
      </c>
      <c r="K1037">
        <v>165</v>
      </c>
      <c r="L1037" s="6" t="s">
        <v>41</v>
      </c>
      <c r="M1037" s="6" t="s">
        <v>37</v>
      </c>
      <c r="N1037" s="6" t="s">
        <v>48</v>
      </c>
    </row>
    <row r="1038" spans="1:14" x14ac:dyDescent="0.25">
      <c r="A1038" s="6" t="s">
        <v>1599</v>
      </c>
      <c r="B1038" s="4">
        <v>45855</v>
      </c>
      <c r="C1038" s="6" t="s">
        <v>2795</v>
      </c>
      <c r="D1038" s="7">
        <v>0.62995370370370374</v>
      </c>
      <c r="E1038" s="6" t="s">
        <v>16</v>
      </c>
      <c r="F1038" s="6" t="s">
        <v>29</v>
      </c>
      <c r="G1038" s="4">
        <v>38991</v>
      </c>
      <c r="H1038" s="6" t="s">
        <v>259</v>
      </c>
      <c r="I1038">
        <v>154</v>
      </c>
      <c r="J1038">
        <v>1</v>
      </c>
      <c r="K1038">
        <v>154</v>
      </c>
      <c r="L1038" s="6" t="s">
        <v>41</v>
      </c>
      <c r="M1038" s="6" t="s">
        <v>37</v>
      </c>
      <c r="N1038" s="6" t="s">
        <v>48</v>
      </c>
    </row>
    <row r="1039" spans="1:14" x14ac:dyDescent="0.25">
      <c r="A1039" s="6" t="s">
        <v>1601</v>
      </c>
      <c r="B1039" s="4">
        <v>45735</v>
      </c>
      <c r="C1039" s="6" t="s">
        <v>2798</v>
      </c>
      <c r="D1039" s="7">
        <v>0.73819444444444449</v>
      </c>
      <c r="E1039" s="6" t="s">
        <v>16</v>
      </c>
      <c r="F1039" s="6" t="s">
        <v>1602</v>
      </c>
      <c r="G1039" s="4">
        <v>31032</v>
      </c>
      <c r="H1039" s="6" t="s">
        <v>93</v>
      </c>
      <c r="I1039">
        <v>208</v>
      </c>
      <c r="J1039">
        <v>1</v>
      </c>
      <c r="K1039">
        <v>209</v>
      </c>
      <c r="L1039" s="6" t="s">
        <v>67</v>
      </c>
      <c r="M1039" s="6" t="s">
        <v>89</v>
      </c>
      <c r="N1039" s="6" t="s">
        <v>56</v>
      </c>
    </row>
    <row r="1040" spans="1:14" x14ac:dyDescent="0.25">
      <c r="A1040" s="6" t="s">
        <v>1603</v>
      </c>
      <c r="B1040" s="4">
        <v>45821</v>
      </c>
      <c r="C1040" s="6" t="s">
        <v>2800</v>
      </c>
      <c r="D1040" s="7">
        <v>0.51644675925925931</v>
      </c>
      <c r="E1040" s="6" t="s">
        <v>16</v>
      </c>
      <c r="F1040" s="6" t="s">
        <v>140</v>
      </c>
      <c r="G1040" s="4">
        <v>28050</v>
      </c>
      <c r="H1040" s="6" t="s">
        <v>116</v>
      </c>
      <c r="I1040">
        <v>272</v>
      </c>
      <c r="J1040">
        <v>2</v>
      </c>
      <c r="K1040">
        <v>545</v>
      </c>
      <c r="L1040" s="6" t="s">
        <v>2787</v>
      </c>
      <c r="M1040" s="6" t="s">
        <v>89</v>
      </c>
      <c r="N1040" s="6" t="s">
        <v>27</v>
      </c>
    </row>
    <row r="1041" spans="1:14" x14ac:dyDescent="0.25">
      <c r="A1041" s="6" t="s">
        <v>1604</v>
      </c>
      <c r="B1041" s="4">
        <v>45666</v>
      </c>
      <c r="C1041" s="6" t="s">
        <v>2794</v>
      </c>
      <c r="D1041" s="7">
        <v>0.73541666666666672</v>
      </c>
      <c r="E1041" s="6" t="s">
        <v>16</v>
      </c>
      <c r="F1041" s="6" t="s">
        <v>736</v>
      </c>
      <c r="G1041" s="4">
        <v>29186</v>
      </c>
      <c r="H1041" s="6" t="s">
        <v>77</v>
      </c>
      <c r="I1041">
        <v>247</v>
      </c>
      <c r="J1041">
        <v>2</v>
      </c>
      <c r="K1041">
        <v>495</v>
      </c>
      <c r="L1041" s="6" t="s">
        <v>67</v>
      </c>
      <c r="M1041" s="6" t="s">
        <v>47</v>
      </c>
      <c r="N1041" s="6" t="s">
        <v>21</v>
      </c>
    </row>
    <row r="1042" spans="1:14" x14ac:dyDescent="0.25">
      <c r="A1042" s="6" t="s">
        <v>1605</v>
      </c>
      <c r="B1042" s="4">
        <v>45972</v>
      </c>
      <c r="C1042" s="6" t="s">
        <v>2802</v>
      </c>
      <c r="D1042" s="7">
        <v>0.50416666666666665</v>
      </c>
      <c r="E1042" s="6" t="s">
        <v>16</v>
      </c>
      <c r="F1042" s="6" t="s">
        <v>206</v>
      </c>
      <c r="G1042" s="4">
        <v>33584</v>
      </c>
      <c r="H1042" s="6" t="s">
        <v>129</v>
      </c>
      <c r="I1042">
        <v>144</v>
      </c>
      <c r="J1042">
        <v>2</v>
      </c>
      <c r="K1042">
        <v>290</v>
      </c>
      <c r="L1042" s="6" t="s">
        <v>2787</v>
      </c>
      <c r="M1042" s="6" t="s">
        <v>61</v>
      </c>
      <c r="N1042" s="6" t="s">
        <v>74</v>
      </c>
    </row>
    <row r="1043" spans="1:14" x14ac:dyDescent="0.25">
      <c r="A1043" s="6" t="s">
        <v>1606</v>
      </c>
      <c r="B1043" s="4">
        <v>45858</v>
      </c>
      <c r="C1043" s="6" t="s">
        <v>2795</v>
      </c>
      <c r="D1043" s="7">
        <v>0.98333333333333328</v>
      </c>
      <c r="E1043" s="6" t="s">
        <v>16</v>
      </c>
      <c r="F1043" s="6" t="s">
        <v>338</v>
      </c>
      <c r="G1043" s="4">
        <v>33958</v>
      </c>
      <c r="H1043" s="6" t="s">
        <v>93</v>
      </c>
      <c r="I1043">
        <v>225</v>
      </c>
      <c r="J1043">
        <v>2</v>
      </c>
      <c r="K1043">
        <v>452</v>
      </c>
      <c r="L1043" s="6" t="s">
        <v>41</v>
      </c>
      <c r="M1043" s="6" t="s">
        <v>47</v>
      </c>
      <c r="N1043" s="6" t="s">
        <v>48</v>
      </c>
    </row>
    <row r="1044" spans="1:14" x14ac:dyDescent="0.25">
      <c r="A1044" s="6" t="s">
        <v>1607</v>
      </c>
      <c r="B1044" s="4">
        <v>45931</v>
      </c>
      <c r="C1044" s="6" t="s">
        <v>2791</v>
      </c>
      <c r="D1044" s="7">
        <v>0.42499999999999999</v>
      </c>
      <c r="E1044" s="6" t="s">
        <v>16</v>
      </c>
      <c r="F1044" s="6" t="s">
        <v>652</v>
      </c>
      <c r="G1044" s="4">
        <v>34175</v>
      </c>
      <c r="H1044" s="6" t="s">
        <v>30</v>
      </c>
      <c r="I1044">
        <v>225</v>
      </c>
      <c r="J1044">
        <v>2</v>
      </c>
      <c r="K1044">
        <v>452</v>
      </c>
      <c r="L1044" s="6" t="s">
        <v>67</v>
      </c>
      <c r="M1044" s="6" t="s">
        <v>20</v>
      </c>
      <c r="N1044" s="6" t="s">
        <v>74</v>
      </c>
    </row>
    <row r="1045" spans="1:14" x14ac:dyDescent="0.25">
      <c r="A1045" s="6" t="s">
        <v>1608</v>
      </c>
      <c r="B1045" s="4">
        <v>45730</v>
      </c>
      <c r="C1045" s="6" t="s">
        <v>2798</v>
      </c>
      <c r="D1045" s="7">
        <v>0.65763888888888888</v>
      </c>
      <c r="E1045" s="6" t="s">
        <v>16</v>
      </c>
      <c r="F1045" s="6" t="s">
        <v>307</v>
      </c>
      <c r="G1045" s="4">
        <v>29562</v>
      </c>
      <c r="H1045" s="6" t="s">
        <v>73</v>
      </c>
      <c r="I1045">
        <v>49</v>
      </c>
      <c r="J1045">
        <v>3</v>
      </c>
      <c r="K1045">
        <v>168</v>
      </c>
      <c r="L1045" s="6" t="s">
        <v>41</v>
      </c>
      <c r="M1045" s="6" t="s">
        <v>55</v>
      </c>
      <c r="N1045" s="6" t="s">
        <v>74</v>
      </c>
    </row>
    <row r="1046" spans="1:14" x14ac:dyDescent="0.25">
      <c r="A1046" s="6" t="s">
        <v>1610</v>
      </c>
      <c r="B1046" s="4">
        <v>45723</v>
      </c>
      <c r="C1046" s="6" t="s">
        <v>2798</v>
      </c>
      <c r="D1046" s="7">
        <v>0.68008101851851854</v>
      </c>
      <c r="E1046" s="6" t="s">
        <v>16</v>
      </c>
      <c r="F1046" s="6" t="s">
        <v>169</v>
      </c>
      <c r="G1046" s="4">
        <v>36781</v>
      </c>
      <c r="H1046" s="6" t="s">
        <v>213</v>
      </c>
      <c r="I1046">
        <v>232</v>
      </c>
      <c r="J1046">
        <v>2</v>
      </c>
      <c r="K1046">
        <v>466</v>
      </c>
      <c r="L1046" s="6" t="s">
        <v>19</v>
      </c>
      <c r="M1046" s="6" t="s">
        <v>26</v>
      </c>
      <c r="N1046" s="6" t="s">
        <v>105</v>
      </c>
    </row>
    <row r="1047" spans="1:14" x14ac:dyDescent="0.25">
      <c r="A1047" s="6" t="s">
        <v>1611</v>
      </c>
      <c r="B1047" s="4">
        <v>45763</v>
      </c>
      <c r="C1047" s="6" t="s">
        <v>2801</v>
      </c>
      <c r="D1047" s="7">
        <v>0.9692708333333333</v>
      </c>
      <c r="E1047" s="6" t="s">
        <v>16</v>
      </c>
      <c r="F1047" s="6" t="s">
        <v>204</v>
      </c>
      <c r="G1047" s="4">
        <v>31650</v>
      </c>
      <c r="H1047" s="6" t="s">
        <v>259</v>
      </c>
      <c r="I1047">
        <v>116</v>
      </c>
      <c r="J1047">
        <v>2</v>
      </c>
      <c r="K1047">
        <v>233</v>
      </c>
      <c r="L1047" s="6" t="s">
        <v>67</v>
      </c>
      <c r="M1047" s="6" t="s">
        <v>61</v>
      </c>
      <c r="N1047" s="6" t="s">
        <v>105</v>
      </c>
    </row>
    <row r="1048" spans="1:14" x14ac:dyDescent="0.25">
      <c r="A1048" s="6" t="s">
        <v>1613</v>
      </c>
      <c r="B1048" s="4">
        <v>45772</v>
      </c>
      <c r="C1048" s="6" t="s">
        <v>2801</v>
      </c>
      <c r="D1048" s="7">
        <v>0.48402777777777778</v>
      </c>
      <c r="E1048" s="6" t="s">
        <v>16</v>
      </c>
      <c r="F1048" s="6" t="s">
        <v>63</v>
      </c>
      <c r="G1048" s="4">
        <v>31565</v>
      </c>
      <c r="H1048" s="6" t="s">
        <v>53</v>
      </c>
      <c r="I1048">
        <v>88</v>
      </c>
      <c r="J1048">
        <v>2</v>
      </c>
      <c r="K1048">
        <v>176</v>
      </c>
      <c r="L1048" s="6" t="s">
        <v>41</v>
      </c>
      <c r="M1048" s="6" t="s">
        <v>89</v>
      </c>
      <c r="N1048" s="6" t="s">
        <v>33</v>
      </c>
    </row>
    <row r="1049" spans="1:14" x14ac:dyDescent="0.25">
      <c r="A1049" s="6" t="s">
        <v>1614</v>
      </c>
      <c r="B1049" s="4">
        <v>45769</v>
      </c>
      <c r="C1049" s="6" t="s">
        <v>2801</v>
      </c>
      <c r="D1049" s="7">
        <v>0.63649305555555558</v>
      </c>
      <c r="E1049" s="6" t="s">
        <v>16</v>
      </c>
      <c r="F1049" s="6" t="s">
        <v>332</v>
      </c>
      <c r="G1049" s="4">
        <v>28076</v>
      </c>
      <c r="H1049" s="6" t="s">
        <v>30</v>
      </c>
      <c r="I1049">
        <v>244</v>
      </c>
      <c r="J1049">
        <v>1</v>
      </c>
      <c r="K1049">
        <v>245</v>
      </c>
      <c r="L1049" s="6" t="s">
        <v>2787</v>
      </c>
      <c r="M1049" s="6" t="s">
        <v>61</v>
      </c>
      <c r="N1049" s="6" t="s">
        <v>74</v>
      </c>
    </row>
    <row r="1050" spans="1:14" x14ac:dyDescent="0.25">
      <c r="A1050" s="6" t="s">
        <v>1616</v>
      </c>
      <c r="B1050" s="4">
        <v>45915</v>
      </c>
      <c r="C1050" s="6" t="s">
        <v>2797</v>
      </c>
      <c r="D1050" s="7">
        <v>0.67013888888888884</v>
      </c>
      <c r="E1050" s="6" t="s">
        <v>16</v>
      </c>
      <c r="F1050" s="6" t="s">
        <v>1617</v>
      </c>
      <c r="G1050" s="4">
        <v>39034</v>
      </c>
      <c r="H1050" s="6" t="s">
        <v>202</v>
      </c>
      <c r="I1050">
        <v>162</v>
      </c>
      <c r="J1050">
        <v>2</v>
      </c>
      <c r="K1050">
        <v>324</v>
      </c>
      <c r="L1050" s="6" t="s">
        <v>67</v>
      </c>
      <c r="M1050" s="6" t="s">
        <v>32</v>
      </c>
      <c r="N1050" s="6" t="s">
        <v>27</v>
      </c>
    </row>
    <row r="1051" spans="1:14" x14ac:dyDescent="0.25">
      <c r="A1051" s="6" t="s">
        <v>1619</v>
      </c>
      <c r="B1051" s="4">
        <v>45895</v>
      </c>
      <c r="C1051" s="6" t="s">
        <v>2793</v>
      </c>
      <c r="D1051" s="7">
        <v>0.42083333333333334</v>
      </c>
      <c r="E1051" s="6" t="s">
        <v>16</v>
      </c>
      <c r="F1051" s="6" t="s">
        <v>1620</v>
      </c>
      <c r="G1051" s="4">
        <v>26011</v>
      </c>
      <c r="H1051" s="6" t="s">
        <v>199</v>
      </c>
      <c r="I1051">
        <v>168</v>
      </c>
      <c r="J1051">
        <v>3</v>
      </c>
      <c r="K1051">
        <v>550</v>
      </c>
      <c r="L1051" s="6" t="s">
        <v>19</v>
      </c>
      <c r="M1051" s="6" t="s">
        <v>89</v>
      </c>
      <c r="N1051" s="6" t="s">
        <v>21</v>
      </c>
    </row>
    <row r="1052" spans="1:14" x14ac:dyDescent="0.25">
      <c r="A1052" s="6" t="s">
        <v>1621</v>
      </c>
      <c r="B1052" s="4">
        <v>45714</v>
      </c>
      <c r="C1052" s="6" t="s">
        <v>2799</v>
      </c>
      <c r="D1052" s="7">
        <v>0.45581018518518518</v>
      </c>
      <c r="E1052" s="6" t="s">
        <v>16</v>
      </c>
      <c r="F1052" s="6" t="s">
        <v>712</v>
      </c>
      <c r="G1052" s="4">
        <v>39199</v>
      </c>
      <c r="H1052" s="6" t="s">
        <v>164</v>
      </c>
      <c r="I1052">
        <v>296</v>
      </c>
      <c r="J1052">
        <v>3</v>
      </c>
      <c r="K1052">
        <v>890</v>
      </c>
      <c r="L1052" s="6" t="s">
        <v>19</v>
      </c>
      <c r="M1052" s="6" t="s">
        <v>55</v>
      </c>
      <c r="N1052" s="6" t="s">
        <v>21</v>
      </c>
    </row>
    <row r="1053" spans="1:14" x14ac:dyDescent="0.25">
      <c r="A1053" s="6" t="s">
        <v>1622</v>
      </c>
      <c r="B1053" s="4">
        <v>45976</v>
      </c>
      <c r="C1053" s="6" t="s">
        <v>2802</v>
      </c>
      <c r="D1053" s="7">
        <v>0.46458333333333335</v>
      </c>
      <c r="E1053" s="6" t="s">
        <v>16</v>
      </c>
      <c r="F1053" s="6" t="s">
        <v>39</v>
      </c>
      <c r="G1053" s="4">
        <v>38874</v>
      </c>
      <c r="H1053" s="6" t="s">
        <v>24</v>
      </c>
      <c r="I1053">
        <v>258</v>
      </c>
      <c r="J1053">
        <v>2</v>
      </c>
      <c r="K1053">
        <v>518</v>
      </c>
      <c r="L1053" s="6" t="s">
        <v>41</v>
      </c>
      <c r="M1053" s="6" t="s">
        <v>61</v>
      </c>
      <c r="N1053" s="6" t="s">
        <v>48</v>
      </c>
    </row>
    <row r="1054" spans="1:14" x14ac:dyDescent="0.25">
      <c r="A1054" s="6" t="s">
        <v>1624</v>
      </c>
      <c r="B1054" s="4">
        <v>45976</v>
      </c>
      <c r="C1054" s="6" t="s">
        <v>2802</v>
      </c>
      <c r="D1054" s="7">
        <v>0.67083333333333328</v>
      </c>
      <c r="E1054" s="6" t="s">
        <v>16</v>
      </c>
      <c r="F1054" s="6" t="s">
        <v>328</v>
      </c>
      <c r="G1054" s="4">
        <v>26611</v>
      </c>
      <c r="H1054" s="6" t="s">
        <v>73</v>
      </c>
      <c r="I1054">
        <v>42</v>
      </c>
      <c r="J1054">
        <v>1</v>
      </c>
      <c r="K1054">
        <v>42</v>
      </c>
      <c r="L1054" s="6" t="s">
        <v>41</v>
      </c>
      <c r="M1054" s="6" t="s">
        <v>47</v>
      </c>
      <c r="N1054" s="6" t="s">
        <v>33</v>
      </c>
    </row>
    <row r="1055" spans="1:14" x14ac:dyDescent="0.25">
      <c r="A1055" s="6" t="s">
        <v>1625</v>
      </c>
      <c r="B1055" s="4">
        <v>45717</v>
      </c>
      <c r="C1055" s="6" t="s">
        <v>2798</v>
      </c>
      <c r="D1055" s="7">
        <v>0.65069444444444446</v>
      </c>
      <c r="E1055" s="6" t="s">
        <v>16</v>
      </c>
      <c r="F1055" s="6" t="s">
        <v>189</v>
      </c>
      <c r="G1055" s="4">
        <v>26871</v>
      </c>
      <c r="H1055" s="6" t="s">
        <v>45</v>
      </c>
      <c r="I1055">
        <v>199</v>
      </c>
      <c r="J1055">
        <v>1</v>
      </c>
      <c r="K1055">
        <v>199</v>
      </c>
      <c r="L1055" s="6" t="s">
        <v>54</v>
      </c>
      <c r="M1055" s="6" t="s">
        <v>89</v>
      </c>
      <c r="N1055" s="6" t="s">
        <v>56</v>
      </c>
    </row>
    <row r="1056" spans="1:14" x14ac:dyDescent="0.25">
      <c r="A1056" s="6" t="s">
        <v>1626</v>
      </c>
      <c r="B1056" s="4">
        <v>45632</v>
      </c>
      <c r="C1056" s="6" t="s">
        <v>2796</v>
      </c>
      <c r="D1056" s="7">
        <v>0.46458333333333335</v>
      </c>
      <c r="E1056" s="6" t="s">
        <v>16</v>
      </c>
      <c r="F1056" s="6" t="s">
        <v>1627</v>
      </c>
      <c r="G1056" s="4">
        <v>31831</v>
      </c>
      <c r="H1056" s="6" t="s">
        <v>24</v>
      </c>
      <c r="I1056">
        <v>281</v>
      </c>
      <c r="J1056">
        <v>1</v>
      </c>
      <c r="K1056">
        <v>281</v>
      </c>
      <c r="L1056" s="6" t="s">
        <v>2787</v>
      </c>
      <c r="M1056" s="6" t="s">
        <v>89</v>
      </c>
      <c r="N1056" s="6" t="s">
        <v>56</v>
      </c>
    </row>
    <row r="1057" spans="1:14" x14ac:dyDescent="0.25">
      <c r="A1057" s="6" t="s">
        <v>1628</v>
      </c>
      <c r="B1057" s="4">
        <v>45632</v>
      </c>
      <c r="C1057" s="6" t="s">
        <v>2796</v>
      </c>
      <c r="D1057" s="7">
        <v>0.82152777777777775</v>
      </c>
      <c r="E1057" s="6" t="s">
        <v>16</v>
      </c>
      <c r="F1057" s="6" t="s">
        <v>1629</v>
      </c>
      <c r="G1057" s="4">
        <v>36291</v>
      </c>
      <c r="H1057" s="6" t="s">
        <v>60</v>
      </c>
      <c r="I1057">
        <v>147</v>
      </c>
      <c r="J1057">
        <v>2</v>
      </c>
      <c r="K1057">
        <v>294</v>
      </c>
      <c r="L1057" s="6" t="s">
        <v>2787</v>
      </c>
      <c r="M1057" s="6" t="s">
        <v>20</v>
      </c>
      <c r="N1057" s="6" t="s">
        <v>27</v>
      </c>
    </row>
    <row r="1058" spans="1:14" x14ac:dyDescent="0.25">
      <c r="A1058" s="6" t="s">
        <v>1630</v>
      </c>
      <c r="B1058" s="4">
        <v>45778</v>
      </c>
      <c r="C1058" s="6" t="s">
        <v>2792</v>
      </c>
      <c r="D1058" s="7">
        <v>0.72624999999999995</v>
      </c>
      <c r="E1058" s="6" t="s">
        <v>16</v>
      </c>
      <c r="F1058" s="6" t="s">
        <v>659</v>
      </c>
      <c r="G1058" s="4">
        <v>29955</v>
      </c>
      <c r="H1058" s="6" t="s">
        <v>104</v>
      </c>
      <c r="I1058">
        <v>272</v>
      </c>
      <c r="J1058">
        <v>2</v>
      </c>
      <c r="K1058">
        <v>545</v>
      </c>
      <c r="L1058" s="6" t="s">
        <v>41</v>
      </c>
      <c r="M1058" s="6" t="s">
        <v>26</v>
      </c>
      <c r="N1058" s="6" t="s">
        <v>21</v>
      </c>
    </row>
    <row r="1059" spans="1:14" x14ac:dyDescent="0.25">
      <c r="A1059" s="6" t="s">
        <v>1631</v>
      </c>
      <c r="B1059" s="4">
        <v>45816</v>
      </c>
      <c r="C1059" s="6" t="s">
        <v>2800</v>
      </c>
      <c r="D1059" s="7">
        <v>0.66666666666666663</v>
      </c>
      <c r="E1059" s="6" t="s">
        <v>16</v>
      </c>
      <c r="F1059" s="6" t="s">
        <v>118</v>
      </c>
      <c r="G1059" s="4">
        <v>34962</v>
      </c>
      <c r="H1059" s="6" t="s">
        <v>104</v>
      </c>
      <c r="I1059">
        <v>263</v>
      </c>
      <c r="J1059">
        <v>2</v>
      </c>
      <c r="K1059">
        <v>527</v>
      </c>
      <c r="L1059" s="6" t="s">
        <v>41</v>
      </c>
      <c r="M1059" s="6" t="s">
        <v>47</v>
      </c>
      <c r="N1059" s="6" t="s">
        <v>21</v>
      </c>
    </row>
    <row r="1060" spans="1:14" x14ac:dyDescent="0.25">
      <c r="A1060" s="6" t="s">
        <v>1632</v>
      </c>
      <c r="B1060" s="4">
        <v>45692</v>
      </c>
      <c r="C1060" s="6" t="s">
        <v>2799</v>
      </c>
      <c r="D1060" s="7">
        <v>0.5083333333333333</v>
      </c>
      <c r="E1060" s="6" t="s">
        <v>16</v>
      </c>
      <c r="F1060" s="6" t="s">
        <v>274</v>
      </c>
      <c r="G1060" s="4">
        <v>33234</v>
      </c>
      <c r="H1060" s="6" t="s">
        <v>178</v>
      </c>
      <c r="I1060">
        <v>238</v>
      </c>
      <c r="J1060">
        <v>1</v>
      </c>
      <c r="K1060">
        <v>238</v>
      </c>
      <c r="L1060" s="6" t="s">
        <v>67</v>
      </c>
      <c r="M1060" s="6" t="s">
        <v>26</v>
      </c>
      <c r="N1060" s="6" t="s">
        <v>21</v>
      </c>
    </row>
    <row r="1061" spans="1:14" x14ac:dyDescent="0.25">
      <c r="A1061" s="6" t="s">
        <v>1634</v>
      </c>
      <c r="B1061" s="4">
        <v>45756</v>
      </c>
      <c r="C1061" s="6" t="s">
        <v>2801</v>
      </c>
      <c r="D1061" s="7">
        <v>0.43125000000000002</v>
      </c>
      <c r="E1061" s="6" t="s">
        <v>16</v>
      </c>
      <c r="F1061" s="6" t="s">
        <v>434</v>
      </c>
      <c r="G1061" s="4">
        <v>33234</v>
      </c>
      <c r="H1061" s="6" t="s">
        <v>164</v>
      </c>
      <c r="I1061">
        <v>348</v>
      </c>
      <c r="J1061">
        <v>2</v>
      </c>
      <c r="K1061">
        <v>698</v>
      </c>
      <c r="L1061" s="6" t="s">
        <v>19</v>
      </c>
      <c r="M1061" s="6" t="s">
        <v>89</v>
      </c>
      <c r="N1061" s="6" t="s">
        <v>105</v>
      </c>
    </row>
    <row r="1062" spans="1:14" x14ac:dyDescent="0.25">
      <c r="A1062" s="6" t="s">
        <v>1636</v>
      </c>
      <c r="B1062" s="4">
        <v>45892</v>
      </c>
      <c r="C1062" s="6" t="s">
        <v>2793</v>
      </c>
      <c r="D1062" s="7">
        <v>0.75972222222222219</v>
      </c>
      <c r="E1062" s="6" t="s">
        <v>16</v>
      </c>
      <c r="F1062" s="6" t="s">
        <v>425</v>
      </c>
      <c r="G1062" s="4">
        <v>38069</v>
      </c>
      <c r="H1062" s="6" t="s">
        <v>145</v>
      </c>
      <c r="I1062">
        <v>263</v>
      </c>
      <c r="J1062">
        <v>1</v>
      </c>
      <c r="K1062">
        <v>264</v>
      </c>
      <c r="L1062" s="6" t="s">
        <v>41</v>
      </c>
      <c r="M1062" s="6" t="s">
        <v>37</v>
      </c>
      <c r="N1062" s="6" t="s">
        <v>48</v>
      </c>
    </row>
    <row r="1063" spans="1:14" x14ac:dyDescent="0.25">
      <c r="A1063" s="6" t="s">
        <v>1638</v>
      </c>
      <c r="B1063" s="4">
        <v>45700</v>
      </c>
      <c r="C1063" s="6" t="s">
        <v>2799</v>
      </c>
      <c r="D1063" s="7">
        <v>0.73124999999999996</v>
      </c>
      <c r="E1063" s="6" t="s">
        <v>16</v>
      </c>
      <c r="F1063" s="6" t="s">
        <v>95</v>
      </c>
      <c r="G1063" s="4">
        <v>36748</v>
      </c>
      <c r="H1063" s="6" t="s">
        <v>145</v>
      </c>
      <c r="I1063">
        <v>137</v>
      </c>
      <c r="J1063">
        <v>1</v>
      </c>
      <c r="K1063">
        <v>138</v>
      </c>
      <c r="L1063" s="6" t="s">
        <v>19</v>
      </c>
      <c r="M1063" s="6" t="s">
        <v>26</v>
      </c>
      <c r="N1063" s="6" t="s">
        <v>21</v>
      </c>
    </row>
    <row r="1064" spans="1:14" x14ac:dyDescent="0.25">
      <c r="A1064" s="6" t="s">
        <v>1639</v>
      </c>
      <c r="B1064" s="4">
        <v>45855</v>
      </c>
      <c r="C1064" s="6" t="s">
        <v>2795</v>
      </c>
      <c r="D1064" s="7">
        <v>0.75069444444444444</v>
      </c>
      <c r="E1064" s="6" t="s">
        <v>16</v>
      </c>
      <c r="F1064" s="6" t="s">
        <v>434</v>
      </c>
      <c r="G1064" s="4">
        <v>37697</v>
      </c>
      <c r="H1064" s="6" t="s">
        <v>73</v>
      </c>
      <c r="I1064">
        <v>43</v>
      </c>
      <c r="J1064">
        <v>3</v>
      </c>
      <c r="K1064">
        <v>131</v>
      </c>
      <c r="L1064" s="6" t="s">
        <v>41</v>
      </c>
      <c r="M1064" s="6" t="s">
        <v>55</v>
      </c>
      <c r="N1064" s="6" t="s">
        <v>21</v>
      </c>
    </row>
    <row r="1065" spans="1:14" x14ac:dyDescent="0.25">
      <c r="A1065" s="6" t="s">
        <v>1640</v>
      </c>
      <c r="B1065" s="4">
        <v>45777</v>
      </c>
      <c r="C1065" s="6" t="s">
        <v>2801</v>
      </c>
      <c r="D1065" s="7">
        <v>0.91527777777777775</v>
      </c>
      <c r="E1065" s="6" t="s">
        <v>16</v>
      </c>
      <c r="F1065" s="6" t="s">
        <v>206</v>
      </c>
      <c r="G1065" s="4">
        <v>28676</v>
      </c>
      <c r="H1065" s="6" t="s">
        <v>110</v>
      </c>
      <c r="I1065">
        <v>129</v>
      </c>
      <c r="J1065">
        <v>2</v>
      </c>
      <c r="K1065">
        <v>259</v>
      </c>
      <c r="L1065" s="6" t="s">
        <v>19</v>
      </c>
      <c r="M1065" s="6" t="s">
        <v>37</v>
      </c>
      <c r="N1065" s="6" t="s">
        <v>74</v>
      </c>
    </row>
    <row r="1066" spans="1:14" x14ac:dyDescent="0.25">
      <c r="A1066" s="6" t="s">
        <v>1641</v>
      </c>
      <c r="B1066" s="4">
        <v>45773</v>
      </c>
      <c r="C1066" s="6" t="s">
        <v>2801</v>
      </c>
      <c r="D1066" s="7">
        <v>0.59513888888888888</v>
      </c>
      <c r="E1066" s="6" t="s">
        <v>16</v>
      </c>
      <c r="F1066" s="6" t="s">
        <v>370</v>
      </c>
      <c r="G1066" s="4">
        <v>36582</v>
      </c>
      <c r="H1066" s="6" t="s">
        <v>213</v>
      </c>
      <c r="I1066">
        <v>163</v>
      </c>
      <c r="J1066">
        <v>1</v>
      </c>
      <c r="K1066">
        <v>164</v>
      </c>
      <c r="L1066" s="6" t="s">
        <v>2787</v>
      </c>
      <c r="M1066" s="6" t="s">
        <v>89</v>
      </c>
      <c r="N1066" s="6" t="s">
        <v>74</v>
      </c>
    </row>
    <row r="1067" spans="1:14" x14ac:dyDescent="0.25">
      <c r="A1067" s="6" t="s">
        <v>1642</v>
      </c>
      <c r="B1067" s="4">
        <v>45803</v>
      </c>
      <c r="C1067" s="6" t="s">
        <v>2792</v>
      </c>
      <c r="D1067" s="7">
        <v>0.98315972222222225</v>
      </c>
      <c r="E1067" s="6" t="s">
        <v>16</v>
      </c>
      <c r="F1067" s="6" t="s">
        <v>494</v>
      </c>
      <c r="G1067" s="4">
        <v>27623</v>
      </c>
      <c r="H1067" s="6" t="s">
        <v>104</v>
      </c>
      <c r="I1067">
        <v>259</v>
      </c>
      <c r="J1067">
        <v>1</v>
      </c>
      <c r="K1067">
        <v>260</v>
      </c>
      <c r="L1067" s="6" t="s">
        <v>54</v>
      </c>
      <c r="M1067" s="6" t="s">
        <v>47</v>
      </c>
      <c r="N1067" s="6" t="s">
        <v>33</v>
      </c>
    </row>
    <row r="1068" spans="1:14" x14ac:dyDescent="0.25">
      <c r="A1068" s="6" t="s">
        <v>1643</v>
      </c>
      <c r="B1068" s="4">
        <v>45677</v>
      </c>
      <c r="C1068" s="6" t="s">
        <v>2794</v>
      </c>
      <c r="D1068" s="7">
        <v>0.58030092592592597</v>
      </c>
      <c r="E1068" s="6" t="s">
        <v>16</v>
      </c>
      <c r="F1068" s="6" t="s">
        <v>545</v>
      </c>
      <c r="G1068" s="4">
        <v>25703</v>
      </c>
      <c r="H1068" s="6" t="s">
        <v>213</v>
      </c>
      <c r="I1068">
        <v>270</v>
      </c>
      <c r="J1068">
        <v>2</v>
      </c>
      <c r="K1068">
        <v>542</v>
      </c>
      <c r="L1068" s="6" t="s">
        <v>19</v>
      </c>
      <c r="M1068" s="6" t="s">
        <v>20</v>
      </c>
      <c r="N1068" s="6" t="s">
        <v>105</v>
      </c>
    </row>
    <row r="1069" spans="1:14" x14ac:dyDescent="0.25">
      <c r="A1069" s="6" t="s">
        <v>1644</v>
      </c>
      <c r="B1069" s="4">
        <v>45618</v>
      </c>
      <c r="C1069" s="6" t="s">
        <v>2802</v>
      </c>
      <c r="D1069" s="7">
        <v>0.69791666666666663</v>
      </c>
      <c r="E1069" s="6" t="s">
        <v>16</v>
      </c>
      <c r="F1069" s="6" t="s">
        <v>377</v>
      </c>
      <c r="G1069" s="4">
        <v>38050</v>
      </c>
      <c r="H1069" s="6" t="s">
        <v>116</v>
      </c>
      <c r="I1069">
        <v>129</v>
      </c>
      <c r="J1069">
        <v>1</v>
      </c>
      <c r="K1069">
        <v>130</v>
      </c>
      <c r="L1069" s="6" t="s">
        <v>19</v>
      </c>
      <c r="M1069" s="6" t="s">
        <v>20</v>
      </c>
      <c r="N1069" s="6" t="s">
        <v>27</v>
      </c>
    </row>
    <row r="1070" spans="1:14" x14ac:dyDescent="0.25">
      <c r="A1070" s="6" t="s">
        <v>1646</v>
      </c>
      <c r="B1070" s="4">
        <v>45956</v>
      </c>
      <c r="C1070" s="6" t="s">
        <v>2791</v>
      </c>
      <c r="D1070" s="7">
        <v>0.6958333333333333</v>
      </c>
      <c r="E1070" s="6" t="s">
        <v>16</v>
      </c>
      <c r="F1070" s="6" t="s">
        <v>158</v>
      </c>
      <c r="G1070" s="4">
        <v>29685</v>
      </c>
      <c r="H1070" s="6" t="s">
        <v>60</v>
      </c>
      <c r="I1070">
        <v>167</v>
      </c>
      <c r="J1070">
        <v>1</v>
      </c>
      <c r="K1070">
        <v>168</v>
      </c>
      <c r="L1070" s="6" t="s">
        <v>54</v>
      </c>
      <c r="M1070" s="6" t="s">
        <v>20</v>
      </c>
      <c r="N1070" s="6" t="s">
        <v>33</v>
      </c>
    </row>
    <row r="1071" spans="1:14" x14ac:dyDescent="0.25">
      <c r="A1071" s="6" t="s">
        <v>1648</v>
      </c>
      <c r="B1071" s="4">
        <v>45856</v>
      </c>
      <c r="C1071" s="6" t="s">
        <v>2795</v>
      </c>
      <c r="D1071" s="7">
        <v>0.7416666666666667</v>
      </c>
      <c r="E1071" s="6" t="s">
        <v>16</v>
      </c>
      <c r="F1071" s="6" t="s">
        <v>158</v>
      </c>
      <c r="G1071" s="4">
        <v>34475</v>
      </c>
      <c r="H1071" s="6" t="s">
        <v>40</v>
      </c>
      <c r="I1071">
        <v>215</v>
      </c>
      <c r="J1071">
        <v>1</v>
      </c>
      <c r="K1071">
        <v>216</v>
      </c>
      <c r="L1071" s="6" t="s">
        <v>19</v>
      </c>
      <c r="M1071" s="6" t="s">
        <v>47</v>
      </c>
      <c r="N1071" s="6" t="s">
        <v>74</v>
      </c>
    </row>
    <row r="1072" spans="1:14" x14ac:dyDescent="0.25">
      <c r="A1072" s="6" t="s">
        <v>1649</v>
      </c>
      <c r="B1072" s="4">
        <v>45716</v>
      </c>
      <c r="C1072" s="6" t="s">
        <v>2799</v>
      </c>
      <c r="D1072" s="7">
        <v>0.65</v>
      </c>
      <c r="E1072" s="6" t="s">
        <v>16</v>
      </c>
      <c r="F1072" s="6" t="s">
        <v>187</v>
      </c>
      <c r="G1072" s="4">
        <v>36750</v>
      </c>
      <c r="H1072" s="6" t="s">
        <v>164</v>
      </c>
      <c r="I1072">
        <v>297</v>
      </c>
      <c r="J1072">
        <v>3</v>
      </c>
      <c r="K1072">
        <v>891</v>
      </c>
      <c r="L1072" s="6" t="s">
        <v>41</v>
      </c>
      <c r="M1072" s="6" t="s">
        <v>20</v>
      </c>
      <c r="N1072" s="6" t="s">
        <v>74</v>
      </c>
    </row>
    <row r="1073" spans="1:14" x14ac:dyDescent="0.25">
      <c r="A1073" s="6" t="s">
        <v>1650</v>
      </c>
      <c r="B1073" s="4">
        <v>45683</v>
      </c>
      <c r="C1073" s="6" t="s">
        <v>2794</v>
      </c>
      <c r="D1073" s="7">
        <v>0.86910879629629634</v>
      </c>
      <c r="E1073" s="6" t="s">
        <v>16</v>
      </c>
      <c r="F1073" s="6" t="s">
        <v>690</v>
      </c>
      <c r="G1073" s="4">
        <v>36750</v>
      </c>
      <c r="H1073" s="6" t="s">
        <v>141</v>
      </c>
      <c r="I1073">
        <v>119</v>
      </c>
      <c r="J1073">
        <v>3</v>
      </c>
      <c r="K1073">
        <v>307</v>
      </c>
      <c r="L1073" s="6" t="s">
        <v>41</v>
      </c>
      <c r="M1073" s="6" t="s">
        <v>26</v>
      </c>
      <c r="N1073" s="6" t="s">
        <v>74</v>
      </c>
    </row>
    <row r="1074" spans="1:14" x14ac:dyDescent="0.25">
      <c r="A1074" s="6" t="s">
        <v>1651</v>
      </c>
      <c r="B1074" s="4">
        <v>45745</v>
      </c>
      <c r="C1074" s="6" t="s">
        <v>2798</v>
      </c>
      <c r="D1074" s="7">
        <v>0.62013888888888891</v>
      </c>
      <c r="E1074" s="6" t="s">
        <v>16</v>
      </c>
      <c r="F1074" s="6" t="s">
        <v>360</v>
      </c>
      <c r="G1074" s="4">
        <v>36750</v>
      </c>
      <c r="H1074" s="6" t="s">
        <v>243</v>
      </c>
      <c r="I1074">
        <v>144</v>
      </c>
      <c r="J1074">
        <v>2</v>
      </c>
      <c r="K1074">
        <v>290</v>
      </c>
      <c r="L1074" s="6" t="s">
        <v>67</v>
      </c>
      <c r="M1074" s="6" t="s">
        <v>61</v>
      </c>
      <c r="N1074" s="6" t="s">
        <v>27</v>
      </c>
    </row>
    <row r="1075" spans="1:14" x14ac:dyDescent="0.25">
      <c r="A1075" s="6" t="s">
        <v>1652</v>
      </c>
      <c r="B1075" s="4">
        <v>45838</v>
      </c>
      <c r="C1075" s="6" t="s">
        <v>2800</v>
      </c>
      <c r="D1075" s="7">
        <v>0.43300925925925926</v>
      </c>
      <c r="E1075" s="6" t="s">
        <v>16</v>
      </c>
      <c r="F1075" s="6" t="s">
        <v>360</v>
      </c>
      <c r="G1075" s="4">
        <v>31948</v>
      </c>
      <c r="H1075" s="6" t="s">
        <v>36</v>
      </c>
      <c r="I1075">
        <v>96</v>
      </c>
      <c r="J1075">
        <v>3</v>
      </c>
      <c r="K1075">
        <v>290</v>
      </c>
      <c r="L1075" s="6" t="s">
        <v>67</v>
      </c>
      <c r="M1075" s="6" t="s">
        <v>47</v>
      </c>
      <c r="N1075" s="6" t="s">
        <v>27</v>
      </c>
    </row>
    <row r="1076" spans="1:14" x14ac:dyDescent="0.25">
      <c r="A1076" s="6" t="s">
        <v>1653</v>
      </c>
      <c r="B1076" s="4">
        <v>45838</v>
      </c>
      <c r="C1076" s="6" t="s">
        <v>2800</v>
      </c>
      <c r="D1076" s="7">
        <v>0.81078703703703703</v>
      </c>
      <c r="E1076" s="6" t="s">
        <v>16</v>
      </c>
      <c r="F1076" s="6" t="s">
        <v>191</v>
      </c>
      <c r="G1076" s="4">
        <v>38558</v>
      </c>
      <c r="H1076" s="6" t="s">
        <v>30</v>
      </c>
      <c r="I1076">
        <v>315</v>
      </c>
      <c r="J1076">
        <v>1</v>
      </c>
      <c r="K1076">
        <v>315</v>
      </c>
      <c r="L1076" s="6" t="s">
        <v>41</v>
      </c>
      <c r="M1076" s="6" t="s">
        <v>89</v>
      </c>
      <c r="N1076" s="6" t="s">
        <v>48</v>
      </c>
    </row>
    <row r="1077" spans="1:14" x14ac:dyDescent="0.25">
      <c r="A1077" s="6" t="s">
        <v>1654</v>
      </c>
      <c r="B1077" s="4">
        <v>45871</v>
      </c>
      <c r="C1077" s="6" t="s">
        <v>2793</v>
      </c>
      <c r="D1077" s="7">
        <v>0.54827546296296292</v>
      </c>
      <c r="E1077" s="6" t="s">
        <v>16</v>
      </c>
      <c r="F1077" s="6" t="s">
        <v>187</v>
      </c>
      <c r="G1077" s="4">
        <v>33890</v>
      </c>
      <c r="H1077" s="6" t="s">
        <v>53</v>
      </c>
      <c r="I1077">
        <v>108</v>
      </c>
      <c r="J1077">
        <v>1</v>
      </c>
      <c r="K1077">
        <v>109</v>
      </c>
      <c r="L1077" s="6" t="s">
        <v>2787</v>
      </c>
      <c r="M1077" s="6" t="s">
        <v>32</v>
      </c>
      <c r="N1077" s="6" t="s">
        <v>105</v>
      </c>
    </row>
    <row r="1078" spans="1:14" x14ac:dyDescent="0.25">
      <c r="A1078" s="6" t="s">
        <v>1656</v>
      </c>
      <c r="B1078" s="4">
        <v>45943</v>
      </c>
      <c r="C1078" s="6" t="s">
        <v>2791</v>
      </c>
      <c r="D1078" s="7">
        <v>0.93281250000000004</v>
      </c>
      <c r="E1078" s="6" t="s">
        <v>16</v>
      </c>
      <c r="F1078" s="6" t="s">
        <v>1657</v>
      </c>
      <c r="G1078" s="4">
        <v>32108</v>
      </c>
      <c r="H1078" s="6" t="s">
        <v>129</v>
      </c>
      <c r="I1078">
        <v>214</v>
      </c>
      <c r="J1078">
        <v>2</v>
      </c>
      <c r="K1078">
        <v>428</v>
      </c>
      <c r="L1078" s="6" t="s">
        <v>67</v>
      </c>
      <c r="M1078" s="6" t="s">
        <v>47</v>
      </c>
      <c r="N1078" s="6" t="s">
        <v>105</v>
      </c>
    </row>
    <row r="1079" spans="1:14" x14ac:dyDescent="0.25">
      <c r="A1079" s="6" t="s">
        <v>1658</v>
      </c>
      <c r="B1079" s="4">
        <v>45807</v>
      </c>
      <c r="C1079" s="6" t="s">
        <v>2792</v>
      </c>
      <c r="D1079" s="7">
        <v>0.53194444444444444</v>
      </c>
      <c r="E1079" s="6" t="s">
        <v>16</v>
      </c>
      <c r="F1079" s="6" t="s">
        <v>84</v>
      </c>
      <c r="G1079" s="4">
        <v>33584</v>
      </c>
      <c r="H1079" s="6" t="s">
        <v>18</v>
      </c>
      <c r="I1079">
        <v>90</v>
      </c>
      <c r="J1079">
        <v>1</v>
      </c>
      <c r="K1079">
        <v>90</v>
      </c>
      <c r="L1079" s="6" t="s">
        <v>54</v>
      </c>
      <c r="M1079" s="6" t="s">
        <v>32</v>
      </c>
      <c r="N1079" s="6" t="s">
        <v>21</v>
      </c>
    </row>
    <row r="1080" spans="1:14" x14ac:dyDescent="0.25">
      <c r="A1080" s="6" t="s">
        <v>1659</v>
      </c>
      <c r="B1080" s="4">
        <v>45640</v>
      </c>
      <c r="C1080" s="6" t="s">
        <v>2796</v>
      </c>
      <c r="D1080" s="7">
        <v>0.68263888888888891</v>
      </c>
      <c r="E1080" s="6" t="s">
        <v>16</v>
      </c>
      <c r="F1080" s="6" t="s">
        <v>189</v>
      </c>
      <c r="G1080" s="4">
        <v>30084</v>
      </c>
      <c r="H1080" s="6" t="s">
        <v>73</v>
      </c>
      <c r="I1080">
        <v>50</v>
      </c>
      <c r="J1080">
        <v>3</v>
      </c>
      <c r="K1080">
        <v>153</v>
      </c>
      <c r="L1080" s="6" t="s">
        <v>41</v>
      </c>
      <c r="M1080" s="6" t="s">
        <v>55</v>
      </c>
      <c r="N1080" s="6" t="s">
        <v>48</v>
      </c>
    </row>
    <row r="1081" spans="1:14" x14ac:dyDescent="0.25">
      <c r="A1081" s="6" t="s">
        <v>1660</v>
      </c>
      <c r="B1081" s="4">
        <v>45652</v>
      </c>
      <c r="C1081" s="6" t="s">
        <v>2796</v>
      </c>
      <c r="D1081" s="7">
        <v>0.42476851851851855</v>
      </c>
      <c r="E1081" s="6" t="s">
        <v>16</v>
      </c>
      <c r="F1081" s="6" t="s">
        <v>594</v>
      </c>
      <c r="G1081" s="4">
        <v>39603</v>
      </c>
      <c r="H1081" s="6" t="s">
        <v>60</v>
      </c>
      <c r="I1081">
        <v>181</v>
      </c>
      <c r="J1081">
        <v>2</v>
      </c>
      <c r="K1081">
        <v>363</v>
      </c>
      <c r="L1081" s="6" t="s">
        <v>2787</v>
      </c>
      <c r="M1081" s="6" t="s">
        <v>61</v>
      </c>
      <c r="N1081" s="6" t="s">
        <v>48</v>
      </c>
    </row>
    <row r="1082" spans="1:14" x14ac:dyDescent="0.25">
      <c r="A1082" s="6" t="s">
        <v>1661</v>
      </c>
      <c r="B1082" s="4">
        <v>45919</v>
      </c>
      <c r="C1082" s="6" t="s">
        <v>2797</v>
      </c>
      <c r="D1082" s="7">
        <v>0.45275462962962965</v>
      </c>
      <c r="E1082" s="6" t="s">
        <v>16</v>
      </c>
      <c r="F1082" s="6" t="s">
        <v>128</v>
      </c>
      <c r="G1082" s="4">
        <v>36184</v>
      </c>
      <c r="H1082" s="6" t="s">
        <v>116</v>
      </c>
      <c r="I1082">
        <v>255</v>
      </c>
      <c r="J1082">
        <v>2</v>
      </c>
      <c r="K1082">
        <v>512</v>
      </c>
      <c r="L1082" s="6" t="s">
        <v>19</v>
      </c>
      <c r="M1082" s="6" t="s">
        <v>37</v>
      </c>
      <c r="N1082" s="6" t="s">
        <v>33</v>
      </c>
    </row>
    <row r="1083" spans="1:14" x14ac:dyDescent="0.25">
      <c r="A1083" s="6" t="s">
        <v>1662</v>
      </c>
      <c r="B1083" s="4">
        <v>45868</v>
      </c>
      <c r="C1083" s="6" t="s">
        <v>2795</v>
      </c>
      <c r="D1083" s="7">
        <v>0.82013888888888886</v>
      </c>
      <c r="E1083" s="6" t="s">
        <v>16</v>
      </c>
      <c r="F1083" s="6" t="s">
        <v>528</v>
      </c>
      <c r="G1083" s="4">
        <v>31273</v>
      </c>
      <c r="H1083" s="6" t="s">
        <v>116</v>
      </c>
      <c r="I1083">
        <v>111</v>
      </c>
      <c r="J1083">
        <v>2</v>
      </c>
      <c r="L1083" s="6" t="s">
        <v>41</v>
      </c>
      <c r="M1083" s="6" t="s">
        <v>89</v>
      </c>
      <c r="N1083" s="6" t="s">
        <v>105</v>
      </c>
    </row>
    <row r="1084" spans="1:14" x14ac:dyDescent="0.25">
      <c r="A1084" s="6" t="s">
        <v>1665</v>
      </c>
      <c r="B1084" s="4">
        <v>45870</v>
      </c>
      <c r="C1084" s="6" t="s">
        <v>2793</v>
      </c>
      <c r="D1084" s="7">
        <v>0.75902777777777775</v>
      </c>
      <c r="E1084" s="6" t="s">
        <v>16</v>
      </c>
      <c r="F1084" s="6" t="s">
        <v>225</v>
      </c>
      <c r="G1084" s="4">
        <v>31273</v>
      </c>
      <c r="H1084" s="6" t="s">
        <v>110</v>
      </c>
      <c r="I1084">
        <v>115</v>
      </c>
      <c r="J1084">
        <v>1</v>
      </c>
      <c r="K1084">
        <v>116</v>
      </c>
      <c r="L1084" s="6" t="s">
        <v>41</v>
      </c>
      <c r="M1084" s="6" t="s">
        <v>61</v>
      </c>
      <c r="N1084" s="6" t="s">
        <v>27</v>
      </c>
    </row>
    <row r="1085" spans="1:14" x14ac:dyDescent="0.25">
      <c r="A1085" s="6" t="s">
        <v>1667</v>
      </c>
      <c r="B1085" s="4">
        <v>45880</v>
      </c>
      <c r="C1085" s="6" t="s">
        <v>2793</v>
      </c>
      <c r="D1085" s="7">
        <v>0.54716435185185186</v>
      </c>
      <c r="E1085" s="6" t="s">
        <v>16</v>
      </c>
      <c r="F1085" s="6" t="s">
        <v>237</v>
      </c>
      <c r="G1085" s="4">
        <v>34462</v>
      </c>
      <c r="H1085" s="6" t="s">
        <v>110</v>
      </c>
      <c r="I1085">
        <v>139</v>
      </c>
      <c r="J1085">
        <v>1</v>
      </c>
      <c r="K1085">
        <v>140</v>
      </c>
      <c r="L1085" s="6" t="s">
        <v>54</v>
      </c>
      <c r="M1085" s="6" t="s">
        <v>61</v>
      </c>
      <c r="N1085" s="6" t="s">
        <v>56</v>
      </c>
    </row>
    <row r="1086" spans="1:14" x14ac:dyDescent="0.25">
      <c r="A1086" s="6" t="s">
        <v>1668</v>
      </c>
      <c r="B1086" s="4">
        <v>45880</v>
      </c>
      <c r="C1086" s="6" t="s">
        <v>2793</v>
      </c>
      <c r="D1086" s="7">
        <v>0.91111111111111109</v>
      </c>
      <c r="E1086" s="6" t="s">
        <v>16</v>
      </c>
      <c r="F1086" s="6" t="s">
        <v>107</v>
      </c>
      <c r="G1086" s="4">
        <v>34035</v>
      </c>
      <c r="H1086" s="6" t="s">
        <v>53</v>
      </c>
      <c r="I1086">
        <v>89</v>
      </c>
      <c r="J1086">
        <v>1</v>
      </c>
      <c r="K1086">
        <v>90</v>
      </c>
      <c r="L1086" s="6" t="s">
        <v>19</v>
      </c>
      <c r="M1086" s="6" t="s">
        <v>89</v>
      </c>
      <c r="N1086" s="6" t="s">
        <v>105</v>
      </c>
    </row>
    <row r="1087" spans="1:14" x14ac:dyDescent="0.25">
      <c r="A1087" s="6" t="s">
        <v>1670</v>
      </c>
      <c r="B1087" s="4">
        <v>45880</v>
      </c>
      <c r="C1087" s="6" t="s">
        <v>2793</v>
      </c>
      <c r="D1087" s="7">
        <v>0.82013888888888886</v>
      </c>
      <c r="E1087" s="6" t="s">
        <v>16</v>
      </c>
      <c r="F1087" s="6" t="s">
        <v>173</v>
      </c>
      <c r="G1087" s="4">
        <v>29905</v>
      </c>
      <c r="H1087" s="6" t="s">
        <v>30</v>
      </c>
      <c r="I1087">
        <v>89</v>
      </c>
      <c r="J1087">
        <v>3</v>
      </c>
      <c r="K1087">
        <v>90</v>
      </c>
      <c r="L1087" s="6" t="s">
        <v>41</v>
      </c>
      <c r="M1087" s="6" t="s">
        <v>55</v>
      </c>
      <c r="N1087" s="6" t="s">
        <v>74</v>
      </c>
    </row>
    <row r="1088" spans="1:14" x14ac:dyDescent="0.25">
      <c r="A1088" s="6" t="s">
        <v>1671</v>
      </c>
      <c r="B1088" s="4">
        <v>45881</v>
      </c>
      <c r="C1088" s="6" t="s">
        <v>2793</v>
      </c>
      <c r="D1088" s="7">
        <v>0.60624999999999996</v>
      </c>
      <c r="E1088" s="6" t="s">
        <v>16</v>
      </c>
      <c r="F1088" s="6" t="s">
        <v>258</v>
      </c>
      <c r="G1088" s="4">
        <v>26825</v>
      </c>
      <c r="H1088" s="6" t="s">
        <v>85</v>
      </c>
      <c r="I1088">
        <v>45</v>
      </c>
      <c r="J1088">
        <v>2</v>
      </c>
      <c r="K1088">
        <v>91</v>
      </c>
      <c r="L1088" s="6" t="s">
        <v>19</v>
      </c>
      <c r="M1088" s="6" t="s">
        <v>32</v>
      </c>
      <c r="N1088" s="6" t="s">
        <v>21</v>
      </c>
    </row>
    <row r="1089" spans="1:14" x14ac:dyDescent="0.25">
      <c r="A1089" s="6" t="s">
        <v>1672</v>
      </c>
      <c r="B1089" s="4">
        <v>45891</v>
      </c>
      <c r="C1089" s="6" t="s">
        <v>2793</v>
      </c>
      <c r="D1089" s="7">
        <v>0.98819444444444449</v>
      </c>
      <c r="E1089" s="6" t="s">
        <v>16</v>
      </c>
      <c r="F1089" s="6" t="s">
        <v>328</v>
      </c>
      <c r="G1089" s="4">
        <v>39261</v>
      </c>
      <c r="H1089" s="6" t="s">
        <v>36</v>
      </c>
      <c r="I1089">
        <v>296</v>
      </c>
      <c r="J1089">
        <v>3</v>
      </c>
      <c r="K1089">
        <v>888</v>
      </c>
      <c r="L1089" s="6" t="s">
        <v>19</v>
      </c>
      <c r="M1089" s="6" t="s">
        <v>89</v>
      </c>
      <c r="N1089" s="6" t="s">
        <v>48</v>
      </c>
    </row>
    <row r="1090" spans="1:14" x14ac:dyDescent="0.25">
      <c r="A1090" s="6" t="s">
        <v>1673</v>
      </c>
      <c r="B1090" s="4">
        <v>45873</v>
      </c>
      <c r="C1090" s="6" t="s">
        <v>2793</v>
      </c>
      <c r="D1090" s="7">
        <v>0.86875000000000002</v>
      </c>
      <c r="E1090" s="6" t="s">
        <v>16</v>
      </c>
      <c r="F1090" s="6" t="s">
        <v>76</v>
      </c>
      <c r="G1090" s="4">
        <v>28487</v>
      </c>
      <c r="H1090" s="6" t="s">
        <v>73</v>
      </c>
      <c r="I1090">
        <v>50</v>
      </c>
      <c r="J1090">
        <v>2</v>
      </c>
      <c r="K1090">
        <v>100</v>
      </c>
      <c r="L1090" s="6" t="s">
        <v>19</v>
      </c>
      <c r="M1090" s="6" t="s">
        <v>47</v>
      </c>
      <c r="N1090" s="6" t="s">
        <v>56</v>
      </c>
    </row>
    <row r="1091" spans="1:14" x14ac:dyDescent="0.25">
      <c r="A1091" s="6" t="s">
        <v>1675</v>
      </c>
      <c r="B1091" s="4">
        <v>45787</v>
      </c>
      <c r="C1091" s="6" t="s">
        <v>2792</v>
      </c>
      <c r="D1091" s="7">
        <v>0.9604166666666667</v>
      </c>
      <c r="E1091" s="6" t="s">
        <v>16</v>
      </c>
      <c r="F1091" s="6" t="s">
        <v>35</v>
      </c>
      <c r="G1091" s="4">
        <v>32745</v>
      </c>
      <c r="H1091" s="6" t="s">
        <v>40</v>
      </c>
      <c r="I1091">
        <v>177</v>
      </c>
      <c r="J1091">
        <v>1</v>
      </c>
      <c r="K1091">
        <v>177</v>
      </c>
      <c r="L1091" s="6" t="s">
        <v>54</v>
      </c>
      <c r="M1091" s="6" t="s">
        <v>55</v>
      </c>
      <c r="N1091" s="6" t="s">
        <v>56</v>
      </c>
    </row>
    <row r="1092" spans="1:14" x14ac:dyDescent="0.25">
      <c r="A1092" s="6" t="s">
        <v>1676</v>
      </c>
      <c r="B1092" s="4">
        <v>45648</v>
      </c>
      <c r="C1092" s="6" t="s">
        <v>2796</v>
      </c>
      <c r="D1092" s="7">
        <v>0.65138888888888891</v>
      </c>
      <c r="E1092" s="6" t="s">
        <v>16</v>
      </c>
      <c r="F1092" s="6" t="s">
        <v>118</v>
      </c>
      <c r="G1092" s="4">
        <v>31774</v>
      </c>
      <c r="H1092" s="6" t="s">
        <v>213</v>
      </c>
      <c r="I1092">
        <v>282</v>
      </c>
      <c r="J1092">
        <v>2</v>
      </c>
      <c r="K1092">
        <v>566</v>
      </c>
      <c r="L1092" s="6" t="s">
        <v>54</v>
      </c>
      <c r="M1092" s="6" t="s">
        <v>20</v>
      </c>
      <c r="N1092" s="6" t="s">
        <v>48</v>
      </c>
    </row>
    <row r="1093" spans="1:14" x14ac:dyDescent="0.25">
      <c r="A1093" s="6" t="s">
        <v>1677</v>
      </c>
      <c r="B1093" s="4">
        <v>45680</v>
      </c>
      <c r="C1093" s="6" t="s">
        <v>2794</v>
      </c>
      <c r="D1093" s="7">
        <v>0.71508101851851846</v>
      </c>
      <c r="E1093" s="6" t="s">
        <v>16</v>
      </c>
      <c r="F1093" s="6" t="s">
        <v>520</v>
      </c>
      <c r="G1093" s="4">
        <v>32298</v>
      </c>
      <c r="H1093" s="6" t="s">
        <v>24</v>
      </c>
      <c r="I1093">
        <v>224</v>
      </c>
      <c r="J1093">
        <v>2</v>
      </c>
      <c r="K1093">
        <v>449</v>
      </c>
      <c r="L1093" s="6" t="s">
        <v>19</v>
      </c>
      <c r="M1093" s="6" t="s">
        <v>20</v>
      </c>
      <c r="N1093" s="6" t="s">
        <v>48</v>
      </c>
    </row>
    <row r="1094" spans="1:14" x14ac:dyDescent="0.25">
      <c r="A1094" s="6" t="s">
        <v>1678</v>
      </c>
      <c r="B1094" s="4">
        <v>45956</v>
      </c>
      <c r="C1094" s="6" t="s">
        <v>2791</v>
      </c>
      <c r="D1094" s="7">
        <v>0.958125</v>
      </c>
      <c r="E1094" s="6" t="s">
        <v>16</v>
      </c>
      <c r="F1094" s="6" t="s">
        <v>131</v>
      </c>
      <c r="G1094" s="4">
        <v>32298</v>
      </c>
      <c r="H1094" s="6" t="s">
        <v>213</v>
      </c>
      <c r="I1094">
        <v>202</v>
      </c>
      <c r="J1094">
        <v>2</v>
      </c>
      <c r="K1094">
        <v>405</v>
      </c>
      <c r="L1094" s="6" t="s">
        <v>19</v>
      </c>
      <c r="M1094" s="6" t="s">
        <v>32</v>
      </c>
      <c r="N1094" s="6" t="s">
        <v>48</v>
      </c>
    </row>
    <row r="1095" spans="1:14" x14ac:dyDescent="0.25">
      <c r="A1095" s="6" t="s">
        <v>1680</v>
      </c>
      <c r="B1095" s="4">
        <v>45903</v>
      </c>
      <c r="C1095" s="6" t="s">
        <v>2797</v>
      </c>
      <c r="D1095" s="7">
        <v>0.4861111111111111</v>
      </c>
      <c r="E1095" s="6" t="s">
        <v>16</v>
      </c>
      <c r="F1095" s="6" t="s">
        <v>387</v>
      </c>
      <c r="G1095" s="4">
        <v>34359</v>
      </c>
      <c r="H1095" s="6" t="s">
        <v>24</v>
      </c>
      <c r="I1095">
        <v>243</v>
      </c>
      <c r="J1095">
        <v>1</v>
      </c>
      <c r="K1095">
        <v>241</v>
      </c>
      <c r="L1095" s="6" t="s">
        <v>67</v>
      </c>
      <c r="M1095" s="6" t="s">
        <v>26</v>
      </c>
      <c r="N1095" s="6" t="s">
        <v>21</v>
      </c>
    </row>
    <row r="1096" spans="1:14" x14ac:dyDescent="0.25">
      <c r="A1096" s="6" t="s">
        <v>1681</v>
      </c>
      <c r="B1096" s="4">
        <v>45672</v>
      </c>
      <c r="C1096" s="6" t="s">
        <v>2794</v>
      </c>
      <c r="D1096" s="7">
        <v>0.50150462962962961</v>
      </c>
      <c r="E1096" s="6" t="s">
        <v>16</v>
      </c>
      <c r="F1096" s="6" t="s">
        <v>1126</v>
      </c>
      <c r="G1096" s="4">
        <v>31388</v>
      </c>
      <c r="H1096" s="6" t="s">
        <v>36</v>
      </c>
      <c r="I1096">
        <v>215</v>
      </c>
      <c r="J1096">
        <v>3</v>
      </c>
      <c r="K1096">
        <v>645</v>
      </c>
      <c r="L1096" s="6" t="s">
        <v>2787</v>
      </c>
      <c r="M1096" s="6" t="s">
        <v>61</v>
      </c>
      <c r="N1096" s="6" t="s">
        <v>21</v>
      </c>
    </row>
    <row r="1097" spans="1:14" x14ac:dyDescent="0.25">
      <c r="A1097" s="6" t="s">
        <v>1682</v>
      </c>
      <c r="B1097" s="4">
        <v>45667</v>
      </c>
      <c r="C1097" s="6" t="s">
        <v>2794</v>
      </c>
      <c r="D1097" s="7">
        <v>0.93642361111111116</v>
      </c>
      <c r="E1097" s="6" t="s">
        <v>16</v>
      </c>
      <c r="F1097" s="6" t="s">
        <v>434</v>
      </c>
      <c r="G1097" s="4">
        <v>25819</v>
      </c>
      <c r="H1097" s="6" t="s">
        <v>73</v>
      </c>
      <c r="I1097">
        <v>41</v>
      </c>
      <c r="J1097">
        <v>3</v>
      </c>
      <c r="K1097">
        <v>126</v>
      </c>
      <c r="L1097" s="6" t="s">
        <v>41</v>
      </c>
      <c r="M1097" s="6" t="s">
        <v>61</v>
      </c>
      <c r="N1097" s="6" t="s">
        <v>74</v>
      </c>
    </row>
    <row r="1098" spans="1:14" x14ac:dyDescent="0.25">
      <c r="A1098" s="6" t="s">
        <v>1684</v>
      </c>
      <c r="B1098" s="4">
        <v>45825</v>
      </c>
      <c r="C1098" s="6" t="s">
        <v>2800</v>
      </c>
      <c r="D1098" s="7">
        <v>0.75347222222222221</v>
      </c>
      <c r="E1098" s="6" t="s">
        <v>16</v>
      </c>
      <c r="F1098" s="6" t="s">
        <v>189</v>
      </c>
      <c r="G1098" s="4">
        <v>32069</v>
      </c>
      <c r="H1098" s="6" t="s">
        <v>53</v>
      </c>
      <c r="I1098">
        <v>117</v>
      </c>
      <c r="J1098">
        <v>2</v>
      </c>
      <c r="K1098">
        <v>235</v>
      </c>
      <c r="L1098" s="6" t="s">
        <v>67</v>
      </c>
      <c r="M1098" s="6" t="s">
        <v>89</v>
      </c>
      <c r="N1098" s="6" t="s">
        <v>105</v>
      </c>
    </row>
    <row r="1099" spans="1:14" x14ac:dyDescent="0.25">
      <c r="A1099" s="6" t="s">
        <v>1685</v>
      </c>
      <c r="B1099" s="4">
        <v>45695</v>
      </c>
      <c r="C1099" s="6" t="s">
        <v>2799</v>
      </c>
      <c r="D1099" s="7">
        <v>0.98305555555555557</v>
      </c>
      <c r="E1099" s="6" t="s">
        <v>16</v>
      </c>
      <c r="F1099" s="6" t="s">
        <v>118</v>
      </c>
      <c r="G1099" s="4">
        <v>37656</v>
      </c>
      <c r="H1099" s="6" t="s">
        <v>18</v>
      </c>
      <c r="I1099">
        <v>98</v>
      </c>
      <c r="J1099">
        <v>1</v>
      </c>
      <c r="K1099">
        <v>99</v>
      </c>
      <c r="L1099" s="6" t="s">
        <v>67</v>
      </c>
      <c r="M1099" s="6" t="s">
        <v>89</v>
      </c>
      <c r="N1099" s="6" t="s">
        <v>105</v>
      </c>
    </row>
    <row r="1100" spans="1:14" x14ac:dyDescent="0.25">
      <c r="A1100" s="6" t="s">
        <v>1686</v>
      </c>
      <c r="B1100" s="4">
        <v>45815</v>
      </c>
      <c r="C1100" s="6" t="s">
        <v>2800</v>
      </c>
      <c r="D1100" s="7">
        <v>0.56418981481481478</v>
      </c>
      <c r="E1100" s="6" t="s">
        <v>16</v>
      </c>
      <c r="F1100" s="6" t="s">
        <v>158</v>
      </c>
      <c r="G1100" s="4">
        <v>31056</v>
      </c>
      <c r="H1100" s="6" t="s">
        <v>36</v>
      </c>
      <c r="I1100">
        <v>101</v>
      </c>
      <c r="J1100">
        <v>2</v>
      </c>
      <c r="L1100" s="6" t="s">
        <v>19</v>
      </c>
      <c r="M1100" s="6" t="s">
        <v>32</v>
      </c>
      <c r="N1100" s="6" t="s">
        <v>21</v>
      </c>
    </row>
    <row r="1101" spans="1:14" x14ac:dyDescent="0.25">
      <c r="A1101" s="6" t="s">
        <v>1688</v>
      </c>
      <c r="B1101" s="4">
        <v>45684</v>
      </c>
      <c r="C1101" s="6" t="s">
        <v>2794</v>
      </c>
      <c r="D1101" s="7">
        <v>0.8520833333333333</v>
      </c>
      <c r="E1101" s="6" t="s">
        <v>16</v>
      </c>
      <c r="F1101" s="6" t="s">
        <v>118</v>
      </c>
      <c r="G1101" s="4">
        <v>30756</v>
      </c>
      <c r="H1101" s="6" t="s">
        <v>110</v>
      </c>
      <c r="I1101">
        <v>129</v>
      </c>
      <c r="J1101">
        <v>2</v>
      </c>
      <c r="K1101">
        <v>260</v>
      </c>
      <c r="L1101" s="6" t="s">
        <v>41</v>
      </c>
      <c r="M1101" s="6" t="s">
        <v>55</v>
      </c>
      <c r="N1101" s="6" t="s">
        <v>33</v>
      </c>
    </row>
    <row r="1102" spans="1:14" x14ac:dyDescent="0.25">
      <c r="A1102" s="6" t="s">
        <v>1690</v>
      </c>
      <c r="B1102" s="4">
        <v>45783</v>
      </c>
      <c r="C1102" s="6" t="s">
        <v>2792</v>
      </c>
      <c r="D1102" s="7">
        <v>0.81458333333333333</v>
      </c>
      <c r="E1102" s="6" t="s">
        <v>16</v>
      </c>
      <c r="F1102" s="6" t="s">
        <v>346</v>
      </c>
      <c r="G1102" s="4">
        <v>40217</v>
      </c>
      <c r="H1102" s="6" t="s">
        <v>202</v>
      </c>
      <c r="I1102">
        <v>237</v>
      </c>
      <c r="J1102">
        <v>2</v>
      </c>
      <c r="K1102">
        <v>474</v>
      </c>
      <c r="L1102" s="6" t="s">
        <v>41</v>
      </c>
      <c r="M1102" s="6" t="s">
        <v>55</v>
      </c>
      <c r="N1102" s="6" t="s">
        <v>48</v>
      </c>
    </row>
    <row r="1103" spans="1:14" x14ac:dyDescent="0.25">
      <c r="A1103" s="6" t="s">
        <v>1691</v>
      </c>
      <c r="B1103" s="4">
        <v>45682</v>
      </c>
      <c r="C1103" s="6" t="s">
        <v>2794</v>
      </c>
      <c r="D1103" s="7">
        <v>0.43402777777777779</v>
      </c>
      <c r="E1103" s="6" t="s">
        <v>16</v>
      </c>
      <c r="F1103" s="6" t="s">
        <v>169</v>
      </c>
      <c r="G1103" s="4">
        <v>36893</v>
      </c>
      <c r="H1103" s="6" t="s">
        <v>202</v>
      </c>
      <c r="I1103">
        <v>118</v>
      </c>
      <c r="J1103">
        <v>2</v>
      </c>
      <c r="K1103">
        <v>210</v>
      </c>
      <c r="L1103" s="6" t="s">
        <v>41</v>
      </c>
      <c r="M1103" s="6" t="s">
        <v>26</v>
      </c>
      <c r="N1103" s="6" t="s">
        <v>21</v>
      </c>
    </row>
    <row r="1104" spans="1:14" x14ac:dyDescent="0.25">
      <c r="A1104" s="6" t="s">
        <v>1692</v>
      </c>
      <c r="B1104" s="4">
        <v>45765</v>
      </c>
      <c r="C1104" s="6" t="s">
        <v>2801</v>
      </c>
      <c r="D1104" s="7">
        <v>0.42986111111111114</v>
      </c>
      <c r="E1104" s="6" t="s">
        <v>16</v>
      </c>
      <c r="F1104" s="6" t="s">
        <v>1427</v>
      </c>
      <c r="G1104" s="4">
        <v>34008</v>
      </c>
      <c r="H1104" s="6" t="s">
        <v>104</v>
      </c>
      <c r="I1104">
        <v>264</v>
      </c>
      <c r="J1104">
        <v>2</v>
      </c>
      <c r="K1104">
        <v>528</v>
      </c>
      <c r="L1104" s="6" t="s">
        <v>54</v>
      </c>
      <c r="M1104" s="6" t="s">
        <v>89</v>
      </c>
      <c r="N1104" s="6" t="s">
        <v>33</v>
      </c>
    </row>
    <row r="1105" spans="1:14" x14ac:dyDescent="0.25">
      <c r="A1105" s="6" t="s">
        <v>1693</v>
      </c>
      <c r="B1105" s="4">
        <v>45659</v>
      </c>
      <c r="C1105" s="6" t="s">
        <v>2794</v>
      </c>
      <c r="D1105" s="7">
        <v>0.59375</v>
      </c>
      <c r="E1105" s="6" t="s">
        <v>16</v>
      </c>
      <c r="F1105" s="6" t="s">
        <v>328</v>
      </c>
      <c r="G1105" s="4">
        <v>26366</v>
      </c>
      <c r="H1105" s="6" t="s">
        <v>73</v>
      </c>
      <c r="I1105">
        <v>51</v>
      </c>
      <c r="J1105">
        <v>1</v>
      </c>
      <c r="K1105">
        <v>51</v>
      </c>
      <c r="L1105" s="6" t="s">
        <v>54</v>
      </c>
      <c r="M1105" s="6" t="s">
        <v>37</v>
      </c>
      <c r="N1105" s="6" t="s">
        <v>33</v>
      </c>
    </row>
    <row r="1106" spans="1:14" x14ac:dyDescent="0.25">
      <c r="A1106" s="6" t="s">
        <v>1695</v>
      </c>
      <c r="B1106" s="4">
        <v>45777</v>
      </c>
      <c r="C1106" s="6" t="s">
        <v>2801</v>
      </c>
      <c r="D1106" s="7">
        <v>0.6645833333333333</v>
      </c>
      <c r="E1106" s="6" t="s">
        <v>16</v>
      </c>
      <c r="F1106" s="6" t="s">
        <v>191</v>
      </c>
      <c r="G1106" s="4">
        <v>25734</v>
      </c>
      <c r="H1106" s="6" t="s">
        <v>53</v>
      </c>
      <c r="I1106">
        <v>101</v>
      </c>
      <c r="J1106">
        <v>1</v>
      </c>
      <c r="K1106">
        <v>101</v>
      </c>
      <c r="L1106" s="6" t="s">
        <v>54</v>
      </c>
      <c r="M1106" s="6" t="s">
        <v>32</v>
      </c>
      <c r="N1106" s="6" t="s">
        <v>48</v>
      </c>
    </row>
    <row r="1107" spans="1:14" x14ac:dyDescent="0.25">
      <c r="A1107" s="6" t="s">
        <v>1696</v>
      </c>
      <c r="B1107" s="4">
        <v>45888</v>
      </c>
      <c r="C1107" s="6" t="s">
        <v>2793</v>
      </c>
      <c r="D1107" s="7">
        <v>0.49716435185185187</v>
      </c>
      <c r="E1107" s="6" t="s">
        <v>16</v>
      </c>
      <c r="F1107" s="6" t="s">
        <v>451</v>
      </c>
      <c r="G1107" s="4">
        <v>39209</v>
      </c>
      <c r="H1107" s="6" t="s">
        <v>178</v>
      </c>
      <c r="I1107">
        <v>274</v>
      </c>
      <c r="J1107">
        <v>3</v>
      </c>
      <c r="K1107">
        <v>865</v>
      </c>
      <c r="L1107" s="6" t="s">
        <v>19</v>
      </c>
      <c r="M1107" s="6" t="s">
        <v>26</v>
      </c>
      <c r="N1107" s="6" t="s">
        <v>56</v>
      </c>
    </row>
    <row r="1108" spans="1:14" x14ac:dyDescent="0.25">
      <c r="A1108" s="6" t="s">
        <v>1697</v>
      </c>
      <c r="B1108" s="4">
        <v>45980</v>
      </c>
      <c r="C1108" s="6" t="s">
        <v>2802</v>
      </c>
      <c r="D1108" s="7">
        <v>0.93055555555555558</v>
      </c>
      <c r="E1108" s="6" t="s">
        <v>16</v>
      </c>
      <c r="F1108" s="6" t="s">
        <v>198</v>
      </c>
      <c r="G1108" s="4">
        <v>39209</v>
      </c>
      <c r="H1108" s="6" t="s">
        <v>116</v>
      </c>
      <c r="I1108">
        <v>218</v>
      </c>
      <c r="J1108">
        <v>2</v>
      </c>
      <c r="K1108">
        <v>437</v>
      </c>
      <c r="L1108" s="6" t="s">
        <v>2787</v>
      </c>
      <c r="M1108" s="6" t="s">
        <v>47</v>
      </c>
      <c r="N1108" s="6" t="s">
        <v>56</v>
      </c>
    </row>
    <row r="1109" spans="1:14" x14ac:dyDescent="0.25">
      <c r="A1109" s="6" t="s">
        <v>1698</v>
      </c>
      <c r="B1109" s="4">
        <v>45846</v>
      </c>
      <c r="C1109" s="6" t="s">
        <v>2795</v>
      </c>
      <c r="D1109" s="7">
        <v>0.49305555555555558</v>
      </c>
      <c r="E1109" s="6" t="s">
        <v>16</v>
      </c>
      <c r="F1109" s="6" t="s">
        <v>76</v>
      </c>
      <c r="G1109" s="4">
        <v>29760</v>
      </c>
      <c r="H1109" s="6" t="s">
        <v>30</v>
      </c>
      <c r="I1109">
        <v>312</v>
      </c>
      <c r="J1109">
        <v>2</v>
      </c>
      <c r="K1109">
        <v>626</v>
      </c>
      <c r="L1109" s="6" t="s">
        <v>2787</v>
      </c>
      <c r="M1109" s="6" t="s">
        <v>32</v>
      </c>
      <c r="N1109" s="6" t="s">
        <v>105</v>
      </c>
    </row>
    <row r="1110" spans="1:14" x14ac:dyDescent="0.25">
      <c r="A1110" s="6" t="s">
        <v>1699</v>
      </c>
      <c r="B1110" s="4">
        <v>45798</v>
      </c>
      <c r="C1110" s="6" t="s">
        <v>2792</v>
      </c>
      <c r="D1110" s="7">
        <v>0.88541666666666663</v>
      </c>
      <c r="E1110" s="6" t="s">
        <v>16</v>
      </c>
      <c r="F1110" s="6" t="s">
        <v>855</v>
      </c>
      <c r="G1110" s="4">
        <v>26980</v>
      </c>
      <c r="H1110" s="6" t="s">
        <v>18</v>
      </c>
      <c r="I1110">
        <v>100</v>
      </c>
      <c r="J1110">
        <v>3</v>
      </c>
      <c r="K1110">
        <v>302</v>
      </c>
      <c r="L1110" s="6" t="s">
        <v>2787</v>
      </c>
      <c r="M1110" s="6" t="s">
        <v>55</v>
      </c>
      <c r="N1110" s="6" t="s">
        <v>74</v>
      </c>
    </row>
    <row r="1111" spans="1:14" x14ac:dyDescent="0.25">
      <c r="A1111" s="6" t="s">
        <v>1700</v>
      </c>
      <c r="B1111" s="4">
        <v>45796</v>
      </c>
      <c r="C1111" s="6" t="s">
        <v>2792</v>
      </c>
      <c r="D1111" s="7">
        <v>0.97361111111111109</v>
      </c>
      <c r="E1111" s="6" t="s">
        <v>16</v>
      </c>
      <c r="F1111" s="6" t="s">
        <v>151</v>
      </c>
      <c r="G1111" s="4">
        <v>34182</v>
      </c>
      <c r="H1111" s="6" t="s">
        <v>60</v>
      </c>
      <c r="I1111">
        <v>186</v>
      </c>
      <c r="J1111">
        <v>1</v>
      </c>
      <c r="K1111">
        <v>186</v>
      </c>
      <c r="L1111" s="6" t="s">
        <v>41</v>
      </c>
      <c r="M1111" s="6" t="s">
        <v>20</v>
      </c>
      <c r="N1111" s="6" t="s">
        <v>105</v>
      </c>
    </row>
    <row r="1112" spans="1:14" x14ac:dyDescent="0.25">
      <c r="A1112" s="6" t="s">
        <v>1701</v>
      </c>
      <c r="B1112" s="4">
        <v>45682</v>
      </c>
      <c r="C1112" s="6" t="s">
        <v>2794</v>
      </c>
      <c r="D1112" s="7">
        <v>0.94930555555555551</v>
      </c>
      <c r="E1112" s="6" t="s">
        <v>16</v>
      </c>
      <c r="F1112" s="6" t="s">
        <v>17</v>
      </c>
      <c r="G1112" s="4">
        <v>34182</v>
      </c>
      <c r="H1112" s="6" t="s">
        <v>77</v>
      </c>
      <c r="I1112">
        <v>164</v>
      </c>
      <c r="J1112">
        <v>3</v>
      </c>
      <c r="K1112">
        <v>502</v>
      </c>
      <c r="L1112" s="6" t="s">
        <v>67</v>
      </c>
      <c r="M1112" s="6" t="s">
        <v>37</v>
      </c>
      <c r="N1112" s="6" t="s">
        <v>105</v>
      </c>
    </row>
    <row r="1113" spans="1:14" x14ac:dyDescent="0.25">
      <c r="A1113" s="6" t="s">
        <v>1703</v>
      </c>
      <c r="B1113" s="4">
        <v>45970</v>
      </c>
      <c r="C1113" s="6" t="s">
        <v>2802</v>
      </c>
      <c r="D1113" s="7">
        <v>0.75069444444444444</v>
      </c>
      <c r="E1113" s="6" t="s">
        <v>16</v>
      </c>
      <c r="F1113" s="6" t="s">
        <v>256</v>
      </c>
      <c r="G1113" s="4">
        <v>36894</v>
      </c>
      <c r="H1113" s="6" t="s">
        <v>104</v>
      </c>
      <c r="I1113">
        <v>228</v>
      </c>
      <c r="J1113">
        <v>2</v>
      </c>
      <c r="K1113">
        <v>457</v>
      </c>
      <c r="L1113" s="6" t="s">
        <v>19</v>
      </c>
      <c r="M1113" s="6" t="s">
        <v>20</v>
      </c>
      <c r="N1113" s="6" t="s">
        <v>21</v>
      </c>
    </row>
    <row r="1114" spans="1:14" x14ac:dyDescent="0.25">
      <c r="A1114" s="6" t="s">
        <v>1704</v>
      </c>
      <c r="B1114" s="4">
        <v>45920</v>
      </c>
      <c r="C1114" s="6" t="s">
        <v>2797</v>
      </c>
      <c r="D1114" s="7">
        <v>0.43194444444444446</v>
      </c>
      <c r="E1114" s="6" t="s">
        <v>16</v>
      </c>
      <c r="F1114" s="6" t="s">
        <v>411</v>
      </c>
      <c r="G1114" s="4">
        <v>39073</v>
      </c>
      <c r="H1114" s="6" t="s">
        <v>40</v>
      </c>
      <c r="I1114">
        <v>156</v>
      </c>
      <c r="J1114">
        <v>2</v>
      </c>
      <c r="K1114">
        <v>314</v>
      </c>
      <c r="L1114" s="6" t="s">
        <v>41</v>
      </c>
      <c r="M1114" s="6" t="s">
        <v>26</v>
      </c>
      <c r="N1114" s="6" t="s">
        <v>21</v>
      </c>
    </row>
    <row r="1115" spans="1:14" x14ac:dyDescent="0.25">
      <c r="A1115" s="6" t="s">
        <v>1705</v>
      </c>
      <c r="B1115" s="4">
        <v>45871</v>
      </c>
      <c r="C1115" s="6" t="s">
        <v>2793</v>
      </c>
      <c r="D1115" s="7">
        <v>0.60486111111111107</v>
      </c>
      <c r="E1115" s="6" t="s">
        <v>16</v>
      </c>
      <c r="F1115" s="6" t="s">
        <v>411</v>
      </c>
      <c r="G1115" s="4">
        <v>40139</v>
      </c>
      <c r="H1115" s="6" t="s">
        <v>53</v>
      </c>
      <c r="I1115">
        <v>108</v>
      </c>
      <c r="J1115">
        <v>1</v>
      </c>
      <c r="K1115">
        <v>106</v>
      </c>
      <c r="L1115" s="6" t="s">
        <v>41</v>
      </c>
      <c r="M1115" s="6" t="s">
        <v>26</v>
      </c>
      <c r="N1115" s="6" t="s">
        <v>27</v>
      </c>
    </row>
    <row r="1116" spans="1:14" x14ac:dyDescent="0.25">
      <c r="A1116" s="6" t="s">
        <v>1706</v>
      </c>
      <c r="B1116" s="4">
        <v>45812</v>
      </c>
      <c r="C1116" s="6" t="s">
        <v>2800</v>
      </c>
      <c r="D1116" s="7">
        <v>0.79555555555555557</v>
      </c>
      <c r="E1116" s="6" t="s">
        <v>16</v>
      </c>
      <c r="F1116" s="6" t="s">
        <v>360</v>
      </c>
      <c r="G1116" s="4">
        <v>26410</v>
      </c>
      <c r="H1116" s="6" t="s">
        <v>202</v>
      </c>
      <c r="I1116">
        <v>267</v>
      </c>
      <c r="J1116">
        <v>1</v>
      </c>
      <c r="K1116">
        <v>268</v>
      </c>
      <c r="L1116" s="6" t="s">
        <v>41</v>
      </c>
      <c r="M1116" s="6" t="s">
        <v>89</v>
      </c>
      <c r="N1116" s="6" t="s">
        <v>27</v>
      </c>
    </row>
    <row r="1117" spans="1:14" x14ac:dyDescent="0.25">
      <c r="A1117" s="6" t="s">
        <v>1707</v>
      </c>
      <c r="B1117" s="4">
        <v>45868</v>
      </c>
      <c r="C1117" s="6" t="s">
        <v>2795</v>
      </c>
      <c r="D1117" s="7">
        <v>0.46597222222222223</v>
      </c>
      <c r="E1117" s="6" t="s">
        <v>16</v>
      </c>
      <c r="F1117" s="6" t="s">
        <v>107</v>
      </c>
      <c r="G1117" s="4">
        <v>32489</v>
      </c>
      <c r="H1117" s="6" t="s">
        <v>60</v>
      </c>
      <c r="I1117">
        <v>225</v>
      </c>
      <c r="J1117">
        <v>2</v>
      </c>
      <c r="K1117">
        <v>452</v>
      </c>
      <c r="L1117" s="6" t="s">
        <v>41</v>
      </c>
      <c r="M1117" s="6" t="s">
        <v>32</v>
      </c>
      <c r="N1117" s="6" t="s">
        <v>105</v>
      </c>
    </row>
    <row r="1118" spans="1:14" x14ac:dyDescent="0.25">
      <c r="A1118" s="6" t="s">
        <v>1708</v>
      </c>
      <c r="B1118" s="4">
        <v>45778</v>
      </c>
      <c r="C1118" s="6" t="s">
        <v>2792</v>
      </c>
      <c r="D1118" s="7">
        <v>0.90416666666666667</v>
      </c>
      <c r="E1118" s="6" t="s">
        <v>16</v>
      </c>
      <c r="F1118" s="6" t="s">
        <v>387</v>
      </c>
      <c r="G1118" s="4">
        <v>27110</v>
      </c>
      <c r="H1118" s="6" t="s">
        <v>164</v>
      </c>
      <c r="I1118">
        <v>323</v>
      </c>
      <c r="J1118">
        <v>2</v>
      </c>
      <c r="K1118">
        <v>647</v>
      </c>
      <c r="L1118" s="6" t="s">
        <v>67</v>
      </c>
      <c r="M1118" s="6" t="s">
        <v>20</v>
      </c>
      <c r="N1118" s="6" t="s">
        <v>56</v>
      </c>
    </row>
    <row r="1119" spans="1:14" x14ac:dyDescent="0.25">
      <c r="A1119" s="6" t="s">
        <v>1710</v>
      </c>
      <c r="B1119" s="4">
        <v>45847</v>
      </c>
      <c r="C1119" s="6" t="s">
        <v>2795</v>
      </c>
      <c r="D1119" s="7">
        <v>0.53934027777777782</v>
      </c>
      <c r="E1119" s="6" t="s">
        <v>16</v>
      </c>
      <c r="F1119" s="6" t="s">
        <v>628</v>
      </c>
      <c r="G1119" s="4">
        <v>34547</v>
      </c>
      <c r="H1119" s="6" t="s">
        <v>18</v>
      </c>
      <c r="I1119">
        <v>102</v>
      </c>
      <c r="J1119">
        <v>2</v>
      </c>
      <c r="K1119">
        <v>206</v>
      </c>
      <c r="L1119" s="6" t="s">
        <v>67</v>
      </c>
      <c r="M1119" s="6" t="s">
        <v>89</v>
      </c>
      <c r="N1119" s="6" t="s">
        <v>33</v>
      </c>
    </row>
    <row r="1120" spans="1:14" x14ac:dyDescent="0.25">
      <c r="A1120" s="6" t="s">
        <v>1712</v>
      </c>
      <c r="B1120" s="4">
        <v>45795</v>
      </c>
      <c r="C1120" s="6" t="s">
        <v>2792</v>
      </c>
      <c r="D1120" s="7">
        <v>0.49861111111111112</v>
      </c>
      <c r="E1120" s="6" t="s">
        <v>16</v>
      </c>
      <c r="F1120" s="6" t="s">
        <v>23</v>
      </c>
      <c r="G1120" s="4">
        <v>40014</v>
      </c>
      <c r="H1120" s="6" t="s">
        <v>40</v>
      </c>
      <c r="I1120">
        <v>191</v>
      </c>
      <c r="J1120">
        <v>2</v>
      </c>
      <c r="K1120">
        <v>382</v>
      </c>
      <c r="L1120" s="6" t="s">
        <v>67</v>
      </c>
      <c r="M1120" s="6" t="s">
        <v>89</v>
      </c>
      <c r="N1120" s="6" t="s">
        <v>33</v>
      </c>
    </row>
    <row r="1121" spans="1:14" x14ac:dyDescent="0.25">
      <c r="A1121" s="6" t="s">
        <v>1713</v>
      </c>
      <c r="B1121" s="4">
        <v>45806</v>
      </c>
      <c r="C1121" s="6" t="s">
        <v>2792</v>
      </c>
      <c r="D1121" s="7">
        <v>0.99543981481481481</v>
      </c>
      <c r="E1121" s="6" t="s">
        <v>16</v>
      </c>
      <c r="F1121" s="6" t="s">
        <v>128</v>
      </c>
      <c r="G1121" s="4">
        <v>33399</v>
      </c>
      <c r="H1121" s="6" t="s">
        <v>129</v>
      </c>
      <c r="I1121">
        <v>200</v>
      </c>
      <c r="J1121">
        <v>2</v>
      </c>
      <c r="K1121">
        <v>401</v>
      </c>
      <c r="L1121" s="6" t="s">
        <v>67</v>
      </c>
      <c r="M1121" s="6" t="s">
        <v>47</v>
      </c>
      <c r="N1121" s="6" t="s">
        <v>48</v>
      </c>
    </row>
    <row r="1122" spans="1:14" x14ac:dyDescent="0.25">
      <c r="A1122" s="6" t="s">
        <v>1714</v>
      </c>
      <c r="B1122" s="4">
        <v>45734</v>
      </c>
      <c r="C1122" s="6" t="s">
        <v>2798</v>
      </c>
      <c r="D1122" s="7">
        <v>0.45694444444444443</v>
      </c>
      <c r="E1122" s="6" t="s">
        <v>16</v>
      </c>
      <c r="F1122" s="6" t="s">
        <v>173</v>
      </c>
      <c r="G1122" s="4">
        <v>26847</v>
      </c>
      <c r="H1122" s="6" t="s">
        <v>24</v>
      </c>
      <c r="I1122">
        <v>235</v>
      </c>
      <c r="J1122">
        <v>1</v>
      </c>
      <c r="L1122" s="6" t="s">
        <v>41</v>
      </c>
      <c r="M1122" s="6" t="s">
        <v>37</v>
      </c>
      <c r="N1122" s="6" t="s">
        <v>48</v>
      </c>
    </row>
    <row r="1123" spans="1:14" x14ac:dyDescent="0.25">
      <c r="A1123" s="6" t="s">
        <v>1716</v>
      </c>
      <c r="B1123" s="4">
        <v>45941</v>
      </c>
      <c r="C1123" s="6" t="s">
        <v>2791</v>
      </c>
      <c r="D1123" s="7">
        <v>0.6694444444444444</v>
      </c>
      <c r="E1123" s="6" t="s">
        <v>16</v>
      </c>
      <c r="F1123" s="6" t="s">
        <v>334</v>
      </c>
      <c r="G1123" s="4">
        <v>27661</v>
      </c>
      <c r="H1123" s="6" t="s">
        <v>73</v>
      </c>
      <c r="I1123">
        <v>43</v>
      </c>
      <c r="J1123">
        <v>3</v>
      </c>
      <c r="K1123">
        <v>132</v>
      </c>
      <c r="L1123" s="6" t="s">
        <v>41</v>
      </c>
      <c r="M1123" s="6" t="s">
        <v>32</v>
      </c>
      <c r="N1123" s="6" t="s">
        <v>48</v>
      </c>
    </row>
    <row r="1124" spans="1:14" x14ac:dyDescent="0.25">
      <c r="A1124" s="6" t="s">
        <v>1717</v>
      </c>
      <c r="B1124" s="4">
        <v>45676</v>
      </c>
      <c r="C1124" s="6" t="s">
        <v>2794</v>
      </c>
      <c r="D1124" s="7">
        <v>0.84983796296296299</v>
      </c>
      <c r="E1124" s="6" t="s">
        <v>16</v>
      </c>
      <c r="F1124" s="6" t="s">
        <v>377</v>
      </c>
      <c r="G1124" s="4">
        <v>29946</v>
      </c>
      <c r="H1124" s="6" t="s">
        <v>202</v>
      </c>
      <c r="I1124">
        <v>152</v>
      </c>
      <c r="J1124">
        <v>1</v>
      </c>
      <c r="K1124">
        <v>152</v>
      </c>
      <c r="L1124" s="6" t="s">
        <v>19</v>
      </c>
      <c r="M1124" s="6" t="s">
        <v>20</v>
      </c>
      <c r="N1124" s="6" t="s">
        <v>33</v>
      </c>
    </row>
    <row r="1125" spans="1:14" x14ac:dyDescent="0.25">
      <c r="A1125" s="6" t="s">
        <v>1718</v>
      </c>
      <c r="B1125" s="4">
        <v>45914</v>
      </c>
      <c r="C1125" s="6" t="s">
        <v>2797</v>
      </c>
      <c r="D1125" s="7">
        <v>0.68055555555555558</v>
      </c>
      <c r="E1125" s="6" t="s">
        <v>16</v>
      </c>
      <c r="F1125" s="6" t="s">
        <v>1719</v>
      </c>
      <c r="G1125" s="4">
        <v>35917</v>
      </c>
      <c r="H1125" s="6" t="s">
        <v>73</v>
      </c>
      <c r="I1125">
        <v>48</v>
      </c>
      <c r="J1125">
        <v>3</v>
      </c>
      <c r="K1125">
        <v>145</v>
      </c>
      <c r="L1125" s="6" t="s">
        <v>19</v>
      </c>
      <c r="M1125" s="6" t="s">
        <v>47</v>
      </c>
      <c r="N1125" s="6" t="s">
        <v>74</v>
      </c>
    </row>
    <row r="1126" spans="1:14" x14ac:dyDescent="0.25">
      <c r="A1126" s="6" t="s">
        <v>1720</v>
      </c>
      <c r="B1126" s="4">
        <v>45851</v>
      </c>
      <c r="C1126" s="6" t="s">
        <v>2795</v>
      </c>
      <c r="D1126" s="7">
        <v>0.79650462962962965</v>
      </c>
      <c r="E1126" s="6" t="s">
        <v>16</v>
      </c>
      <c r="F1126" s="6" t="s">
        <v>299</v>
      </c>
      <c r="G1126" s="4">
        <v>32989</v>
      </c>
      <c r="H1126" s="6" t="s">
        <v>30</v>
      </c>
      <c r="I1126">
        <v>214</v>
      </c>
      <c r="J1126">
        <v>1</v>
      </c>
      <c r="K1126">
        <v>214</v>
      </c>
      <c r="L1126" s="6" t="s">
        <v>54</v>
      </c>
      <c r="M1126" s="6" t="s">
        <v>37</v>
      </c>
      <c r="N1126" s="6" t="s">
        <v>27</v>
      </c>
    </row>
    <row r="1127" spans="1:14" x14ac:dyDescent="0.25">
      <c r="A1127" s="6" t="s">
        <v>1721</v>
      </c>
      <c r="B1127" s="4">
        <v>45745</v>
      </c>
      <c r="C1127" s="6" t="s">
        <v>2798</v>
      </c>
      <c r="D1127" s="7">
        <v>0.74513888888888891</v>
      </c>
      <c r="E1127" s="6" t="s">
        <v>16</v>
      </c>
      <c r="F1127" s="6" t="s">
        <v>692</v>
      </c>
      <c r="G1127" s="4">
        <v>31173</v>
      </c>
      <c r="H1127" s="6" t="s">
        <v>53</v>
      </c>
      <c r="I1127">
        <v>82</v>
      </c>
      <c r="J1127">
        <v>3</v>
      </c>
      <c r="K1127">
        <v>247</v>
      </c>
      <c r="L1127" s="6" t="s">
        <v>41</v>
      </c>
      <c r="M1127" s="6" t="s">
        <v>20</v>
      </c>
      <c r="N1127" s="6" t="s">
        <v>27</v>
      </c>
    </row>
    <row r="1128" spans="1:14" x14ac:dyDescent="0.25">
      <c r="A1128" s="6" t="s">
        <v>1723</v>
      </c>
      <c r="B1128" s="4">
        <v>45771</v>
      </c>
      <c r="C1128" s="6" t="s">
        <v>2801</v>
      </c>
      <c r="D1128" s="7">
        <v>0.74652777777777779</v>
      </c>
      <c r="E1128" s="6" t="s">
        <v>16</v>
      </c>
      <c r="F1128" s="6" t="s">
        <v>640</v>
      </c>
      <c r="G1128" s="4">
        <v>31173</v>
      </c>
      <c r="H1128" s="6" t="s">
        <v>30</v>
      </c>
      <c r="I1128">
        <v>287</v>
      </c>
      <c r="J1128">
        <v>2</v>
      </c>
      <c r="K1128">
        <v>575</v>
      </c>
      <c r="L1128" s="6" t="s">
        <v>41</v>
      </c>
      <c r="M1128" s="6" t="s">
        <v>37</v>
      </c>
      <c r="N1128" s="6" t="s">
        <v>56</v>
      </c>
    </row>
    <row r="1129" spans="1:14" x14ac:dyDescent="0.25">
      <c r="A1129" s="6" t="s">
        <v>1724</v>
      </c>
      <c r="B1129" s="4">
        <v>45758</v>
      </c>
      <c r="C1129" s="6" t="s">
        <v>2801</v>
      </c>
      <c r="D1129" s="7">
        <v>0.6222685185185185</v>
      </c>
      <c r="E1129" s="6" t="s">
        <v>16</v>
      </c>
      <c r="F1129" s="6" t="s">
        <v>29</v>
      </c>
      <c r="G1129" s="4">
        <v>29826</v>
      </c>
      <c r="H1129" s="6" t="s">
        <v>126</v>
      </c>
      <c r="I1129">
        <v>262</v>
      </c>
      <c r="J1129">
        <v>1</v>
      </c>
      <c r="K1129">
        <v>263</v>
      </c>
      <c r="L1129" s="6" t="s">
        <v>41</v>
      </c>
      <c r="M1129" s="6" t="s">
        <v>20</v>
      </c>
      <c r="N1129" s="6" t="s">
        <v>56</v>
      </c>
    </row>
    <row r="1130" spans="1:14" x14ac:dyDescent="0.25">
      <c r="A1130" s="6" t="s">
        <v>1725</v>
      </c>
      <c r="B1130" s="4">
        <v>45627</v>
      </c>
      <c r="C1130" s="6" t="s">
        <v>2796</v>
      </c>
      <c r="D1130" s="7">
        <v>0.59097222222222223</v>
      </c>
      <c r="E1130" s="6" t="s">
        <v>16</v>
      </c>
      <c r="F1130" s="6" t="s">
        <v>451</v>
      </c>
      <c r="G1130" s="4">
        <v>37914</v>
      </c>
      <c r="H1130" s="6" t="s">
        <v>36</v>
      </c>
      <c r="I1130">
        <v>257</v>
      </c>
      <c r="J1130">
        <v>1</v>
      </c>
      <c r="K1130">
        <v>100</v>
      </c>
      <c r="L1130" s="6" t="s">
        <v>54</v>
      </c>
      <c r="M1130" s="6" t="s">
        <v>61</v>
      </c>
      <c r="N1130" s="6" t="s">
        <v>56</v>
      </c>
    </row>
    <row r="1131" spans="1:14" x14ac:dyDescent="0.25">
      <c r="A1131" s="6" t="s">
        <v>1726</v>
      </c>
      <c r="B1131" s="4">
        <v>45627</v>
      </c>
      <c r="C1131" s="6" t="s">
        <v>2796</v>
      </c>
      <c r="D1131" s="7">
        <v>0.77497685185185183</v>
      </c>
      <c r="E1131" s="6" t="s">
        <v>16</v>
      </c>
      <c r="F1131" s="6" t="s">
        <v>466</v>
      </c>
      <c r="G1131" s="4">
        <v>34815</v>
      </c>
      <c r="H1131" s="6" t="s">
        <v>85</v>
      </c>
      <c r="I1131">
        <v>213</v>
      </c>
      <c r="J1131">
        <v>3</v>
      </c>
      <c r="K1131">
        <v>642</v>
      </c>
      <c r="L1131" s="6" t="s">
        <v>41</v>
      </c>
      <c r="M1131" s="6" t="s">
        <v>37</v>
      </c>
      <c r="N1131" s="6" t="s">
        <v>56</v>
      </c>
    </row>
    <row r="1132" spans="1:14" x14ac:dyDescent="0.25">
      <c r="A1132" s="6" t="s">
        <v>1727</v>
      </c>
      <c r="B1132" s="4">
        <v>45915</v>
      </c>
      <c r="C1132" s="6" t="s">
        <v>2797</v>
      </c>
      <c r="D1132" s="7">
        <v>0.57777777777777772</v>
      </c>
      <c r="E1132" s="6" t="s">
        <v>16</v>
      </c>
      <c r="F1132" s="6" t="s">
        <v>258</v>
      </c>
      <c r="G1132" s="4">
        <v>33728</v>
      </c>
      <c r="H1132" s="6" t="s">
        <v>199</v>
      </c>
      <c r="I1132">
        <v>215</v>
      </c>
      <c r="J1132">
        <v>2</v>
      </c>
      <c r="K1132">
        <v>431</v>
      </c>
      <c r="L1132" s="6" t="s">
        <v>54</v>
      </c>
      <c r="M1132" s="6" t="s">
        <v>32</v>
      </c>
      <c r="N1132" s="6" t="s">
        <v>105</v>
      </c>
    </row>
    <row r="1133" spans="1:14" x14ac:dyDescent="0.25">
      <c r="A1133" s="6" t="s">
        <v>1728</v>
      </c>
      <c r="B1133" s="4">
        <v>45745</v>
      </c>
      <c r="C1133" s="6" t="s">
        <v>2798</v>
      </c>
      <c r="D1133" s="7">
        <v>0.74722222222222223</v>
      </c>
      <c r="E1133" s="6" t="s">
        <v>16</v>
      </c>
      <c r="F1133" s="6" t="s">
        <v>492</v>
      </c>
      <c r="G1133" s="4">
        <v>37160</v>
      </c>
      <c r="H1133" s="6" t="s">
        <v>36</v>
      </c>
      <c r="I1133">
        <v>262</v>
      </c>
      <c r="J1133">
        <v>3</v>
      </c>
      <c r="K1133">
        <v>786</v>
      </c>
      <c r="L1133" s="6" t="s">
        <v>67</v>
      </c>
      <c r="M1133" s="6" t="s">
        <v>32</v>
      </c>
      <c r="N1133" s="6" t="s">
        <v>48</v>
      </c>
    </row>
    <row r="1134" spans="1:14" x14ac:dyDescent="0.25">
      <c r="A1134" s="6" t="s">
        <v>1729</v>
      </c>
      <c r="B1134" s="4">
        <v>45962</v>
      </c>
      <c r="C1134" s="6" t="s">
        <v>2802</v>
      </c>
      <c r="D1134" s="7">
        <v>0.53611111111111109</v>
      </c>
      <c r="E1134" s="6" t="s">
        <v>16</v>
      </c>
      <c r="F1134" s="6" t="s">
        <v>358</v>
      </c>
      <c r="G1134" s="4">
        <v>35545</v>
      </c>
      <c r="H1134" s="6" t="s">
        <v>18</v>
      </c>
      <c r="I1134">
        <v>111</v>
      </c>
      <c r="J1134">
        <v>1</v>
      </c>
      <c r="K1134">
        <v>107</v>
      </c>
      <c r="L1134" s="6" t="s">
        <v>19</v>
      </c>
      <c r="M1134" s="6" t="s">
        <v>89</v>
      </c>
      <c r="N1134" s="6" t="s">
        <v>105</v>
      </c>
    </row>
    <row r="1135" spans="1:14" x14ac:dyDescent="0.25">
      <c r="A1135" s="6" t="s">
        <v>1730</v>
      </c>
      <c r="B1135" s="4">
        <v>45630</v>
      </c>
      <c r="C1135" s="6" t="s">
        <v>2796</v>
      </c>
      <c r="D1135" s="7">
        <v>0.78541666666666665</v>
      </c>
      <c r="E1135" s="6" t="s">
        <v>16</v>
      </c>
      <c r="F1135" s="6" t="s">
        <v>131</v>
      </c>
      <c r="G1135" s="4">
        <v>27700</v>
      </c>
      <c r="H1135" s="6" t="s">
        <v>199</v>
      </c>
      <c r="I1135">
        <v>210</v>
      </c>
      <c r="J1135">
        <v>3</v>
      </c>
      <c r="K1135">
        <v>633</v>
      </c>
      <c r="L1135" s="6" t="s">
        <v>67</v>
      </c>
      <c r="M1135" s="6" t="s">
        <v>37</v>
      </c>
      <c r="N1135" s="6" t="s">
        <v>21</v>
      </c>
    </row>
    <row r="1136" spans="1:14" x14ac:dyDescent="0.25">
      <c r="A1136" s="6" t="s">
        <v>1731</v>
      </c>
      <c r="B1136" s="4">
        <v>45761</v>
      </c>
      <c r="C1136" s="6" t="s">
        <v>2801</v>
      </c>
      <c r="D1136" s="7">
        <v>0.99861111111111112</v>
      </c>
      <c r="E1136" s="6" t="s">
        <v>16</v>
      </c>
      <c r="F1136" s="6" t="s">
        <v>39</v>
      </c>
      <c r="G1136" s="4">
        <v>32828</v>
      </c>
      <c r="H1136" s="6" t="s">
        <v>73</v>
      </c>
      <c r="I1136">
        <v>43</v>
      </c>
      <c r="J1136">
        <v>1</v>
      </c>
      <c r="K1136">
        <v>43</v>
      </c>
      <c r="L1136" s="6" t="s">
        <v>19</v>
      </c>
      <c r="M1136" s="6" t="s">
        <v>32</v>
      </c>
      <c r="N1136" s="6" t="s">
        <v>21</v>
      </c>
    </row>
    <row r="1137" spans="1:14" x14ac:dyDescent="0.25">
      <c r="A1137" s="6" t="s">
        <v>1733</v>
      </c>
      <c r="B1137" s="4">
        <v>45909</v>
      </c>
      <c r="C1137" s="6" t="s">
        <v>2797</v>
      </c>
      <c r="D1137" s="7">
        <v>0.89583333333333337</v>
      </c>
      <c r="E1137" s="6" t="s">
        <v>16</v>
      </c>
      <c r="F1137" s="6" t="s">
        <v>128</v>
      </c>
      <c r="G1137" s="4">
        <v>33810</v>
      </c>
      <c r="H1137" s="6" t="s">
        <v>213</v>
      </c>
      <c r="I1137">
        <v>84</v>
      </c>
      <c r="J1137">
        <v>3</v>
      </c>
      <c r="K1137">
        <v>253</v>
      </c>
      <c r="L1137" s="6" t="s">
        <v>19</v>
      </c>
      <c r="M1137" s="6" t="s">
        <v>20</v>
      </c>
      <c r="N1137" s="6" t="s">
        <v>21</v>
      </c>
    </row>
    <row r="1138" spans="1:14" x14ac:dyDescent="0.25">
      <c r="A1138" s="6" t="s">
        <v>1734</v>
      </c>
      <c r="B1138" s="4">
        <v>45841</v>
      </c>
      <c r="C1138" s="6" t="s">
        <v>2795</v>
      </c>
      <c r="D1138" s="7">
        <v>0.56423611111111116</v>
      </c>
      <c r="E1138" s="6" t="s">
        <v>16</v>
      </c>
      <c r="F1138" s="6" t="s">
        <v>494</v>
      </c>
      <c r="G1138" s="4">
        <v>38035</v>
      </c>
      <c r="H1138" s="6" t="s">
        <v>24</v>
      </c>
      <c r="I1138">
        <v>218</v>
      </c>
      <c r="J1138">
        <v>2</v>
      </c>
      <c r="K1138">
        <v>436</v>
      </c>
      <c r="L1138" s="6" t="s">
        <v>19</v>
      </c>
      <c r="M1138" s="6" t="s">
        <v>61</v>
      </c>
      <c r="N1138" s="6" t="s">
        <v>33</v>
      </c>
    </row>
    <row r="1139" spans="1:14" x14ac:dyDescent="0.25">
      <c r="A1139" s="6" t="s">
        <v>1735</v>
      </c>
      <c r="B1139" s="4">
        <v>45760</v>
      </c>
      <c r="C1139" s="6" t="s">
        <v>2801</v>
      </c>
      <c r="D1139" s="7">
        <v>0.73451388888888891</v>
      </c>
      <c r="E1139" s="6" t="s">
        <v>16</v>
      </c>
      <c r="F1139" s="6" t="s">
        <v>136</v>
      </c>
      <c r="G1139" s="4">
        <v>27927</v>
      </c>
      <c r="H1139" s="6" t="s">
        <v>85</v>
      </c>
      <c r="I1139">
        <v>121</v>
      </c>
      <c r="J1139">
        <v>1</v>
      </c>
      <c r="K1139">
        <v>122</v>
      </c>
      <c r="L1139" s="6" t="s">
        <v>19</v>
      </c>
      <c r="M1139" s="6" t="s">
        <v>26</v>
      </c>
      <c r="N1139" s="6" t="s">
        <v>56</v>
      </c>
    </row>
    <row r="1140" spans="1:14" x14ac:dyDescent="0.25">
      <c r="A1140" s="6" t="s">
        <v>1736</v>
      </c>
      <c r="B1140" s="4">
        <v>45745</v>
      </c>
      <c r="C1140" s="6" t="s">
        <v>2798</v>
      </c>
      <c r="D1140" s="7">
        <v>0.56481481481481477</v>
      </c>
      <c r="E1140" s="6" t="s">
        <v>16</v>
      </c>
      <c r="F1140" s="6" t="s">
        <v>88</v>
      </c>
      <c r="G1140" s="4">
        <v>36467</v>
      </c>
      <c r="H1140" s="6" t="s">
        <v>36</v>
      </c>
      <c r="I1140">
        <v>128</v>
      </c>
      <c r="J1140">
        <v>1</v>
      </c>
      <c r="K1140">
        <v>129</v>
      </c>
      <c r="L1140" s="6" t="s">
        <v>41</v>
      </c>
      <c r="M1140" s="6" t="s">
        <v>61</v>
      </c>
      <c r="N1140" s="6" t="s">
        <v>56</v>
      </c>
    </row>
    <row r="1141" spans="1:14" x14ac:dyDescent="0.25">
      <c r="A1141" s="6" t="s">
        <v>1737</v>
      </c>
      <c r="B1141" s="4">
        <v>45974</v>
      </c>
      <c r="C1141" s="6" t="s">
        <v>2802</v>
      </c>
      <c r="D1141" s="7">
        <v>0.86458333333333337</v>
      </c>
      <c r="E1141" s="6" t="s">
        <v>16</v>
      </c>
      <c r="F1141" s="6" t="s">
        <v>1738</v>
      </c>
      <c r="G1141" s="4">
        <v>36467</v>
      </c>
      <c r="H1141" s="6" t="s">
        <v>85</v>
      </c>
      <c r="I1141">
        <v>126</v>
      </c>
      <c r="J1141">
        <v>2</v>
      </c>
      <c r="K1141">
        <v>253</v>
      </c>
      <c r="L1141" s="6" t="s">
        <v>54</v>
      </c>
      <c r="M1141" s="6" t="s">
        <v>89</v>
      </c>
      <c r="N1141" s="6" t="s">
        <v>21</v>
      </c>
    </row>
    <row r="1142" spans="1:14" x14ac:dyDescent="0.25">
      <c r="A1142" s="6" t="s">
        <v>1739</v>
      </c>
      <c r="B1142" s="4">
        <v>45628</v>
      </c>
      <c r="C1142" s="6" t="s">
        <v>2796</v>
      </c>
      <c r="D1142" s="7">
        <v>0.76905092592592594</v>
      </c>
      <c r="E1142" s="6" t="s">
        <v>16</v>
      </c>
      <c r="F1142" s="6" t="s">
        <v>17</v>
      </c>
      <c r="G1142" s="4">
        <v>29041</v>
      </c>
      <c r="H1142" s="6" t="s">
        <v>60</v>
      </c>
      <c r="I1142">
        <v>110</v>
      </c>
      <c r="J1142">
        <v>1</v>
      </c>
      <c r="K1142">
        <v>111</v>
      </c>
      <c r="L1142" s="6" t="s">
        <v>54</v>
      </c>
      <c r="M1142" s="6" t="s">
        <v>89</v>
      </c>
      <c r="N1142" s="6" t="s">
        <v>48</v>
      </c>
    </row>
    <row r="1143" spans="1:14" x14ac:dyDescent="0.25">
      <c r="A1143" s="6" t="s">
        <v>1740</v>
      </c>
      <c r="B1143" s="4">
        <v>45731</v>
      </c>
      <c r="C1143" s="6" t="s">
        <v>2798</v>
      </c>
      <c r="D1143" s="7">
        <v>0.71884259259259264</v>
      </c>
      <c r="E1143" s="6" t="s">
        <v>16</v>
      </c>
      <c r="F1143" s="6" t="s">
        <v>204</v>
      </c>
      <c r="G1143" s="4">
        <v>40047</v>
      </c>
      <c r="H1143" s="6" t="s">
        <v>202</v>
      </c>
      <c r="I1143">
        <v>83</v>
      </c>
      <c r="J1143">
        <v>3</v>
      </c>
      <c r="K1143">
        <v>251</v>
      </c>
      <c r="L1143" s="6" t="s">
        <v>2787</v>
      </c>
      <c r="M1143" s="6" t="s">
        <v>20</v>
      </c>
      <c r="N1143" s="6" t="s">
        <v>27</v>
      </c>
    </row>
    <row r="1144" spans="1:14" x14ac:dyDescent="0.25">
      <c r="A1144" s="6" t="s">
        <v>1741</v>
      </c>
      <c r="B1144" s="4">
        <v>45762</v>
      </c>
      <c r="C1144" s="6" t="s">
        <v>2801</v>
      </c>
      <c r="D1144" s="7">
        <v>0.98124999999999996</v>
      </c>
      <c r="E1144" s="6" t="s">
        <v>16</v>
      </c>
      <c r="F1144" s="6" t="s">
        <v>1742</v>
      </c>
      <c r="G1144" s="4">
        <v>32238</v>
      </c>
      <c r="H1144" s="6" t="s">
        <v>104</v>
      </c>
      <c r="I1144">
        <v>277</v>
      </c>
      <c r="J1144">
        <v>2</v>
      </c>
      <c r="K1144">
        <v>554</v>
      </c>
      <c r="L1144" s="6" t="s">
        <v>2787</v>
      </c>
      <c r="M1144" s="6" t="s">
        <v>47</v>
      </c>
      <c r="N1144" s="6" t="s">
        <v>27</v>
      </c>
    </row>
    <row r="1145" spans="1:14" x14ac:dyDescent="0.25">
      <c r="A1145" s="6" t="s">
        <v>1743</v>
      </c>
      <c r="B1145" s="4">
        <v>45798</v>
      </c>
      <c r="C1145" s="6" t="s">
        <v>2792</v>
      </c>
      <c r="D1145" s="7">
        <v>0.58402777777777781</v>
      </c>
      <c r="E1145" s="6" t="s">
        <v>16</v>
      </c>
      <c r="F1145" s="6" t="s">
        <v>92</v>
      </c>
      <c r="G1145" s="4">
        <v>28949</v>
      </c>
      <c r="H1145" s="6" t="s">
        <v>202</v>
      </c>
      <c r="I1145">
        <v>237</v>
      </c>
      <c r="J1145">
        <v>3</v>
      </c>
      <c r="K1145">
        <v>713</v>
      </c>
      <c r="L1145" s="6" t="s">
        <v>19</v>
      </c>
      <c r="M1145" s="6" t="s">
        <v>37</v>
      </c>
      <c r="N1145" s="6" t="s">
        <v>27</v>
      </c>
    </row>
    <row r="1146" spans="1:14" x14ac:dyDescent="0.25">
      <c r="A1146" s="6" t="s">
        <v>1745</v>
      </c>
      <c r="B1146" s="4">
        <v>45655</v>
      </c>
      <c r="C1146" s="6" t="s">
        <v>2796</v>
      </c>
      <c r="D1146" s="7">
        <v>0.59075231481481483</v>
      </c>
      <c r="E1146" s="6" t="s">
        <v>16</v>
      </c>
      <c r="F1146" s="6" t="s">
        <v>307</v>
      </c>
      <c r="G1146" s="4">
        <v>30203</v>
      </c>
      <c r="H1146" s="6" t="s">
        <v>104</v>
      </c>
      <c r="I1146">
        <v>331</v>
      </c>
      <c r="J1146">
        <v>1</v>
      </c>
      <c r="K1146">
        <v>332</v>
      </c>
      <c r="L1146" s="6" t="s">
        <v>19</v>
      </c>
      <c r="M1146" s="6" t="s">
        <v>32</v>
      </c>
      <c r="N1146" s="6" t="s">
        <v>33</v>
      </c>
    </row>
    <row r="1147" spans="1:14" x14ac:dyDescent="0.25">
      <c r="A1147" s="6" t="s">
        <v>1746</v>
      </c>
      <c r="B1147" s="4">
        <v>45841</v>
      </c>
      <c r="C1147" s="6" t="s">
        <v>2795</v>
      </c>
      <c r="D1147" s="7">
        <v>0.75624999999999998</v>
      </c>
      <c r="E1147" s="6" t="s">
        <v>16</v>
      </c>
      <c r="F1147" s="6" t="s">
        <v>770</v>
      </c>
      <c r="G1147" s="4">
        <v>32069</v>
      </c>
      <c r="H1147" s="6" t="s">
        <v>93</v>
      </c>
      <c r="I1147">
        <v>169</v>
      </c>
      <c r="J1147">
        <v>2</v>
      </c>
      <c r="K1147">
        <v>339</v>
      </c>
      <c r="L1147" s="6" t="s">
        <v>54</v>
      </c>
      <c r="M1147" s="6" t="s">
        <v>32</v>
      </c>
      <c r="N1147" s="6" t="s">
        <v>105</v>
      </c>
    </row>
    <row r="1148" spans="1:14" x14ac:dyDescent="0.25">
      <c r="A1148" s="6" t="s">
        <v>1747</v>
      </c>
      <c r="B1148" s="4">
        <v>45870</v>
      </c>
      <c r="C1148" s="6" t="s">
        <v>2793</v>
      </c>
      <c r="D1148" s="7">
        <v>0.90416666666666667</v>
      </c>
      <c r="E1148" s="6" t="s">
        <v>16</v>
      </c>
      <c r="F1148" s="6" t="s">
        <v>50</v>
      </c>
      <c r="G1148" s="4">
        <v>32214</v>
      </c>
      <c r="H1148" s="6" t="s">
        <v>141</v>
      </c>
      <c r="I1148">
        <v>154</v>
      </c>
      <c r="J1148">
        <v>1</v>
      </c>
      <c r="K1148">
        <v>106</v>
      </c>
      <c r="L1148" s="6" t="s">
        <v>41</v>
      </c>
      <c r="M1148" s="6" t="s">
        <v>20</v>
      </c>
      <c r="N1148" s="6" t="s">
        <v>48</v>
      </c>
    </row>
    <row r="1149" spans="1:14" x14ac:dyDescent="0.25">
      <c r="A1149" s="6" t="s">
        <v>1748</v>
      </c>
      <c r="B1149" s="4">
        <v>45896</v>
      </c>
      <c r="C1149" s="6" t="s">
        <v>2793</v>
      </c>
      <c r="D1149" s="7">
        <v>0.66041666666666665</v>
      </c>
      <c r="E1149" s="6" t="s">
        <v>16</v>
      </c>
      <c r="F1149" s="6" t="s">
        <v>98</v>
      </c>
      <c r="G1149" s="4">
        <v>38524</v>
      </c>
      <c r="H1149" s="6" t="s">
        <v>104</v>
      </c>
      <c r="I1149">
        <v>218</v>
      </c>
      <c r="J1149">
        <v>2</v>
      </c>
      <c r="K1149">
        <v>437</v>
      </c>
      <c r="L1149" s="6" t="s">
        <v>54</v>
      </c>
      <c r="M1149" s="6" t="s">
        <v>26</v>
      </c>
      <c r="N1149" s="6" t="s">
        <v>74</v>
      </c>
    </row>
    <row r="1150" spans="1:14" x14ac:dyDescent="0.25">
      <c r="A1150" s="6" t="s">
        <v>1749</v>
      </c>
      <c r="B1150" s="4">
        <v>45647</v>
      </c>
      <c r="C1150" s="6" t="s">
        <v>2796</v>
      </c>
      <c r="D1150" s="7">
        <v>0.53680555555555554</v>
      </c>
      <c r="E1150" s="6" t="s">
        <v>16</v>
      </c>
      <c r="F1150" s="6" t="s">
        <v>1750</v>
      </c>
      <c r="G1150" s="4">
        <v>34770</v>
      </c>
      <c r="H1150" s="6" t="s">
        <v>104</v>
      </c>
      <c r="I1150">
        <v>298</v>
      </c>
      <c r="J1150">
        <v>3</v>
      </c>
      <c r="K1150">
        <v>895</v>
      </c>
      <c r="L1150" s="6" t="s">
        <v>2787</v>
      </c>
      <c r="M1150" s="6" t="s">
        <v>89</v>
      </c>
      <c r="N1150" s="6" t="s">
        <v>27</v>
      </c>
    </row>
    <row r="1151" spans="1:14" x14ac:dyDescent="0.25">
      <c r="A1151" s="6" t="s">
        <v>1751</v>
      </c>
      <c r="B1151" s="4">
        <v>45852</v>
      </c>
      <c r="C1151" s="6" t="s">
        <v>2795</v>
      </c>
      <c r="D1151" s="7">
        <v>0.52986111111111112</v>
      </c>
      <c r="E1151" s="6" t="s">
        <v>16</v>
      </c>
      <c r="F1151" s="6" t="s">
        <v>882</v>
      </c>
      <c r="G1151" s="4">
        <v>31699</v>
      </c>
      <c r="H1151" s="6" t="s">
        <v>126</v>
      </c>
      <c r="I1151">
        <v>129</v>
      </c>
      <c r="J1151">
        <v>2</v>
      </c>
      <c r="K1151">
        <v>258</v>
      </c>
      <c r="L1151" s="6" t="s">
        <v>41</v>
      </c>
      <c r="M1151" s="6" t="s">
        <v>61</v>
      </c>
      <c r="N1151" s="6" t="s">
        <v>21</v>
      </c>
    </row>
    <row r="1152" spans="1:14" x14ac:dyDescent="0.25">
      <c r="A1152" s="6" t="s">
        <v>1752</v>
      </c>
      <c r="B1152" s="4">
        <v>45887</v>
      </c>
      <c r="C1152" s="6" t="s">
        <v>2793</v>
      </c>
      <c r="D1152" s="7">
        <v>0.84513888888888888</v>
      </c>
      <c r="E1152" s="6" t="s">
        <v>16</v>
      </c>
      <c r="F1152" s="6" t="s">
        <v>492</v>
      </c>
      <c r="G1152" s="4">
        <v>28715</v>
      </c>
      <c r="H1152" s="6" t="s">
        <v>24</v>
      </c>
      <c r="I1152">
        <v>218</v>
      </c>
      <c r="J1152">
        <v>1</v>
      </c>
      <c r="K1152">
        <v>218</v>
      </c>
      <c r="L1152" s="6" t="s">
        <v>19</v>
      </c>
      <c r="M1152" s="6" t="s">
        <v>55</v>
      </c>
      <c r="N1152" s="6" t="s">
        <v>27</v>
      </c>
    </row>
    <row r="1153" spans="1:14" x14ac:dyDescent="0.25">
      <c r="A1153" s="6" t="s">
        <v>1753</v>
      </c>
      <c r="B1153" s="4">
        <v>45979</v>
      </c>
      <c r="C1153" s="6" t="s">
        <v>2802</v>
      </c>
      <c r="D1153" s="7">
        <v>0.78125</v>
      </c>
      <c r="E1153" s="6" t="s">
        <v>16</v>
      </c>
      <c r="F1153" s="6" t="s">
        <v>640</v>
      </c>
      <c r="G1153" s="4">
        <v>40348</v>
      </c>
      <c r="H1153" s="6" t="s">
        <v>243</v>
      </c>
      <c r="I1153">
        <v>154</v>
      </c>
      <c r="J1153">
        <v>2</v>
      </c>
      <c r="K1153">
        <v>310</v>
      </c>
      <c r="L1153" s="6" t="s">
        <v>19</v>
      </c>
      <c r="M1153" s="6" t="s">
        <v>47</v>
      </c>
      <c r="N1153" s="6" t="s">
        <v>27</v>
      </c>
    </row>
    <row r="1154" spans="1:14" x14ac:dyDescent="0.25">
      <c r="A1154" s="6" t="s">
        <v>1754</v>
      </c>
      <c r="B1154" s="4">
        <v>45842</v>
      </c>
      <c r="C1154" s="6" t="s">
        <v>2795</v>
      </c>
      <c r="D1154" s="7">
        <v>0.80972222222222223</v>
      </c>
      <c r="E1154" s="6" t="s">
        <v>16</v>
      </c>
      <c r="F1154" s="6" t="s">
        <v>161</v>
      </c>
      <c r="G1154" s="4">
        <v>40348</v>
      </c>
      <c r="H1154" s="6" t="s">
        <v>243</v>
      </c>
      <c r="I1154">
        <v>153</v>
      </c>
      <c r="J1154">
        <v>3</v>
      </c>
      <c r="K1154">
        <v>460</v>
      </c>
      <c r="L1154" s="6" t="s">
        <v>19</v>
      </c>
      <c r="M1154" s="6" t="s">
        <v>47</v>
      </c>
      <c r="N1154" s="6" t="s">
        <v>27</v>
      </c>
    </row>
    <row r="1155" spans="1:14" x14ac:dyDescent="0.25">
      <c r="A1155" s="6" t="s">
        <v>1755</v>
      </c>
      <c r="B1155" s="4">
        <v>45651</v>
      </c>
      <c r="C1155" s="6" t="s">
        <v>2796</v>
      </c>
      <c r="D1155" s="7">
        <v>0.71875</v>
      </c>
      <c r="E1155" s="6" t="s">
        <v>16</v>
      </c>
      <c r="F1155" s="6" t="s">
        <v>1756</v>
      </c>
      <c r="G1155" s="4">
        <v>30000</v>
      </c>
      <c r="H1155" s="6" t="s">
        <v>116</v>
      </c>
      <c r="I1155">
        <v>120</v>
      </c>
      <c r="J1155">
        <v>1</v>
      </c>
      <c r="K1155">
        <v>121</v>
      </c>
      <c r="L1155" s="6" t="s">
        <v>19</v>
      </c>
      <c r="M1155" s="6" t="s">
        <v>89</v>
      </c>
      <c r="N1155" s="6" t="s">
        <v>27</v>
      </c>
    </row>
    <row r="1156" spans="1:14" x14ac:dyDescent="0.25">
      <c r="A1156" s="6" t="s">
        <v>1757</v>
      </c>
      <c r="B1156" s="4">
        <v>45791</v>
      </c>
      <c r="C1156" s="6" t="s">
        <v>2792</v>
      </c>
      <c r="D1156" s="7">
        <v>0.86388888888888893</v>
      </c>
      <c r="E1156" s="6" t="s">
        <v>16</v>
      </c>
      <c r="F1156" s="6" t="s">
        <v>206</v>
      </c>
      <c r="G1156" s="4">
        <v>33584</v>
      </c>
      <c r="H1156" s="6" t="s">
        <v>24</v>
      </c>
      <c r="I1156">
        <v>238</v>
      </c>
      <c r="J1156">
        <v>3</v>
      </c>
      <c r="K1156">
        <v>716</v>
      </c>
      <c r="L1156" s="6" t="s">
        <v>2787</v>
      </c>
      <c r="M1156" s="6" t="s">
        <v>32</v>
      </c>
      <c r="N1156" s="6" t="s">
        <v>27</v>
      </c>
    </row>
    <row r="1157" spans="1:14" x14ac:dyDescent="0.25">
      <c r="A1157" s="6" t="s">
        <v>1758</v>
      </c>
      <c r="B1157" s="4">
        <v>45742</v>
      </c>
      <c r="C1157" s="6" t="s">
        <v>2798</v>
      </c>
      <c r="D1157" s="7">
        <v>0.80972222222222223</v>
      </c>
      <c r="E1157" s="6" t="s">
        <v>16</v>
      </c>
      <c r="F1157" s="6" t="s">
        <v>492</v>
      </c>
      <c r="G1157" s="4">
        <v>40103</v>
      </c>
      <c r="H1157" s="6" t="s">
        <v>30</v>
      </c>
      <c r="I1157">
        <v>226</v>
      </c>
      <c r="J1157">
        <v>1</v>
      </c>
      <c r="K1157">
        <v>226</v>
      </c>
      <c r="L1157" s="6" t="s">
        <v>2787</v>
      </c>
      <c r="M1157" s="6" t="s">
        <v>26</v>
      </c>
      <c r="N1157" s="6" t="s">
        <v>27</v>
      </c>
    </row>
    <row r="1158" spans="1:14" x14ac:dyDescent="0.25">
      <c r="A1158" s="6" t="s">
        <v>1760</v>
      </c>
      <c r="B1158" s="4">
        <v>45742</v>
      </c>
      <c r="C1158" s="6" t="s">
        <v>2798</v>
      </c>
      <c r="D1158" s="7">
        <v>0.94861111111111107</v>
      </c>
      <c r="E1158" s="6" t="s">
        <v>16</v>
      </c>
      <c r="F1158" s="6" t="s">
        <v>1387</v>
      </c>
      <c r="G1158" s="4">
        <v>38184</v>
      </c>
      <c r="H1158" s="6" t="s">
        <v>199</v>
      </c>
      <c r="I1158">
        <v>214</v>
      </c>
      <c r="J1158">
        <v>1</v>
      </c>
      <c r="K1158">
        <v>215</v>
      </c>
      <c r="L1158" s="6" t="s">
        <v>41</v>
      </c>
      <c r="M1158" s="6" t="s">
        <v>37</v>
      </c>
      <c r="N1158" s="6" t="s">
        <v>27</v>
      </c>
    </row>
    <row r="1159" spans="1:14" x14ac:dyDescent="0.25">
      <c r="A1159" s="6" t="s">
        <v>1761</v>
      </c>
      <c r="B1159" s="4">
        <v>45708</v>
      </c>
      <c r="C1159" s="6" t="s">
        <v>2799</v>
      </c>
      <c r="D1159" s="7">
        <v>0.48194444444444445</v>
      </c>
      <c r="E1159" s="6" t="s">
        <v>16</v>
      </c>
      <c r="F1159" s="6" t="s">
        <v>1397</v>
      </c>
      <c r="G1159" s="4">
        <v>31004</v>
      </c>
      <c r="H1159" s="6" t="s">
        <v>53</v>
      </c>
      <c r="I1159">
        <v>87</v>
      </c>
      <c r="J1159">
        <v>3</v>
      </c>
      <c r="K1159">
        <v>263</v>
      </c>
      <c r="L1159" s="6" t="s">
        <v>41</v>
      </c>
      <c r="M1159" s="6" t="s">
        <v>61</v>
      </c>
      <c r="N1159" s="6" t="s">
        <v>48</v>
      </c>
    </row>
    <row r="1160" spans="1:14" x14ac:dyDescent="0.25">
      <c r="A1160" s="6" t="s">
        <v>1762</v>
      </c>
      <c r="B1160" s="4">
        <v>45634</v>
      </c>
      <c r="C1160" s="6" t="s">
        <v>2796</v>
      </c>
      <c r="D1160" s="7">
        <v>0.81388888888888888</v>
      </c>
      <c r="E1160" s="6" t="s">
        <v>16</v>
      </c>
      <c r="F1160" s="6" t="s">
        <v>379</v>
      </c>
      <c r="G1160" s="4">
        <v>27062</v>
      </c>
      <c r="H1160" s="6" t="s">
        <v>141</v>
      </c>
      <c r="I1160">
        <v>164</v>
      </c>
      <c r="J1160">
        <v>2</v>
      </c>
      <c r="K1160">
        <v>330</v>
      </c>
      <c r="L1160" s="6" t="s">
        <v>41</v>
      </c>
      <c r="M1160" s="6" t="s">
        <v>89</v>
      </c>
      <c r="N1160" s="6" t="s">
        <v>33</v>
      </c>
    </row>
    <row r="1161" spans="1:14" x14ac:dyDescent="0.25">
      <c r="A1161" s="6" t="s">
        <v>1763</v>
      </c>
      <c r="B1161" s="4">
        <v>45673</v>
      </c>
      <c r="C1161" s="6" t="s">
        <v>2794</v>
      </c>
      <c r="D1161" s="7">
        <v>0.65486111111111112</v>
      </c>
      <c r="E1161" s="6" t="s">
        <v>16</v>
      </c>
      <c r="F1161" s="6" t="s">
        <v>377</v>
      </c>
      <c r="G1161" s="4">
        <v>27062</v>
      </c>
      <c r="H1161" s="6" t="s">
        <v>243</v>
      </c>
      <c r="I1161">
        <v>108</v>
      </c>
      <c r="J1161">
        <v>2</v>
      </c>
      <c r="K1161">
        <v>231</v>
      </c>
      <c r="L1161" s="6" t="s">
        <v>19</v>
      </c>
      <c r="M1161" s="6" t="s">
        <v>20</v>
      </c>
      <c r="N1161" s="6" t="s">
        <v>27</v>
      </c>
    </row>
    <row r="1162" spans="1:14" x14ac:dyDescent="0.25">
      <c r="A1162" s="6" t="s">
        <v>1765</v>
      </c>
      <c r="B1162" s="4">
        <v>45838</v>
      </c>
      <c r="C1162" s="6" t="s">
        <v>2800</v>
      </c>
      <c r="D1162" s="7">
        <v>0.91874999999999996</v>
      </c>
      <c r="E1162" s="6" t="s">
        <v>16</v>
      </c>
      <c r="F1162" s="6" t="s">
        <v>128</v>
      </c>
      <c r="G1162" s="4">
        <v>33454</v>
      </c>
      <c r="H1162" s="6" t="s">
        <v>93</v>
      </c>
      <c r="I1162">
        <v>225</v>
      </c>
      <c r="J1162">
        <v>3</v>
      </c>
      <c r="K1162">
        <v>676</v>
      </c>
      <c r="L1162" s="6" t="s">
        <v>19</v>
      </c>
      <c r="M1162" s="6" t="s">
        <v>32</v>
      </c>
      <c r="N1162" s="6" t="s">
        <v>33</v>
      </c>
    </row>
    <row r="1163" spans="1:14" x14ac:dyDescent="0.25">
      <c r="A1163" s="6" t="s">
        <v>1767</v>
      </c>
      <c r="B1163" s="4">
        <v>45689</v>
      </c>
      <c r="C1163" s="6" t="s">
        <v>2799</v>
      </c>
      <c r="D1163" s="7">
        <v>0.65930555555555559</v>
      </c>
      <c r="E1163" s="6" t="s">
        <v>16</v>
      </c>
      <c r="F1163" s="6" t="s">
        <v>66</v>
      </c>
      <c r="G1163" s="4">
        <v>25735</v>
      </c>
      <c r="H1163" s="6" t="s">
        <v>199</v>
      </c>
      <c r="I1163">
        <v>180</v>
      </c>
      <c r="J1163">
        <v>1</v>
      </c>
      <c r="K1163">
        <v>180</v>
      </c>
      <c r="L1163" s="6" t="s">
        <v>41</v>
      </c>
      <c r="M1163" s="6" t="s">
        <v>89</v>
      </c>
      <c r="N1163" s="6" t="s">
        <v>33</v>
      </c>
    </row>
    <row r="1164" spans="1:14" x14ac:dyDescent="0.25">
      <c r="A1164" s="6" t="s">
        <v>1768</v>
      </c>
      <c r="B1164" s="4">
        <v>45842</v>
      </c>
      <c r="C1164" s="6" t="s">
        <v>2795</v>
      </c>
      <c r="D1164" s="7">
        <v>0.89652777777777781</v>
      </c>
      <c r="E1164" s="6" t="s">
        <v>16</v>
      </c>
      <c r="F1164" s="6" t="s">
        <v>1268</v>
      </c>
      <c r="G1164" s="4">
        <v>34392</v>
      </c>
      <c r="H1164" s="6" t="s">
        <v>213</v>
      </c>
      <c r="I1164">
        <v>215</v>
      </c>
      <c r="J1164">
        <v>3</v>
      </c>
      <c r="K1164">
        <v>646</v>
      </c>
      <c r="L1164" s="6" t="s">
        <v>41</v>
      </c>
      <c r="M1164" s="6" t="s">
        <v>47</v>
      </c>
      <c r="N1164" s="6" t="s">
        <v>33</v>
      </c>
    </row>
    <row r="1165" spans="1:14" x14ac:dyDescent="0.25">
      <c r="A1165" s="6" t="s">
        <v>1769</v>
      </c>
      <c r="B1165" s="4">
        <v>45976</v>
      </c>
      <c r="C1165" s="6" t="s">
        <v>2802</v>
      </c>
      <c r="D1165" s="7">
        <v>0.96247685185185183</v>
      </c>
      <c r="E1165" s="6" t="s">
        <v>16</v>
      </c>
      <c r="F1165" s="6" t="s">
        <v>98</v>
      </c>
      <c r="G1165" s="4">
        <v>33005</v>
      </c>
      <c r="H1165" s="6" t="s">
        <v>141</v>
      </c>
      <c r="I1165">
        <v>112</v>
      </c>
      <c r="J1165">
        <v>3</v>
      </c>
      <c r="K1165">
        <v>336</v>
      </c>
      <c r="L1165" s="6" t="s">
        <v>41</v>
      </c>
      <c r="M1165" s="6" t="s">
        <v>47</v>
      </c>
      <c r="N1165" s="6" t="s">
        <v>48</v>
      </c>
    </row>
    <row r="1166" spans="1:14" x14ac:dyDescent="0.25">
      <c r="A1166" s="6" t="s">
        <v>1770</v>
      </c>
      <c r="B1166" s="4">
        <v>45968</v>
      </c>
      <c r="C1166" s="6" t="s">
        <v>2802</v>
      </c>
      <c r="D1166" s="7">
        <v>0.84027777777777779</v>
      </c>
      <c r="E1166" s="6" t="s">
        <v>16</v>
      </c>
      <c r="F1166" s="6" t="s">
        <v>44</v>
      </c>
      <c r="G1166" s="4">
        <v>33584</v>
      </c>
      <c r="H1166" s="6" t="s">
        <v>126</v>
      </c>
      <c r="I1166">
        <v>38</v>
      </c>
      <c r="J1166">
        <v>2</v>
      </c>
      <c r="K1166">
        <v>77</v>
      </c>
      <c r="L1166" s="6" t="s">
        <v>41</v>
      </c>
      <c r="M1166" s="6" t="s">
        <v>26</v>
      </c>
      <c r="N1166" s="6" t="s">
        <v>56</v>
      </c>
    </row>
    <row r="1167" spans="1:14" x14ac:dyDescent="0.25">
      <c r="A1167" s="6" t="s">
        <v>1771</v>
      </c>
      <c r="B1167" s="4">
        <v>45958</v>
      </c>
      <c r="C1167" s="6" t="s">
        <v>2791</v>
      </c>
      <c r="D1167" s="7">
        <v>0.86416666666666664</v>
      </c>
      <c r="E1167" s="6" t="s">
        <v>16</v>
      </c>
      <c r="F1167" s="6" t="s">
        <v>351</v>
      </c>
      <c r="G1167" s="4">
        <v>30958</v>
      </c>
      <c r="H1167" s="6" t="s">
        <v>202</v>
      </c>
      <c r="I1167">
        <v>263</v>
      </c>
      <c r="J1167">
        <v>2</v>
      </c>
      <c r="K1167">
        <v>527</v>
      </c>
      <c r="L1167" s="6" t="s">
        <v>41</v>
      </c>
      <c r="M1167" s="6" t="s">
        <v>20</v>
      </c>
      <c r="N1167" s="6" t="s">
        <v>105</v>
      </c>
    </row>
    <row r="1168" spans="1:14" x14ac:dyDescent="0.25">
      <c r="A1168" s="6" t="s">
        <v>1773</v>
      </c>
      <c r="B1168" s="4">
        <v>45904</v>
      </c>
      <c r="C1168" s="6" t="s">
        <v>2797</v>
      </c>
      <c r="D1168" s="7">
        <v>0.77971064814814817</v>
      </c>
      <c r="E1168" s="6" t="s">
        <v>16</v>
      </c>
      <c r="F1168" s="6" t="s">
        <v>128</v>
      </c>
      <c r="G1168" s="4">
        <v>32935</v>
      </c>
      <c r="H1168" s="6" t="s">
        <v>145</v>
      </c>
      <c r="I1168">
        <v>311</v>
      </c>
      <c r="J1168">
        <v>2</v>
      </c>
      <c r="K1168">
        <v>622</v>
      </c>
      <c r="L1168" s="6" t="s">
        <v>19</v>
      </c>
      <c r="M1168" s="6" t="s">
        <v>55</v>
      </c>
      <c r="N1168" s="6" t="s">
        <v>74</v>
      </c>
    </row>
    <row r="1169" spans="1:14" x14ac:dyDescent="0.25">
      <c r="A1169" s="6" t="s">
        <v>1774</v>
      </c>
      <c r="B1169" s="4">
        <v>45927</v>
      </c>
      <c r="C1169" s="6" t="s">
        <v>2797</v>
      </c>
      <c r="D1169" s="7">
        <v>0.94652777777777775</v>
      </c>
      <c r="E1169" s="6" t="s">
        <v>16</v>
      </c>
      <c r="F1169" s="6" t="s">
        <v>338</v>
      </c>
      <c r="G1169" s="4">
        <v>26871</v>
      </c>
      <c r="H1169" s="6" t="s">
        <v>18</v>
      </c>
      <c r="I1169">
        <v>78</v>
      </c>
      <c r="J1169">
        <v>1</v>
      </c>
      <c r="L1169" s="6" t="s">
        <v>19</v>
      </c>
      <c r="M1169" s="6" t="s">
        <v>26</v>
      </c>
      <c r="N1169" s="6" t="s">
        <v>21</v>
      </c>
    </row>
    <row r="1170" spans="1:14" x14ac:dyDescent="0.25">
      <c r="A1170" s="6" t="s">
        <v>1777</v>
      </c>
      <c r="B1170" s="4">
        <v>45877</v>
      </c>
      <c r="C1170" s="6" t="s">
        <v>2793</v>
      </c>
      <c r="D1170" s="7">
        <v>0.68194444444444446</v>
      </c>
      <c r="E1170" s="6" t="s">
        <v>16</v>
      </c>
      <c r="F1170" s="6" t="s">
        <v>218</v>
      </c>
      <c r="G1170" s="4">
        <v>34051</v>
      </c>
      <c r="H1170" s="6" t="s">
        <v>30</v>
      </c>
      <c r="I1170">
        <v>254</v>
      </c>
      <c r="J1170">
        <v>2</v>
      </c>
      <c r="K1170">
        <v>509</v>
      </c>
      <c r="L1170" s="6" t="s">
        <v>67</v>
      </c>
      <c r="M1170" s="6" t="s">
        <v>61</v>
      </c>
      <c r="N1170" s="6" t="s">
        <v>21</v>
      </c>
    </row>
    <row r="1171" spans="1:14" x14ac:dyDescent="0.25">
      <c r="A1171" s="6" t="s">
        <v>1778</v>
      </c>
      <c r="B1171" s="4">
        <v>45953</v>
      </c>
      <c r="C1171" s="6" t="s">
        <v>2791</v>
      </c>
      <c r="D1171" s="7">
        <v>0.68541666666666667</v>
      </c>
      <c r="E1171" s="6" t="s">
        <v>16</v>
      </c>
      <c r="F1171" s="6" t="s">
        <v>95</v>
      </c>
      <c r="G1171" s="4">
        <v>38347</v>
      </c>
      <c r="H1171" s="6" t="s">
        <v>164</v>
      </c>
      <c r="I1171">
        <v>294</v>
      </c>
      <c r="J1171">
        <v>3</v>
      </c>
      <c r="K1171">
        <v>883</v>
      </c>
      <c r="L1171" s="6" t="s">
        <v>41</v>
      </c>
      <c r="M1171" s="6" t="s">
        <v>37</v>
      </c>
      <c r="N1171" s="6" t="s">
        <v>48</v>
      </c>
    </row>
    <row r="1172" spans="1:14" x14ac:dyDescent="0.25">
      <c r="A1172" s="6" t="s">
        <v>1779</v>
      </c>
      <c r="B1172" s="4">
        <v>45834</v>
      </c>
      <c r="C1172" s="6" t="s">
        <v>2800</v>
      </c>
      <c r="D1172" s="7">
        <v>0.85416666666666663</v>
      </c>
      <c r="E1172" s="6" t="s">
        <v>16</v>
      </c>
      <c r="F1172" s="6" t="s">
        <v>770</v>
      </c>
      <c r="G1172" s="4">
        <v>38112</v>
      </c>
      <c r="H1172" s="6" t="s">
        <v>30</v>
      </c>
      <c r="I1172">
        <v>256</v>
      </c>
      <c r="J1172">
        <v>1</v>
      </c>
      <c r="K1172">
        <v>257</v>
      </c>
      <c r="L1172" s="6" t="s">
        <v>41</v>
      </c>
      <c r="M1172" s="6" t="s">
        <v>26</v>
      </c>
      <c r="N1172" s="6" t="s">
        <v>105</v>
      </c>
    </row>
    <row r="1173" spans="1:14" x14ac:dyDescent="0.25">
      <c r="A1173" s="6" t="s">
        <v>1780</v>
      </c>
      <c r="B1173" s="4">
        <v>45964</v>
      </c>
      <c r="C1173" s="6" t="s">
        <v>2802</v>
      </c>
      <c r="D1173" s="7">
        <v>0.99027777777777781</v>
      </c>
      <c r="E1173" s="6" t="s">
        <v>16</v>
      </c>
      <c r="F1173" s="6" t="s">
        <v>59</v>
      </c>
      <c r="G1173" s="4">
        <v>36223</v>
      </c>
      <c r="H1173" s="6" t="s">
        <v>60</v>
      </c>
      <c r="I1173">
        <v>219</v>
      </c>
      <c r="J1173">
        <v>2</v>
      </c>
      <c r="K1173">
        <v>438</v>
      </c>
      <c r="L1173" s="6" t="s">
        <v>19</v>
      </c>
      <c r="M1173" s="6" t="s">
        <v>20</v>
      </c>
      <c r="N1173" s="6" t="s">
        <v>56</v>
      </c>
    </row>
    <row r="1174" spans="1:14" x14ac:dyDescent="0.25">
      <c r="A1174" s="6" t="s">
        <v>1781</v>
      </c>
      <c r="B1174" s="4">
        <v>45834</v>
      </c>
      <c r="C1174" s="6" t="s">
        <v>2800</v>
      </c>
      <c r="D1174" s="7">
        <v>0.8011921296296296</v>
      </c>
      <c r="E1174" s="6" t="s">
        <v>16</v>
      </c>
      <c r="F1174" s="6" t="s">
        <v>512</v>
      </c>
      <c r="G1174" s="4">
        <v>28676</v>
      </c>
      <c r="H1174" s="6" t="s">
        <v>24</v>
      </c>
      <c r="I1174">
        <v>256</v>
      </c>
      <c r="J1174">
        <v>1</v>
      </c>
      <c r="K1174">
        <v>243</v>
      </c>
      <c r="L1174" s="6" t="s">
        <v>67</v>
      </c>
      <c r="M1174" s="6" t="s">
        <v>32</v>
      </c>
      <c r="N1174" s="6" t="s">
        <v>105</v>
      </c>
    </row>
    <row r="1175" spans="1:14" x14ac:dyDescent="0.25">
      <c r="A1175" s="6" t="s">
        <v>1782</v>
      </c>
      <c r="B1175" s="4">
        <v>45866</v>
      </c>
      <c r="C1175" s="6" t="s">
        <v>2795</v>
      </c>
      <c r="D1175" s="7">
        <v>0.94930555555555551</v>
      </c>
      <c r="E1175" s="6" t="s">
        <v>16</v>
      </c>
      <c r="F1175" s="6" t="s">
        <v>44</v>
      </c>
      <c r="G1175" s="4">
        <v>39405</v>
      </c>
      <c r="H1175" s="6" t="s">
        <v>213</v>
      </c>
      <c r="I1175">
        <v>226</v>
      </c>
      <c r="J1175">
        <v>1</v>
      </c>
      <c r="K1175">
        <v>226</v>
      </c>
      <c r="L1175" s="6" t="s">
        <v>67</v>
      </c>
      <c r="M1175" s="6" t="s">
        <v>37</v>
      </c>
      <c r="N1175" s="6" t="s">
        <v>105</v>
      </c>
    </row>
    <row r="1176" spans="1:14" x14ac:dyDescent="0.25">
      <c r="A1176" s="6" t="s">
        <v>1783</v>
      </c>
      <c r="B1176" s="4">
        <v>45860</v>
      </c>
      <c r="C1176" s="6" t="s">
        <v>2795</v>
      </c>
      <c r="D1176" s="7">
        <v>0.72733796296296294</v>
      </c>
      <c r="E1176" s="6" t="s">
        <v>16</v>
      </c>
      <c r="F1176" s="6" t="s">
        <v>166</v>
      </c>
      <c r="G1176" s="4">
        <v>35962</v>
      </c>
      <c r="H1176" s="6" t="s">
        <v>243</v>
      </c>
      <c r="I1176">
        <v>164</v>
      </c>
      <c r="J1176">
        <v>3</v>
      </c>
      <c r="K1176">
        <v>493</v>
      </c>
      <c r="L1176" s="6" t="s">
        <v>2787</v>
      </c>
      <c r="M1176" s="6" t="s">
        <v>37</v>
      </c>
      <c r="N1176" s="6" t="s">
        <v>105</v>
      </c>
    </row>
    <row r="1177" spans="1:14" x14ac:dyDescent="0.25">
      <c r="A1177" s="6" t="s">
        <v>1784</v>
      </c>
      <c r="B1177" s="4">
        <v>45979</v>
      </c>
      <c r="C1177" s="6" t="s">
        <v>2802</v>
      </c>
      <c r="D1177" s="7">
        <v>0.47361111111111109</v>
      </c>
      <c r="E1177" s="6" t="s">
        <v>16</v>
      </c>
      <c r="F1177" s="6" t="s">
        <v>52</v>
      </c>
      <c r="G1177" s="4">
        <v>30994</v>
      </c>
      <c r="H1177" s="6" t="s">
        <v>145</v>
      </c>
      <c r="I1177">
        <v>349</v>
      </c>
      <c r="J1177">
        <v>3</v>
      </c>
      <c r="K1177">
        <v>1050</v>
      </c>
      <c r="L1177" s="6" t="s">
        <v>67</v>
      </c>
      <c r="M1177" s="6" t="s">
        <v>61</v>
      </c>
      <c r="N1177" s="6" t="s">
        <v>21</v>
      </c>
    </row>
    <row r="1178" spans="1:14" x14ac:dyDescent="0.25">
      <c r="A1178" s="6" t="s">
        <v>1785</v>
      </c>
      <c r="B1178" s="4">
        <v>45969</v>
      </c>
      <c r="C1178" s="6" t="s">
        <v>2802</v>
      </c>
      <c r="D1178" s="7">
        <v>0.72361111111111109</v>
      </c>
      <c r="E1178" s="6" t="s">
        <v>16</v>
      </c>
      <c r="F1178" s="6" t="s">
        <v>332</v>
      </c>
      <c r="G1178" s="4">
        <v>27540</v>
      </c>
      <c r="H1178" s="6" t="s">
        <v>178</v>
      </c>
      <c r="I1178">
        <v>229</v>
      </c>
      <c r="J1178">
        <v>2</v>
      </c>
      <c r="K1178">
        <v>458</v>
      </c>
      <c r="L1178" s="6" t="s">
        <v>2787</v>
      </c>
      <c r="M1178" s="6" t="s">
        <v>47</v>
      </c>
      <c r="N1178" s="6" t="s">
        <v>74</v>
      </c>
    </row>
    <row r="1179" spans="1:14" x14ac:dyDescent="0.25">
      <c r="A1179" s="6" t="s">
        <v>1786</v>
      </c>
      <c r="B1179" s="4">
        <v>45753</v>
      </c>
      <c r="C1179" s="6" t="s">
        <v>2801</v>
      </c>
      <c r="D1179" s="7">
        <v>0.96527777777777779</v>
      </c>
      <c r="E1179" s="6" t="s">
        <v>16</v>
      </c>
      <c r="F1179" s="6" t="s">
        <v>107</v>
      </c>
      <c r="G1179" s="4">
        <v>25874</v>
      </c>
      <c r="H1179" s="6" t="s">
        <v>126</v>
      </c>
      <c r="I1179">
        <v>101</v>
      </c>
      <c r="J1179">
        <v>3</v>
      </c>
      <c r="K1179">
        <v>306</v>
      </c>
      <c r="L1179" s="6" t="s">
        <v>54</v>
      </c>
      <c r="M1179" s="6" t="s">
        <v>47</v>
      </c>
      <c r="N1179" s="6" t="s">
        <v>33</v>
      </c>
    </row>
    <row r="1180" spans="1:14" x14ac:dyDescent="0.25">
      <c r="A1180" s="6" t="s">
        <v>1787</v>
      </c>
      <c r="B1180" s="4">
        <v>45893</v>
      </c>
      <c r="C1180" s="6" t="s">
        <v>2793</v>
      </c>
      <c r="D1180" s="7">
        <v>0.41666666666666669</v>
      </c>
      <c r="E1180" s="6" t="s">
        <v>16</v>
      </c>
      <c r="F1180" s="6" t="s">
        <v>66</v>
      </c>
      <c r="G1180" s="4">
        <v>28658</v>
      </c>
      <c r="H1180" s="6" t="s">
        <v>141</v>
      </c>
      <c r="I1180">
        <v>132</v>
      </c>
      <c r="J1180">
        <v>1</v>
      </c>
      <c r="K1180">
        <v>132</v>
      </c>
      <c r="L1180" s="6" t="s">
        <v>67</v>
      </c>
      <c r="M1180" s="6" t="s">
        <v>47</v>
      </c>
      <c r="N1180" s="6" t="s">
        <v>27</v>
      </c>
    </row>
    <row r="1181" spans="1:14" x14ac:dyDescent="0.25">
      <c r="A1181" s="6" t="s">
        <v>1788</v>
      </c>
      <c r="B1181" s="4">
        <v>45981</v>
      </c>
      <c r="C1181" s="6" t="s">
        <v>2802</v>
      </c>
      <c r="D1181" s="7">
        <v>0.65347222222222223</v>
      </c>
      <c r="E1181" s="6" t="s">
        <v>16</v>
      </c>
      <c r="F1181" s="6" t="s">
        <v>191</v>
      </c>
      <c r="G1181" s="4">
        <v>27190</v>
      </c>
      <c r="H1181" s="6" t="s">
        <v>30</v>
      </c>
      <c r="I1181">
        <v>243</v>
      </c>
      <c r="J1181">
        <v>2</v>
      </c>
      <c r="K1181">
        <v>486</v>
      </c>
      <c r="L1181" s="6" t="s">
        <v>19</v>
      </c>
      <c r="M1181" s="6" t="s">
        <v>32</v>
      </c>
      <c r="N1181" s="6" t="s">
        <v>74</v>
      </c>
    </row>
    <row r="1182" spans="1:14" x14ac:dyDescent="0.25">
      <c r="A1182" s="6" t="s">
        <v>1790</v>
      </c>
      <c r="B1182" s="4">
        <v>45784</v>
      </c>
      <c r="C1182" s="6" t="s">
        <v>2792</v>
      </c>
      <c r="D1182" s="7">
        <v>0.4513888888888889</v>
      </c>
      <c r="E1182" s="6" t="s">
        <v>16</v>
      </c>
      <c r="F1182" s="6" t="s">
        <v>628</v>
      </c>
      <c r="G1182" s="4">
        <v>29886</v>
      </c>
      <c r="H1182" s="6" t="s">
        <v>60</v>
      </c>
      <c r="I1182">
        <v>257</v>
      </c>
      <c r="J1182">
        <v>2</v>
      </c>
      <c r="K1182">
        <v>516</v>
      </c>
      <c r="L1182" s="6" t="s">
        <v>41</v>
      </c>
      <c r="M1182" s="6" t="s">
        <v>47</v>
      </c>
      <c r="N1182" s="6" t="s">
        <v>74</v>
      </c>
    </row>
    <row r="1183" spans="1:14" x14ac:dyDescent="0.25">
      <c r="A1183" s="6" t="s">
        <v>1791</v>
      </c>
      <c r="B1183" s="4">
        <v>45820</v>
      </c>
      <c r="C1183" s="6" t="s">
        <v>2800</v>
      </c>
      <c r="D1183" s="7">
        <v>0.47093750000000001</v>
      </c>
      <c r="E1183" s="6" t="s">
        <v>16</v>
      </c>
      <c r="F1183" s="6" t="s">
        <v>349</v>
      </c>
      <c r="G1183" s="4">
        <v>36543</v>
      </c>
      <c r="H1183" s="6" t="s">
        <v>104</v>
      </c>
      <c r="I1183">
        <v>217</v>
      </c>
      <c r="J1183">
        <v>1</v>
      </c>
      <c r="K1183">
        <v>218</v>
      </c>
      <c r="L1183" s="6" t="s">
        <v>54</v>
      </c>
      <c r="M1183" s="6" t="s">
        <v>26</v>
      </c>
      <c r="N1183" s="6" t="s">
        <v>48</v>
      </c>
    </row>
    <row r="1184" spans="1:14" x14ac:dyDescent="0.25">
      <c r="A1184" s="6" t="s">
        <v>1792</v>
      </c>
      <c r="B1184" s="4">
        <v>45907</v>
      </c>
      <c r="C1184" s="6" t="s">
        <v>2797</v>
      </c>
      <c r="D1184" s="7">
        <v>0.76112268518518522</v>
      </c>
      <c r="E1184" s="6" t="s">
        <v>16</v>
      </c>
      <c r="F1184" s="6" t="s">
        <v>107</v>
      </c>
      <c r="G1184" s="4">
        <v>26922</v>
      </c>
      <c r="H1184" s="6" t="s">
        <v>53</v>
      </c>
      <c r="I1184">
        <v>101</v>
      </c>
      <c r="J1184">
        <v>2</v>
      </c>
      <c r="K1184">
        <v>203</v>
      </c>
      <c r="L1184" s="6" t="s">
        <v>67</v>
      </c>
      <c r="M1184" s="6" t="s">
        <v>20</v>
      </c>
      <c r="N1184" s="6" t="s">
        <v>105</v>
      </c>
    </row>
    <row r="1185" spans="1:14" x14ac:dyDescent="0.25">
      <c r="A1185" s="6" t="s">
        <v>1793</v>
      </c>
      <c r="B1185" s="4">
        <v>45965</v>
      </c>
      <c r="C1185" s="6" t="s">
        <v>2802</v>
      </c>
      <c r="D1185" s="7">
        <v>0.56458333333333333</v>
      </c>
      <c r="E1185" s="6" t="s">
        <v>16</v>
      </c>
      <c r="F1185" s="6" t="s">
        <v>1794</v>
      </c>
      <c r="G1185" s="4">
        <v>33043</v>
      </c>
      <c r="H1185" s="6" t="s">
        <v>53</v>
      </c>
      <c r="I1185">
        <v>98</v>
      </c>
      <c r="J1185">
        <v>1</v>
      </c>
      <c r="K1185">
        <v>98</v>
      </c>
      <c r="L1185" s="6" t="s">
        <v>2787</v>
      </c>
      <c r="M1185" s="6" t="s">
        <v>20</v>
      </c>
      <c r="N1185" s="6" t="s">
        <v>105</v>
      </c>
    </row>
    <row r="1186" spans="1:14" x14ac:dyDescent="0.25">
      <c r="A1186" s="6" t="s">
        <v>1795</v>
      </c>
      <c r="B1186" s="4">
        <v>45927</v>
      </c>
      <c r="C1186" s="6" t="s">
        <v>2797</v>
      </c>
      <c r="D1186" s="7">
        <v>0.4491087962962963</v>
      </c>
      <c r="E1186" s="6" t="s">
        <v>16</v>
      </c>
      <c r="F1186" s="6" t="s">
        <v>82</v>
      </c>
      <c r="G1186" s="4">
        <v>31188</v>
      </c>
      <c r="H1186" s="6" t="s">
        <v>40</v>
      </c>
      <c r="I1186">
        <v>161</v>
      </c>
      <c r="J1186">
        <v>3</v>
      </c>
      <c r="K1186">
        <v>485</v>
      </c>
      <c r="L1186" s="6" t="s">
        <v>41</v>
      </c>
      <c r="M1186" s="6" t="s">
        <v>61</v>
      </c>
      <c r="N1186" s="6" t="s">
        <v>27</v>
      </c>
    </row>
    <row r="1187" spans="1:14" x14ac:dyDescent="0.25">
      <c r="A1187" s="6" t="s">
        <v>1796</v>
      </c>
      <c r="B1187" s="4">
        <v>45756</v>
      </c>
      <c r="C1187" s="6" t="s">
        <v>2801</v>
      </c>
      <c r="D1187" s="7">
        <v>0.45</v>
      </c>
      <c r="E1187" s="6" t="s">
        <v>16</v>
      </c>
      <c r="F1187" s="6" t="s">
        <v>79</v>
      </c>
      <c r="G1187" s="4">
        <v>35726</v>
      </c>
      <c r="H1187" s="6" t="s">
        <v>45</v>
      </c>
      <c r="I1187">
        <v>101</v>
      </c>
      <c r="J1187">
        <v>1</v>
      </c>
      <c r="K1187">
        <v>101</v>
      </c>
      <c r="L1187" s="6" t="s">
        <v>19</v>
      </c>
      <c r="M1187" s="6" t="s">
        <v>37</v>
      </c>
      <c r="N1187" s="6" t="s">
        <v>33</v>
      </c>
    </row>
    <row r="1188" spans="1:14" x14ac:dyDescent="0.25">
      <c r="A1188" s="6" t="s">
        <v>1797</v>
      </c>
      <c r="B1188" s="4">
        <v>45869</v>
      </c>
      <c r="C1188" s="6" t="s">
        <v>2795</v>
      </c>
      <c r="D1188" s="7">
        <v>0.86041666666666672</v>
      </c>
      <c r="E1188" s="6" t="s">
        <v>16</v>
      </c>
      <c r="F1188" s="6" t="s">
        <v>229</v>
      </c>
      <c r="G1188" s="4">
        <v>35726</v>
      </c>
      <c r="H1188" s="6" t="s">
        <v>93</v>
      </c>
      <c r="I1188">
        <v>173</v>
      </c>
      <c r="J1188">
        <v>1</v>
      </c>
      <c r="K1188">
        <v>173</v>
      </c>
      <c r="L1188" s="6" t="s">
        <v>54</v>
      </c>
      <c r="M1188" s="6" t="s">
        <v>37</v>
      </c>
      <c r="N1188" s="6" t="s">
        <v>21</v>
      </c>
    </row>
    <row r="1189" spans="1:14" x14ac:dyDescent="0.25">
      <c r="A1189" s="6" t="s">
        <v>1798</v>
      </c>
      <c r="B1189" s="4">
        <v>45702</v>
      </c>
      <c r="C1189" s="6" t="s">
        <v>2799</v>
      </c>
      <c r="D1189" s="7">
        <v>0.54652777777777772</v>
      </c>
      <c r="E1189" s="6" t="s">
        <v>16</v>
      </c>
      <c r="F1189" s="6" t="s">
        <v>267</v>
      </c>
      <c r="G1189" s="4">
        <v>29871</v>
      </c>
      <c r="H1189" s="6" t="s">
        <v>116</v>
      </c>
      <c r="I1189">
        <v>173</v>
      </c>
      <c r="J1189">
        <v>3</v>
      </c>
      <c r="K1189">
        <v>173</v>
      </c>
      <c r="L1189" s="6" t="s">
        <v>19</v>
      </c>
      <c r="M1189" s="6" t="s">
        <v>61</v>
      </c>
      <c r="N1189" s="6" t="s">
        <v>74</v>
      </c>
    </row>
    <row r="1190" spans="1:14" x14ac:dyDescent="0.25">
      <c r="A1190" s="6" t="s">
        <v>1799</v>
      </c>
      <c r="B1190" s="4">
        <v>45792</v>
      </c>
      <c r="C1190" s="6" t="s">
        <v>2792</v>
      </c>
      <c r="D1190" s="7">
        <v>0.99179398148148146</v>
      </c>
      <c r="E1190" s="6" t="s">
        <v>16</v>
      </c>
      <c r="F1190" s="6" t="s">
        <v>158</v>
      </c>
      <c r="G1190" s="4">
        <v>37472</v>
      </c>
      <c r="H1190" s="6" t="s">
        <v>77</v>
      </c>
      <c r="I1190">
        <v>200</v>
      </c>
      <c r="J1190">
        <v>1</v>
      </c>
      <c r="K1190">
        <v>100</v>
      </c>
      <c r="L1190" s="6" t="s">
        <v>41</v>
      </c>
      <c r="M1190" s="6" t="s">
        <v>55</v>
      </c>
      <c r="N1190" s="6" t="s">
        <v>48</v>
      </c>
    </row>
    <row r="1191" spans="1:14" x14ac:dyDescent="0.25">
      <c r="A1191" s="6" t="s">
        <v>1800</v>
      </c>
      <c r="B1191" s="4">
        <v>45644</v>
      </c>
      <c r="C1191" s="6" t="s">
        <v>2796</v>
      </c>
      <c r="D1191" s="7">
        <v>0.86527777777777781</v>
      </c>
      <c r="E1191" s="6" t="s">
        <v>16</v>
      </c>
      <c r="F1191" s="6" t="s">
        <v>512</v>
      </c>
      <c r="G1191" s="4">
        <v>40531</v>
      </c>
      <c r="H1191" s="6" t="s">
        <v>199</v>
      </c>
      <c r="I1191">
        <v>195</v>
      </c>
      <c r="J1191">
        <v>2</v>
      </c>
      <c r="K1191">
        <v>391</v>
      </c>
      <c r="L1191" s="6" t="s">
        <v>41</v>
      </c>
      <c r="M1191" s="6" t="s">
        <v>32</v>
      </c>
      <c r="N1191" s="6" t="s">
        <v>27</v>
      </c>
    </row>
    <row r="1192" spans="1:14" x14ac:dyDescent="0.25">
      <c r="A1192" s="6" t="s">
        <v>1801</v>
      </c>
      <c r="B1192" s="4">
        <v>45952</v>
      </c>
      <c r="C1192" s="6" t="s">
        <v>2791</v>
      </c>
      <c r="D1192" s="7">
        <v>0.46805555555555556</v>
      </c>
      <c r="E1192" s="6" t="s">
        <v>16</v>
      </c>
      <c r="F1192" s="6" t="s">
        <v>267</v>
      </c>
      <c r="G1192" s="4">
        <v>40531</v>
      </c>
      <c r="H1192" s="6" t="s">
        <v>259</v>
      </c>
      <c r="I1192">
        <v>84</v>
      </c>
      <c r="J1192">
        <v>3</v>
      </c>
      <c r="K1192">
        <v>254</v>
      </c>
      <c r="L1192" s="6" t="s">
        <v>54</v>
      </c>
      <c r="M1192" s="6" t="s">
        <v>37</v>
      </c>
      <c r="N1192" s="6" t="s">
        <v>56</v>
      </c>
    </row>
    <row r="1193" spans="1:14" x14ac:dyDescent="0.25">
      <c r="A1193" s="6" t="s">
        <v>1802</v>
      </c>
      <c r="B1193" s="4">
        <v>45666</v>
      </c>
      <c r="C1193" s="6" t="s">
        <v>2794</v>
      </c>
      <c r="D1193" s="7">
        <v>0.96944444444444444</v>
      </c>
      <c r="E1193" s="6" t="s">
        <v>16</v>
      </c>
      <c r="F1193" s="6" t="s">
        <v>1804</v>
      </c>
      <c r="G1193" s="4">
        <v>29240</v>
      </c>
      <c r="H1193" s="6" t="s">
        <v>30</v>
      </c>
      <c r="I1193">
        <v>280</v>
      </c>
      <c r="J1193">
        <v>1</v>
      </c>
      <c r="K1193">
        <v>281</v>
      </c>
      <c r="L1193" s="6" t="s">
        <v>19</v>
      </c>
      <c r="M1193" s="6" t="s">
        <v>55</v>
      </c>
      <c r="N1193" s="6" t="s">
        <v>56</v>
      </c>
    </row>
    <row r="1194" spans="1:14" x14ac:dyDescent="0.25">
      <c r="A1194" s="6" t="s">
        <v>1806</v>
      </c>
      <c r="B1194" s="4">
        <v>45631</v>
      </c>
      <c r="C1194" s="6" t="s">
        <v>2796</v>
      </c>
      <c r="D1194" s="7">
        <v>0.43958333333333333</v>
      </c>
      <c r="E1194" s="6" t="s">
        <v>16</v>
      </c>
      <c r="F1194" s="6" t="s">
        <v>475</v>
      </c>
      <c r="G1194" s="4">
        <v>37105</v>
      </c>
      <c r="H1194" s="6" t="s">
        <v>24</v>
      </c>
      <c r="I1194">
        <v>266</v>
      </c>
      <c r="J1194">
        <v>1</v>
      </c>
      <c r="K1194">
        <v>266</v>
      </c>
      <c r="L1194" s="6" t="s">
        <v>19</v>
      </c>
      <c r="M1194" s="6" t="s">
        <v>32</v>
      </c>
      <c r="N1194" s="6" t="s">
        <v>105</v>
      </c>
    </row>
    <row r="1195" spans="1:14" x14ac:dyDescent="0.25">
      <c r="A1195" s="6" t="s">
        <v>1807</v>
      </c>
      <c r="B1195" s="4">
        <v>45660</v>
      </c>
      <c r="C1195" s="6" t="s">
        <v>2794</v>
      </c>
      <c r="D1195" s="7">
        <v>0.71527777777777779</v>
      </c>
      <c r="E1195" s="6" t="s">
        <v>16</v>
      </c>
      <c r="F1195" s="6" t="s">
        <v>50</v>
      </c>
      <c r="G1195" s="4">
        <v>37105</v>
      </c>
      <c r="H1195" s="6" t="s">
        <v>126</v>
      </c>
      <c r="I1195">
        <v>135</v>
      </c>
      <c r="J1195">
        <v>2</v>
      </c>
      <c r="K1195">
        <v>271</v>
      </c>
      <c r="L1195" s="6" t="s">
        <v>54</v>
      </c>
      <c r="M1195" s="6" t="s">
        <v>26</v>
      </c>
      <c r="N1195" s="6" t="s">
        <v>105</v>
      </c>
    </row>
    <row r="1196" spans="1:14" x14ac:dyDescent="0.25">
      <c r="A1196" s="6" t="s">
        <v>1808</v>
      </c>
      <c r="B1196" s="4">
        <v>45660</v>
      </c>
      <c r="C1196" s="6" t="s">
        <v>2794</v>
      </c>
      <c r="D1196" s="7">
        <v>0.58501157407407411</v>
      </c>
      <c r="E1196" s="6" t="s">
        <v>16</v>
      </c>
      <c r="F1196" s="6" t="s">
        <v>246</v>
      </c>
      <c r="G1196" s="4">
        <v>32015</v>
      </c>
      <c r="H1196" s="6" t="s">
        <v>213</v>
      </c>
      <c r="I1196">
        <v>44</v>
      </c>
      <c r="J1196">
        <v>2</v>
      </c>
      <c r="K1196">
        <v>90</v>
      </c>
      <c r="L1196" s="6" t="s">
        <v>54</v>
      </c>
      <c r="M1196" s="6" t="s">
        <v>89</v>
      </c>
      <c r="N1196" s="6" t="s">
        <v>48</v>
      </c>
    </row>
    <row r="1197" spans="1:14" x14ac:dyDescent="0.25">
      <c r="A1197" s="6" t="s">
        <v>1809</v>
      </c>
      <c r="B1197" s="4">
        <v>45895</v>
      </c>
      <c r="C1197" s="6" t="s">
        <v>2793</v>
      </c>
      <c r="D1197" s="7">
        <v>0.77916666666666667</v>
      </c>
      <c r="E1197" s="6" t="s">
        <v>16</v>
      </c>
      <c r="F1197" s="6" t="s">
        <v>154</v>
      </c>
      <c r="G1197" s="4">
        <v>31951</v>
      </c>
      <c r="H1197" s="6" t="s">
        <v>60</v>
      </c>
      <c r="I1197">
        <v>44</v>
      </c>
      <c r="J1197">
        <v>1</v>
      </c>
      <c r="K1197">
        <v>90</v>
      </c>
      <c r="L1197" s="6" t="s">
        <v>54</v>
      </c>
      <c r="M1197" s="6" t="s">
        <v>20</v>
      </c>
      <c r="N1197" s="6" t="s">
        <v>48</v>
      </c>
    </row>
    <row r="1198" spans="1:14" x14ac:dyDescent="0.25">
      <c r="A1198" s="6" t="s">
        <v>1810</v>
      </c>
      <c r="B1198" s="4">
        <v>45786</v>
      </c>
      <c r="C1198" s="6" t="s">
        <v>2792</v>
      </c>
      <c r="D1198" s="7">
        <v>0.97847222222222219</v>
      </c>
      <c r="E1198" s="6" t="s">
        <v>16</v>
      </c>
      <c r="F1198" s="6" t="s">
        <v>35</v>
      </c>
      <c r="G1198" s="4">
        <v>31758</v>
      </c>
      <c r="H1198" s="6" t="s">
        <v>36</v>
      </c>
      <c r="I1198">
        <v>275</v>
      </c>
      <c r="J1198">
        <v>3</v>
      </c>
      <c r="K1198">
        <v>828</v>
      </c>
      <c r="L1198" s="6" t="s">
        <v>54</v>
      </c>
      <c r="M1198" s="6" t="s">
        <v>47</v>
      </c>
      <c r="N1198" s="6" t="s">
        <v>56</v>
      </c>
    </row>
    <row r="1199" spans="1:14" x14ac:dyDescent="0.25">
      <c r="A1199" s="6" t="s">
        <v>1811</v>
      </c>
      <c r="B1199" s="4">
        <v>45979</v>
      </c>
      <c r="C1199" s="6" t="s">
        <v>2802</v>
      </c>
      <c r="D1199" s="7">
        <v>0.71527777777777779</v>
      </c>
      <c r="E1199" s="6" t="s">
        <v>16</v>
      </c>
      <c r="F1199" s="6" t="s">
        <v>628</v>
      </c>
      <c r="G1199" s="4">
        <v>31758</v>
      </c>
      <c r="H1199" s="6" t="s">
        <v>126</v>
      </c>
      <c r="I1199">
        <v>123</v>
      </c>
      <c r="J1199">
        <v>3</v>
      </c>
      <c r="K1199">
        <v>370</v>
      </c>
      <c r="L1199" s="6" t="s">
        <v>2787</v>
      </c>
      <c r="M1199" s="6" t="s">
        <v>89</v>
      </c>
      <c r="N1199" s="6" t="s">
        <v>27</v>
      </c>
    </row>
    <row r="1200" spans="1:14" x14ac:dyDescent="0.25">
      <c r="A1200" s="6" t="s">
        <v>1812</v>
      </c>
      <c r="B1200" s="4">
        <v>45963</v>
      </c>
      <c r="C1200" s="6" t="s">
        <v>2802</v>
      </c>
      <c r="D1200" s="7">
        <v>0.65749999999999997</v>
      </c>
      <c r="E1200" s="6" t="s">
        <v>16</v>
      </c>
      <c r="F1200" s="6" t="s">
        <v>181</v>
      </c>
      <c r="G1200" s="4">
        <v>27296</v>
      </c>
      <c r="H1200" s="6" t="s">
        <v>116</v>
      </c>
      <c r="I1200">
        <v>256</v>
      </c>
      <c r="J1200">
        <v>1</v>
      </c>
      <c r="K1200">
        <v>100</v>
      </c>
      <c r="L1200" s="6" t="s">
        <v>19</v>
      </c>
      <c r="M1200" s="6" t="s">
        <v>20</v>
      </c>
      <c r="N1200" s="6" t="s">
        <v>74</v>
      </c>
    </row>
    <row r="1201" spans="1:14" x14ac:dyDescent="0.25">
      <c r="A1201" s="6" t="s">
        <v>1813</v>
      </c>
      <c r="B1201" s="4">
        <v>45716</v>
      </c>
      <c r="C1201" s="6" t="s">
        <v>2799</v>
      </c>
      <c r="D1201" s="7">
        <v>0.46944444444444444</v>
      </c>
      <c r="E1201" s="6" t="s">
        <v>16</v>
      </c>
      <c r="F1201" s="6" t="s">
        <v>324</v>
      </c>
      <c r="G1201" s="4">
        <v>33325</v>
      </c>
      <c r="H1201" s="6" t="s">
        <v>178</v>
      </c>
      <c r="I1201">
        <v>335</v>
      </c>
      <c r="J1201">
        <v>2</v>
      </c>
      <c r="K1201">
        <v>672</v>
      </c>
      <c r="L1201" s="6" t="s">
        <v>41</v>
      </c>
      <c r="M1201" s="6" t="s">
        <v>26</v>
      </c>
      <c r="N1201" s="6" t="s">
        <v>21</v>
      </c>
    </row>
    <row r="1202" spans="1:14" x14ac:dyDescent="0.25">
      <c r="A1202" s="6" t="s">
        <v>1814</v>
      </c>
      <c r="B1202" s="4">
        <v>45670</v>
      </c>
      <c r="C1202" s="6" t="s">
        <v>2794</v>
      </c>
      <c r="D1202" s="7">
        <v>0.80277777777777781</v>
      </c>
      <c r="E1202" s="6" t="s">
        <v>16</v>
      </c>
      <c r="F1202" s="6" t="s">
        <v>451</v>
      </c>
      <c r="G1202" s="4">
        <v>27716</v>
      </c>
      <c r="H1202" s="6" t="s">
        <v>18</v>
      </c>
      <c r="I1202">
        <v>92</v>
      </c>
      <c r="J1202">
        <v>2</v>
      </c>
      <c r="K1202">
        <v>184</v>
      </c>
      <c r="L1202" s="6" t="s">
        <v>2787</v>
      </c>
      <c r="M1202" s="6" t="s">
        <v>20</v>
      </c>
      <c r="N1202" s="6" t="s">
        <v>48</v>
      </c>
    </row>
    <row r="1203" spans="1:14" x14ac:dyDescent="0.25">
      <c r="A1203" s="6" t="s">
        <v>1815</v>
      </c>
      <c r="B1203" s="4">
        <v>45708</v>
      </c>
      <c r="C1203" s="6" t="s">
        <v>2799</v>
      </c>
      <c r="D1203" s="7">
        <v>0.51111111111111107</v>
      </c>
      <c r="E1203" s="6" t="s">
        <v>16</v>
      </c>
      <c r="F1203" s="6" t="s">
        <v>411</v>
      </c>
      <c r="G1203" s="4">
        <v>40072</v>
      </c>
      <c r="H1203" s="6" t="s">
        <v>24</v>
      </c>
      <c r="I1203">
        <v>237</v>
      </c>
      <c r="J1203">
        <v>2</v>
      </c>
      <c r="K1203">
        <v>476</v>
      </c>
      <c r="L1203" s="6" t="s">
        <v>67</v>
      </c>
      <c r="M1203" s="6" t="s">
        <v>55</v>
      </c>
      <c r="N1203" s="6" t="s">
        <v>56</v>
      </c>
    </row>
    <row r="1204" spans="1:14" x14ac:dyDescent="0.25">
      <c r="A1204" s="6" t="s">
        <v>1817</v>
      </c>
      <c r="B1204" s="4">
        <v>45855</v>
      </c>
      <c r="C1204" s="6" t="s">
        <v>2795</v>
      </c>
      <c r="D1204" s="7">
        <v>0.59722222222222221</v>
      </c>
      <c r="E1204" s="6" t="s">
        <v>16</v>
      </c>
      <c r="F1204" s="6" t="s">
        <v>211</v>
      </c>
      <c r="G1204" s="4">
        <v>31603</v>
      </c>
      <c r="H1204" s="6" t="s">
        <v>178</v>
      </c>
      <c r="I1204">
        <v>263</v>
      </c>
      <c r="J1204">
        <v>2</v>
      </c>
      <c r="K1204">
        <v>527</v>
      </c>
      <c r="L1204" s="6" t="s">
        <v>19</v>
      </c>
      <c r="M1204" s="6" t="s">
        <v>55</v>
      </c>
      <c r="N1204" s="6" t="s">
        <v>74</v>
      </c>
    </row>
    <row r="1205" spans="1:14" x14ac:dyDescent="0.25">
      <c r="A1205" s="6" t="s">
        <v>1818</v>
      </c>
      <c r="B1205" s="4">
        <v>45921</v>
      </c>
      <c r="C1205" s="6" t="s">
        <v>2797</v>
      </c>
      <c r="D1205" s="7">
        <v>0.89511574074074074</v>
      </c>
      <c r="E1205" s="6" t="s">
        <v>16</v>
      </c>
      <c r="F1205" s="6" t="s">
        <v>659</v>
      </c>
      <c r="G1205" s="4">
        <v>27288</v>
      </c>
      <c r="H1205" s="6" t="s">
        <v>164</v>
      </c>
      <c r="I1205">
        <v>344</v>
      </c>
      <c r="J1205">
        <v>1</v>
      </c>
      <c r="K1205">
        <v>344</v>
      </c>
      <c r="L1205" s="6" t="s">
        <v>41</v>
      </c>
      <c r="M1205" s="6" t="s">
        <v>55</v>
      </c>
      <c r="N1205" s="6" t="s">
        <v>105</v>
      </c>
    </row>
    <row r="1206" spans="1:14" x14ac:dyDescent="0.25">
      <c r="A1206" s="6" t="s">
        <v>1819</v>
      </c>
      <c r="B1206" s="4">
        <v>45747</v>
      </c>
      <c r="C1206" s="6" t="s">
        <v>2798</v>
      </c>
      <c r="D1206" s="7">
        <v>0.71527777777777779</v>
      </c>
      <c r="E1206" s="6" t="s">
        <v>16</v>
      </c>
      <c r="F1206" s="6" t="s">
        <v>338</v>
      </c>
      <c r="G1206" s="4">
        <v>37367</v>
      </c>
      <c r="H1206" s="6" t="s">
        <v>110</v>
      </c>
      <c r="I1206">
        <v>127</v>
      </c>
      <c r="J1206">
        <v>3</v>
      </c>
      <c r="K1206">
        <v>382</v>
      </c>
      <c r="L1206" s="6" t="s">
        <v>41</v>
      </c>
      <c r="M1206" s="6" t="s">
        <v>89</v>
      </c>
      <c r="N1206" s="6" t="s">
        <v>27</v>
      </c>
    </row>
    <row r="1207" spans="1:14" x14ac:dyDescent="0.25">
      <c r="A1207" s="6" t="s">
        <v>1820</v>
      </c>
      <c r="B1207" s="4">
        <v>45633</v>
      </c>
      <c r="C1207" s="6" t="s">
        <v>2796</v>
      </c>
      <c r="D1207" s="7">
        <v>0.5870023148148148</v>
      </c>
      <c r="E1207" s="6" t="s">
        <v>16</v>
      </c>
      <c r="F1207" s="6" t="s">
        <v>471</v>
      </c>
      <c r="G1207" s="4">
        <v>30900</v>
      </c>
      <c r="H1207" s="6" t="s">
        <v>60</v>
      </c>
      <c r="I1207">
        <v>246</v>
      </c>
      <c r="J1207">
        <v>2</v>
      </c>
      <c r="K1207">
        <v>492</v>
      </c>
      <c r="L1207" s="6" t="s">
        <v>67</v>
      </c>
      <c r="M1207" s="6" t="s">
        <v>61</v>
      </c>
      <c r="N1207" s="6" t="s">
        <v>27</v>
      </c>
    </row>
    <row r="1208" spans="1:14" x14ac:dyDescent="0.25">
      <c r="A1208" s="6" t="s">
        <v>1821</v>
      </c>
      <c r="B1208" s="4">
        <v>45704</v>
      </c>
      <c r="C1208" s="6" t="s">
        <v>2799</v>
      </c>
      <c r="D1208" s="7">
        <v>0.63924768518518515</v>
      </c>
      <c r="E1208" s="6" t="s">
        <v>16</v>
      </c>
      <c r="F1208" s="6" t="s">
        <v>50</v>
      </c>
      <c r="G1208" s="4">
        <v>30900</v>
      </c>
      <c r="H1208" s="6" t="s">
        <v>141</v>
      </c>
      <c r="I1208">
        <v>151</v>
      </c>
      <c r="J1208">
        <v>1</v>
      </c>
      <c r="K1208">
        <v>151</v>
      </c>
      <c r="L1208" s="6" t="s">
        <v>67</v>
      </c>
      <c r="M1208" s="6" t="s">
        <v>55</v>
      </c>
      <c r="N1208" s="6" t="s">
        <v>33</v>
      </c>
    </row>
    <row r="1209" spans="1:14" x14ac:dyDescent="0.25">
      <c r="A1209" s="6" t="s">
        <v>1822</v>
      </c>
      <c r="B1209" s="4">
        <v>45791</v>
      </c>
      <c r="C1209" s="6" t="s">
        <v>2792</v>
      </c>
      <c r="D1209" s="7">
        <v>0.87569444444444444</v>
      </c>
      <c r="E1209" s="6" t="s">
        <v>16</v>
      </c>
      <c r="F1209" s="6" t="s">
        <v>218</v>
      </c>
      <c r="G1209" s="4">
        <v>30900</v>
      </c>
      <c r="H1209" s="6" t="s">
        <v>77</v>
      </c>
      <c r="I1209">
        <v>231</v>
      </c>
      <c r="J1209">
        <v>1</v>
      </c>
      <c r="K1209">
        <v>231</v>
      </c>
      <c r="L1209" s="6" t="s">
        <v>2787</v>
      </c>
      <c r="M1209" s="6" t="s">
        <v>37</v>
      </c>
      <c r="N1209" s="6" t="s">
        <v>74</v>
      </c>
    </row>
    <row r="1210" spans="1:14" x14ac:dyDescent="0.25">
      <c r="A1210" s="6" t="s">
        <v>1825</v>
      </c>
      <c r="B1210" s="4">
        <v>45701</v>
      </c>
      <c r="C1210" s="6" t="s">
        <v>2799</v>
      </c>
      <c r="D1210" s="7">
        <v>0.62061342592592594</v>
      </c>
      <c r="E1210" s="6" t="s">
        <v>16</v>
      </c>
      <c r="F1210" s="6" t="s">
        <v>1827</v>
      </c>
      <c r="G1210" s="4">
        <v>31947</v>
      </c>
      <c r="H1210" s="6" t="s">
        <v>129</v>
      </c>
      <c r="I1210">
        <v>176</v>
      </c>
      <c r="J1210">
        <v>3</v>
      </c>
      <c r="K1210">
        <v>529</v>
      </c>
      <c r="L1210" s="6" t="s">
        <v>41</v>
      </c>
      <c r="M1210" s="6" t="s">
        <v>32</v>
      </c>
      <c r="N1210" s="6" t="s">
        <v>56</v>
      </c>
    </row>
    <row r="1211" spans="1:14" x14ac:dyDescent="0.25">
      <c r="A1211" s="6" t="s">
        <v>1828</v>
      </c>
      <c r="B1211" s="4">
        <v>45851</v>
      </c>
      <c r="C1211" s="6" t="s">
        <v>2795</v>
      </c>
      <c r="D1211" s="7">
        <v>0.96944444444444444</v>
      </c>
      <c r="E1211" s="6" t="s">
        <v>16</v>
      </c>
      <c r="F1211" s="6" t="s">
        <v>151</v>
      </c>
      <c r="G1211" s="4">
        <v>33275</v>
      </c>
      <c r="H1211" s="6" t="s">
        <v>73</v>
      </c>
      <c r="I1211">
        <v>45</v>
      </c>
      <c r="J1211">
        <v>1</v>
      </c>
      <c r="K1211">
        <v>45</v>
      </c>
      <c r="L1211" s="6" t="s">
        <v>41</v>
      </c>
      <c r="M1211" s="6" t="s">
        <v>89</v>
      </c>
      <c r="N1211" s="6" t="s">
        <v>74</v>
      </c>
    </row>
    <row r="1212" spans="1:14" x14ac:dyDescent="0.25">
      <c r="A1212" s="6" t="s">
        <v>1829</v>
      </c>
      <c r="B1212" s="4">
        <v>45784</v>
      </c>
      <c r="C1212" s="6" t="s">
        <v>2792</v>
      </c>
      <c r="D1212" s="7">
        <v>0.94403935185185184</v>
      </c>
      <c r="E1212" s="6" t="s">
        <v>16</v>
      </c>
      <c r="F1212" s="6" t="s">
        <v>118</v>
      </c>
      <c r="G1212" s="4">
        <v>26725</v>
      </c>
      <c r="H1212" s="6" t="s">
        <v>24</v>
      </c>
      <c r="I1212">
        <v>247</v>
      </c>
      <c r="J1212">
        <v>2</v>
      </c>
      <c r="K1212">
        <v>496</v>
      </c>
      <c r="L1212" s="6" t="s">
        <v>19</v>
      </c>
      <c r="M1212" s="6" t="s">
        <v>26</v>
      </c>
      <c r="N1212" s="6" t="s">
        <v>33</v>
      </c>
    </row>
    <row r="1213" spans="1:14" x14ac:dyDescent="0.25">
      <c r="A1213" s="6" t="s">
        <v>1830</v>
      </c>
      <c r="B1213" s="4">
        <v>45962</v>
      </c>
      <c r="C1213" s="6" t="s">
        <v>2802</v>
      </c>
      <c r="D1213" s="7">
        <v>0.69809027777777777</v>
      </c>
      <c r="E1213" s="6" t="s">
        <v>16</v>
      </c>
      <c r="F1213" s="6" t="s">
        <v>770</v>
      </c>
      <c r="G1213" s="4">
        <v>26725</v>
      </c>
      <c r="H1213" s="6" t="s">
        <v>24</v>
      </c>
      <c r="I1213">
        <v>242</v>
      </c>
      <c r="J1213">
        <v>3</v>
      </c>
      <c r="K1213">
        <v>728</v>
      </c>
      <c r="L1213" s="6" t="s">
        <v>19</v>
      </c>
      <c r="M1213" s="6" t="s">
        <v>37</v>
      </c>
      <c r="N1213" s="6" t="s">
        <v>33</v>
      </c>
    </row>
    <row r="1214" spans="1:14" x14ac:dyDescent="0.25">
      <c r="A1214" s="6" t="s">
        <v>1831</v>
      </c>
      <c r="B1214" s="4">
        <v>45708</v>
      </c>
      <c r="C1214" s="6" t="s">
        <v>2799</v>
      </c>
      <c r="D1214" s="7">
        <v>0.83125000000000004</v>
      </c>
      <c r="E1214" s="6" t="s">
        <v>16</v>
      </c>
      <c r="F1214" s="6" t="s">
        <v>109</v>
      </c>
      <c r="G1214" s="4">
        <v>28114</v>
      </c>
      <c r="H1214" s="6" t="s">
        <v>30</v>
      </c>
      <c r="I1214">
        <v>320</v>
      </c>
      <c r="J1214">
        <v>2</v>
      </c>
      <c r="K1214">
        <v>641</v>
      </c>
      <c r="L1214" s="6" t="s">
        <v>41</v>
      </c>
      <c r="M1214" s="6" t="s">
        <v>55</v>
      </c>
      <c r="N1214" s="6" t="s">
        <v>27</v>
      </c>
    </row>
    <row r="1215" spans="1:14" x14ac:dyDescent="0.25">
      <c r="A1215" s="6" t="s">
        <v>1832</v>
      </c>
      <c r="B1215" s="4">
        <v>45708</v>
      </c>
      <c r="C1215" s="6" t="s">
        <v>2799</v>
      </c>
      <c r="D1215" s="7">
        <v>0.83194444444444449</v>
      </c>
      <c r="E1215" s="6" t="s">
        <v>16</v>
      </c>
      <c r="F1215" s="6" t="s">
        <v>425</v>
      </c>
      <c r="G1215" s="4">
        <v>29528</v>
      </c>
      <c r="H1215" s="6" t="s">
        <v>116</v>
      </c>
      <c r="I1215">
        <v>103</v>
      </c>
      <c r="J1215">
        <v>2</v>
      </c>
      <c r="K1215">
        <v>207</v>
      </c>
      <c r="L1215" s="6" t="s">
        <v>67</v>
      </c>
      <c r="M1215" s="6" t="s">
        <v>89</v>
      </c>
      <c r="N1215" s="6" t="s">
        <v>27</v>
      </c>
    </row>
    <row r="1216" spans="1:14" x14ac:dyDescent="0.25">
      <c r="A1216" s="6" t="s">
        <v>1833</v>
      </c>
      <c r="B1216" s="4">
        <v>45673</v>
      </c>
      <c r="C1216" s="6" t="s">
        <v>2794</v>
      </c>
      <c r="D1216" s="7">
        <v>0.55694444444444446</v>
      </c>
      <c r="E1216" s="6" t="s">
        <v>16</v>
      </c>
      <c r="F1216" s="6" t="s">
        <v>295</v>
      </c>
      <c r="G1216" s="4">
        <v>34614</v>
      </c>
      <c r="H1216" s="6" t="s">
        <v>30</v>
      </c>
      <c r="I1216">
        <v>286</v>
      </c>
      <c r="J1216">
        <v>3</v>
      </c>
      <c r="K1216">
        <v>859</v>
      </c>
      <c r="L1216" s="6" t="s">
        <v>54</v>
      </c>
      <c r="M1216" s="6" t="s">
        <v>61</v>
      </c>
      <c r="N1216" s="6" t="s">
        <v>105</v>
      </c>
    </row>
    <row r="1217" spans="1:14" x14ac:dyDescent="0.25">
      <c r="A1217" s="6" t="s">
        <v>1834</v>
      </c>
      <c r="B1217" s="4">
        <v>45690</v>
      </c>
      <c r="C1217" s="6" t="s">
        <v>2799</v>
      </c>
      <c r="D1217" s="7">
        <v>0.67281250000000004</v>
      </c>
      <c r="E1217" s="6" t="s">
        <v>16</v>
      </c>
      <c r="F1217" s="6" t="s">
        <v>201</v>
      </c>
      <c r="G1217" s="4">
        <v>33181</v>
      </c>
      <c r="H1217" s="6" t="s">
        <v>104</v>
      </c>
      <c r="I1217">
        <v>327</v>
      </c>
      <c r="J1217">
        <v>1</v>
      </c>
      <c r="K1217">
        <v>328</v>
      </c>
      <c r="L1217" s="6" t="s">
        <v>54</v>
      </c>
      <c r="M1217" s="6" t="s">
        <v>47</v>
      </c>
      <c r="N1217" s="6" t="s">
        <v>105</v>
      </c>
    </row>
    <row r="1218" spans="1:14" x14ac:dyDescent="0.25">
      <c r="A1218" s="6" t="s">
        <v>1835</v>
      </c>
      <c r="B1218" s="4">
        <v>45706</v>
      </c>
      <c r="C1218" s="6" t="s">
        <v>2799</v>
      </c>
      <c r="D1218" s="7">
        <v>0.6918981481481481</v>
      </c>
      <c r="E1218" s="6" t="s">
        <v>16</v>
      </c>
      <c r="F1218" s="6" t="s">
        <v>1794</v>
      </c>
      <c r="G1218" s="4">
        <v>31042</v>
      </c>
      <c r="H1218" s="6" t="s">
        <v>178</v>
      </c>
      <c r="I1218">
        <v>271</v>
      </c>
      <c r="J1218">
        <v>3</v>
      </c>
      <c r="K1218">
        <v>815</v>
      </c>
      <c r="L1218" s="6" t="s">
        <v>19</v>
      </c>
      <c r="M1218" s="6" t="s">
        <v>26</v>
      </c>
      <c r="N1218" s="6" t="s">
        <v>74</v>
      </c>
    </row>
    <row r="1219" spans="1:14" x14ac:dyDescent="0.25">
      <c r="A1219" s="6" t="s">
        <v>1836</v>
      </c>
      <c r="B1219" s="4">
        <v>45964</v>
      </c>
      <c r="C1219" s="6" t="s">
        <v>2802</v>
      </c>
      <c r="D1219" s="7">
        <v>0.90625</v>
      </c>
      <c r="E1219" s="6" t="s">
        <v>16</v>
      </c>
      <c r="F1219" s="6" t="s">
        <v>264</v>
      </c>
      <c r="G1219" s="4">
        <v>32277</v>
      </c>
      <c r="H1219" s="6" t="s">
        <v>110</v>
      </c>
      <c r="I1219">
        <v>93</v>
      </c>
      <c r="J1219">
        <v>2</v>
      </c>
      <c r="K1219">
        <v>187</v>
      </c>
      <c r="L1219" s="6" t="s">
        <v>19</v>
      </c>
      <c r="M1219" s="6" t="s">
        <v>55</v>
      </c>
      <c r="N1219" s="6" t="s">
        <v>21</v>
      </c>
    </row>
    <row r="1220" spans="1:14" x14ac:dyDescent="0.25">
      <c r="A1220" s="6" t="s">
        <v>1837</v>
      </c>
      <c r="B1220" s="4">
        <v>45874</v>
      </c>
      <c r="C1220" s="6" t="s">
        <v>2793</v>
      </c>
      <c r="D1220" s="7">
        <v>0.82152777777777775</v>
      </c>
      <c r="E1220" s="6" t="s">
        <v>16</v>
      </c>
      <c r="F1220" s="6" t="s">
        <v>420</v>
      </c>
      <c r="G1220" s="4">
        <v>40142</v>
      </c>
      <c r="H1220" s="6" t="s">
        <v>259</v>
      </c>
      <c r="I1220">
        <v>351</v>
      </c>
      <c r="J1220">
        <v>1</v>
      </c>
      <c r="K1220">
        <v>352</v>
      </c>
      <c r="L1220" s="6" t="s">
        <v>2787</v>
      </c>
      <c r="M1220" s="6" t="s">
        <v>20</v>
      </c>
      <c r="N1220" s="6" t="s">
        <v>105</v>
      </c>
    </row>
    <row r="1221" spans="1:14" x14ac:dyDescent="0.25">
      <c r="A1221" s="6" t="s">
        <v>1839</v>
      </c>
      <c r="B1221" s="4">
        <v>45961</v>
      </c>
      <c r="C1221" s="6" t="s">
        <v>2791</v>
      </c>
      <c r="D1221" s="7">
        <v>0.46854166666666669</v>
      </c>
      <c r="E1221" s="6" t="s">
        <v>16</v>
      </c>
      <c r="F1221" s="6" t="s">
        <v>640</v>
      </c>
      <c r="G1221" s="4">
        <v>27584</v>
      </c>
      <c r="H1221" s="6" t="s">
        <v>126</v>
      </c>
      <c r="I1221">
        <v>125</v>
      </c>
      <c r="J1221">
        <v>3</v>
      </c>
      <c r="K1221">
        <v>377</v>
      </c>
      <c r="L1221" s="6" t="s">
        <v>19</v>
      </c>
      <c r="M1221" s="6" t="s">
        <v>55</v>
      </c>
      <c r="N1221" s="6" t="s">
        <v>74</v>
      </c>
    </row>
    <row r="1222" spans="1:14" x14ac:dyDescent="0.25">
      <c r="A1222" s="6" t="s">
        <v>1841</v>
      </c>
      <c r="B1222" s="4">
        <v>45817</v>
      </c>
      <c r="C1222" s="6" t="s">
        <v>2800</v>
      </c>
      <c r="D1222" s="7">
        <v>0.64082175925925922</v>
      </c>
      <c r="E1222" s="6" t="s">
        <v>16</v>
      </c>
      <c r="F1222" s="6" t="s">
        <v>324</v>
      </c>
      <c r="G1222" s="4">
        <v>35123</v>
      </c>
      <c r="H1222" s="6" t="s">
        <v>60</v>
      </c>
      <c r="I1222">
        <v>266</v>
      </c>
      <c r="J1222">
        <v>1</v>
      </c>
      <c r="K1222">
        <v>266</v>
      </c>
      <c r="L1222" s="6" t="s">
        <v>19</v>
      </c>
      <c r="M1222" s="6" t="s">
        <v>47</v>
      </c>
      <c r="N1222" s="6" t="s">
        <v>33</v>
      </c>
    </row>
    <row r="1223" spans="1:14" x14ac:dyDescent="0.25">
      <c r="A1223" s="6" t="s">
        <v>1843</v>
      </c>
      <c r="B1223" s="4">
        <v>45917</v>
      </c>
      <c r="C1223" s="6" t="s">
        <v>2797</v>
      </c>
      <c r="D1223" s="7">
        <v>0.50574074074074071</v>
      </c>
      <c r="E1223" s="6" t="s">
        <v>16</v>
      </c>
      <c r="F1223" s="6" t="s">
        <v>17</v>
      </c>
      <c r="G1223" s="4">
        <v>34749</v>
      </c>
      <c r="H1223" s="6" t="s">
        <v>259</v>
      </c>
      <c r="I1223">
        <v>126</v>
      </c>
      <c r="J1223">
        <v>3</v>
      </c>
      <c r="K1223">
        <v>380</v>
      </c>
      <c r="L1223" s="6" t="s">
        <v>67</v>
      </c>
      <c r="M1223" s="6" t="s">
        <v>26</v>
      </c>
      <c r="N1223" s="6" t="s">
        <v>74</v>
      </c>
    </row>
    <row r="1224" spans="1:14" x14ac:dyDescent="0.25">
      <c r="A1224" s="6" t="s">
        <v>1844</v>
      </c>
      <c r="B1224" s="4">
        <v>45731</v>
      </c>
      <c r="C1224" s="6" t="s">
        <v>2798</v>
      </c>
      <c r="D1224" s="7">
        <v>0.73614583333333339</v>
      </c>
      <c r="E1224" s="6" t="s">
        <v>16</v>
      </c>
      <c r="F1224" s="6" t="s">
        <v>44</v>
      </c>
      <c r="G1224" s="4">
        <v>29670</v>
      </c>
      <c r="H1224" s="6" t="s">
        <v>199</v>
      </c>
      <c r="I1224">
        <v>246</v>
      </c>
      <c r="J1224">
        <v>1</v>
      </c>
      <c r="K1224">
        <v>100</v>
      </c>
      <c r="L1224" s="6" t="s">
        <v>19</v>
      </c>
      <c r="M1224" s="6" t="s">
        <v>26</v>
      </c>
      <c r="N1224" s="6" t="s">
        <v>74</v>
      </c>
    </row>
    <row r="1225" spans="1:14" x14ac:dyDescent="0.25">
      <c r="A1225" s="6" t="s">
        <v>1845</v>
      </c>
      <c r="B1225" s="4">
        <v>45834</v>
      </c>
      <c r="C1225" s="6" t="s">
        <v>2800</v>
      </c>
      <c r="D1225" s="7">
        <v>0.98124999999999996</v>
      </c>
      <c r="E1225" s="6" t="s">
        <v>16</v>
      </c>
      <c r="F1225" s="6" t="s">
        <v>1846</v>
      </c>
      <c r="G1225" s="4">
        <v>29670</v>
      </c>
      <c r="H1225" s="6" t="s">
        <v>30</v>
      </c>
      <c r="I1225">
        <v>247</v>
      </c>
      <c r="J1225">
        <v>1</v>
      </c>
      <c r="K1225">
        <v>247</v>
      </c>
      <c r="L1225" s="6" t="s">
        <v>19</v>
      </c>
      <c r="M1225" s="6" t="s">
        <v>55</v>
      </c>
      <c r="N1225" s="6" t="s">
        <v>48</v>
      </c>
    </row>
    <row r="1226" spans="1:14" x14ac:dyDescent="0.25">
      <c r="A1226" s="6" t="s">
        <v>1847</v>
      </c>
      <c r="B1226" s="4">
        <v>45621</v>
      </c>
      <c r="C1226" s="6" t="s">
        <v>2802</v>
      </c>
      <c r="D1226" s="7">
        <v>0.57916666666666672</v>
      </c>
      <c r="E1226" s="6" t="s">
        <v>16</v>
      </c>
      <c r="F1226" s="6" t="s">
        <v>1184</v>
      </c>
      <c r="G1226" s="4">
        <v>32757</v>
      </c>
      <c r="H1226" s="6" t="s">
        <v>93</v>
      </c>
      <c r="I1226">
        <v>211</v>
      </c>
      <c r="J1226">
        <v>1</v>
      </c>
      <c r="K1226">
        <v>211</v>
      </c>
      <c r="L1226" s="6" t="s">
        <v>54</v>
      </c>
      <c r="M1226" s="6" t="s">
        <v>20</v>
      </c>
      <c r="N1226" s="6" t="s">
        <v>56</v>
      </c>
    </row>
    <row r="1227" spans="1:14" x14ac:dyDescent="0.25">
      <c r="A1227" s="6" t="s">
        <v>1848</v>
      </c>
      <c r="B1227" s="4">
        <v>45875</v>
      </c>
      <c r="C1227" s="6" t="s">
        <v>2793</v>
      </c>
      <c r="D1227" s="7">
        <v>0.52916666666666667</v>
      </c>
      <c r="E1227" s="6" t="s">
        <v>16</v>
      </c>
      <c r="F1227" s="6" t="s">
        <v>92</v>
      </c>
      <c r="G1227" s="4">
        <v>27367</v>
      </c>
      <c r="H1227" s="6" t="s">
        <v>213</v>
      </c>
      <c r="I1227">
        <v>109</v>
      </c>
      <c r="J1227">
        <v>3</v>
      </c>
      <c r="K1227">
        <v>329</v>
      </c>
      <c r="L1227" s="6" t="s">
        <v>19</v>
      </c>
      <c r="M1227" s="6" t="s">
        <v>47</v>
      </c>
      <c r="N1227" s="6" t="s">
        <v>27</v>
      </c>
    </row>
    <row r="1228" spans="1:14" x14ac:dyDescent="0.25">
      <c r="A1228" s="6" t="s">
        <v>1850</v>
      </c>
      <c r="B1228" s="4">
        <v>45829</v>
      </c>
      <c r="C1228" s="6" t="s">
        <v>2800</v>
      </c>
      <c r="D1228" s="7">
        <v>0.8140856481481481</v>
      </c>
      <c r="E1228" s="6" t="s">
        <v>16</v>
      </c>
      <c r="F1228" s="6" t="s">
        <v>252</v>
      </c>
      <c r="G1228" s="4">
        <v>39836</v>
      </c>
      <c r="H1228" s="6" t="s">
        <v>116</v>
      </c>
      <c r="I1228">
        <v>252</v>
      </c>
      <c r="J1228">
        <v>2</v>
      </c>
      <c r="K1228">
        <v>505</v>
      </c>
      <c r="L1228" s="6" t="s">
        <v>19</v>
      </c>
      <c r="M1228" s="6" t="s">
        <v>20</v>
      </c>
      <c r="N1228" s="6" t="s">
        <v>27</v>
      </c>
    </row>
    <row r="1229" spans="1:14" x14ac:dyDescent="0.25">
      <c r="A1229" s="6" t="s">
        <v>1851</v>
      </c>
      <c r="B1229" s="4">
        <v>45667</v>
      </c>
      <c r="C1229" s="6" t="s">
        <v>2794</v>
      </c>
      <c r="D1229" s="7">
        <v>0.45277777777777778</v>
      </c>
      <c r="E1229" s="6" t="s">
        <v>16</v>
      </c>
      <c r="F1229" s="6" t="s">
        <v>855</v>
      </c>
      <c r="G1229" s="4">
        <v>38367</v>
      </c>
      <c r="H1229" s="6" t="s">
        <v>141</v>
      </c>
      <c r="I1229">
        <v>158</v>
      </c>
      <c r="J1229">
        <v>3</v>
      </c>
      <c r="K1229">
        <v>477</v>
      </c>
      <c r="L1229" s="6" t="s">
        <v>41</v>
      </c>
      <c r="M1229" s="6" t="s">
        <v>55</v>
      </c>
      <c r="N1229" s="6" t="s">
        <v>21</v>
      </c>
    </row>
    <row r="1230" spans="1:14" x14ac:dyDescent="0.25">
      <c r="A1230" s="6" t="s">
        <v>1852</v>
      </c>
      <c r="B1230" s="4">
        <v>45784</v>
      </c>
      <c r="C1230" s="6" t="s">
        <v>2792</v>
      </c>
      <c r="D1230" s="7">
        <v>0.73016203703703708</v>
      </c>
      <c r="E1230" s="6" t="s">
        <v>16</v>
      </c>
      <c r="F1230" s="6" t="s">
        <v>659</v>
      </c>
      <c r="G1230" s="4">
        <v>35231</v>
      </c>
      <c r="H1230" s="6" t="s">
        <v>126</v>
      </c>
      <c r="I1230">
        <v>114</v>
      </c>
      <c r="J1230">
        <v>1</v>
      </c>
      <c r="K1230">
        <v>115</v>
      </c>
      <c r="L1230" s="6" t="s">
        <v>2787</v>
      </c>
      <c r="M1230" s="6" t="s">
        <v>89</v>
      </c>
      <c r="N1230" s="6" t="s">
        <v>48</v>
      </c>
    </row>
    <row r="1231" spans="1:14" x14ac:dyDescent="0.25">
      <c r="A1231" s="6" t="s">
        <v>1853</v>
      </c>
      <c r="B1231" s="4">
        <v>45714</v>
      </c>
      <c r="C1231" s="6" t="s">
        <v>2799</v>
      </c>
      <c r="D1231" s="7">
        <v>0.91273148148148153</v>
      </c>
      <c r="E1231" s="6" t="s">
        <v>16</v>
      </c>
      <c r="F1231" s="6" t="s">
        <v>187</v>
      </c>
      <c r="G1231" s="4">
        <v>31308</v>
      </c>
      <c r="H1231" s="6" t="s">
        <v>126</v>
      </c>
      <c r="I1231">
        <v>142</v>
      </c>
      <c r="J1231">
        <v>1</v>
      </c>
      <c r="K1231">
        <v>143</v>
      </c>
      <c r="L1231" s="6" t="s">
        <v>19</v>
      </c>
      <c r="M1231" s="6" t="s">
        <v>47</v>
      </c>
      <c r="N1231" s="6" t="s">
        <v>74</v>
      </c>
    </row>
    <row r="1232" spans="1:14" x14ac:dyDescent="0.25">
      <c r="A1232" s="6" t="s">
        <v>1854</v>
      </c>
      <c r="B1232" s="4">
        <v>45624</v>
      </c>
      <c r="C1232" s="6" t="s">
        <v>2802</v>
      </c>
      <c r="D1232" s="7">
        <v>0.46504629629629629</v>
      </c>
      <c r="E1232" s="6" t="s">
        <v>16</v>
      </c>
      <c r="F1232" s="6" t="s">
        <v>201</v>
      </c>
      <c r="G1232" s="4">
        <v>33185</v>
      </c>
      <c r="H1232" s="6" t="s">
        <v>93</v>
      </c>
      <c r="I1232">
        <v>153</v>
      </c>
      <c r="J1232">
        <v>3</v>
      </c>
      <c r="K1232">
        <v>459</v>
      </c>
      <c r="L1232" s="6" t="s">
        <v>54</v>
      </c>
      <c r="M1232" s="6" t="s">
        <v>20</v>
      </c>
      <c r="N1232" s="6" t="s">
        <v>74</v>
      </c>
    </row>
    <row r="1233" spans="1:14" x14ac:dyDescent="0.25">
      <c r="A1233" s="6" t="s">
        <v>1855</v>
      </c>
      <c r="B1233" s="4">
        <v>45861</v>
      </c>
      <c r="C1233" s="6" t="s">
        <v>2795</v>
      </c>
      <c r="D1233" s="7">
        <v>0.71527777777777779</v>
      </c>
      <c r="E1233" s="6" t="s">
        <v>16</v>
      </c>
      <c r="F1233" s="6" t="s">
        <v>1427</v>
      </c>
      <c r="G1233" s="4">
        <v>37359</v>
      </c>
      <c r="H1233" s="6" t="s">
        <v>40</v>
      </c>
      <c r="I1233">
        <v>187</v>
      </c>
      <c r="J1233">
        <v>2</v>
      </c>
      <c r="K1233">
        <v>358</v>
      </c>
      <c r="L1233" s="6" t="s">
        <v>54</v>
      </c>
      <c r="M1233" s="6" t="s">
        <v>47</v>
      </c>
      <c r="N1233" s="6" t="s">
        <v>33</v>
      </c>
    </row>
    <row r="1234" spans="1:14" x14ac:dyDescent="0.25">
      <c r="A1234" s="6" t="s">
        <v>1856</v>
      </c>
      <c r="B1234" s="4">
        <v>45655</v>
      </c>
      <c r="C1234" s="6" t="s">
        <v>2796</v>
      </c>
      <c r="D1234" s="7">
        <v>0.82454861111111111</v>
      </c>
      <c r="E1234" s="6" t="s">
        <v>16</v>
      </c>
      <c r="F1234" s="6" t="s">
        <v>191</v>
      </c>
      <c r="G1234" s="4">
        <v>31403</v>
      </c>
      <c r="H1234" s="6" t="s">
        <v>24</v>
      </c>
      <c r="I1234">
        <v>278</v>
      </c>
      <c r="J1234">
        <v>2</v>
      </c>
      <c r="K1234">
        <v>556</v>
      </c>
      <c r="L1234" s="6" t="s">
        <v>54</v>
      </c>
      <c r="M1234" s="6" t="s">
        <v>55</v>
      </c>
      <c r="N1234" s="6" t="s">
        <v>105</v>
      </c>
    </row>
    <row r="1235" spans="1:14" x14ac:dyDescent="0.25">
      <c r="A1235" s="6" t="s">
        <v>1857</v>
      </c>
      <c r="B1235" s="4">
        <v>45905</v>
      </c>
      <c r="C1235" s="6" t="s">
        <v>2797</v>
      </c>
      <c r="D1235" s="7">
        <v>0.58333333333333337</v>
      </c>
      <c r="E1235" s="6" t="s">
        <v>16</v>
      </c>
      <c r="F1235" s="6" t="s">
        <v>125</v>
      </c>
      <c r="G1235" s="4">
        <v>36495</v>
      </c>
      <c r="H1235" s="6" t="s">
        <v>243</v>
      </c>
      <c r="I1235">
        <v>120</v>
      </c>
      <c r="J1235">
        <v>2</v>
      </c>
      <c r="K1235">
        <v>241</v>
      </c>
      <c r="L1235" s="6" t="s">
        <v>67</v>
      </c>
      <c r="M1235" s="6" t="s">
        <v>55</v>
      </c>
      <c r="N1235" s="6" t="s">
        <v>105</v>
      </c>
    </row>
    <row r="1236" spans="1:14" x14ac:dyDescent="0.25">
      <c r="A1236" s="6" t="s">
        <v>1858</v>
      </c>
      <c r="B1236" s="4">
        <v>45926</v>
      </c>
      <c r="C1236" s="6" t="s">
        <v>2797</v>
      </c>
      <c r="D1236" s="7">
        <v>0.48371527777777779</v>
      </c>
      <c r="E1236" s="6" t="s">
        <v>16</v>
      </c>
      <c r="F1236" s="6" t="s">
        <v>227</v>
      </c>
      <c r="G1236" s="4">
        <v>28893</v>
      </c>
      <c r="H1236" s="6" t="s">
        <v>202</v>
      </c>
      <c r="I1236">
        <v>112</v>
      </c>
      <c r="J1236">
        <v>2</v>
      </c>
      <c r="K1236">
        <v>226</v>
      </c>
      <c r="L1236" s="6" t="s">
        <v>54</v>
      </c>
      <c r="M1236" s="6" t="s">
        <v>89</v>
      </c>
      <c r="N1236" s="6" t="s">
        <v>27</v>
      </c>
    </row>
    <row r="1237" spans="1:14" x14ac:dyDescent="0.25">
      <c r="A1237" s="6" t="s">
        <v>1859</v>
      </c>
      <c r="B1237" s="4">
        <v>45955</v>
      </c>
      <c r="C1237" s="6" t="s">
        <v>2791</v>
      </c>
      <c r="D1237" s="7">
        <v>0.96597222222222223</v>
      </c>
      <c r="E1237" s="6" t="s">
        <v>16</v>
      </c>
      <c r="F1237" s="6" t="s">
        <v>387</v>
      </c>
      <c r="G1237" s="4">
        <v>26655</v>
      </c>
      <c r="H1237" s="6" t="s">
        <v>36</v>
      </c>
      <c r="I1237">
        <v>320</v>
      </c>
      <c r="J1237">
        <v>3</v>
      </c>
      <c r="K1237">
        <v>962</v>
      </c>
      <c r="L1237" s="6" t="s">
        <v>19</v>
      </c>
      <c r="M1237" s="6" t="s">
        <v>47</v>
      </c>
      <c r="N1237" s="6" t="s">
        <v>48</v>
      </c>
    </row>
    <row r="1238" spans="1:14" x14ac:dyDescent="0.25">
      <c r="A1238" s="6" t="s">
        <v>1860</v>
      </c>
      <c r="B1238" s="4">
        <v>45625</v>
      </c>
      <c r="C1238" s="6" t="s">
        <v>2802</v>
      </c>
      <c r="D1238" s="7">
        <v>0.75942129629629629</v>
      </c>
      <c r="E1238" s="6" t="s">
        <v>16</v>
      </c>
      <c r="F1238" s="6" t="s">
        <v>299</v>
      </c>
      <c r="G1238" s="4">
        <v>26180</v>
      </c>
      <c r="H1238" s="6" t="s">
        <v>202</v>
      </c>
      <c r="I1238">
        <v>160</v>
      </c>
      <c r="J1238">
        <v>1</v>
      </c>
      <c r="K1238">
        <v>160</v>
      </c>
      <c r="L1238" s="6" t="s">
        <v>2787</v>
      </c>
      <c r="M1238" s="6" t="s">
        <v>26</v>
      </c>
      <c r="N1238" s="6" t="s">
        <v>48</v>
      </c>
    </row>
    <row r="1239" spans="1:14" x14ac:dyDescent="0.25">
      <c r="A1239" s="6" t="s">
        <v>1861</v>
      </c>
      <c r="B1239" s="4">
        <v>45783</v>
      </c>
      <c r="C1239" s="6" t="s">
        <v>2792</v>
      </c>
      <c r="D1239" s="7">
        <v>0.99652777777777779</v>
      </c>
      <c r="E1239" s="6" t="s">
        <v>16</v>
      </c>
      <c r="F1239" s="6" t="s">
        <v>240</v>
      </c>
      <c r="G1239" s="4">
        <v>36003</v>
      </c>
      <c r="H1239" s="6" t="s">
        <v>85</v>
      </c>
      <c r="I1239">
        <v>240</v>
      </c>
      <c r="J1239">
        <v>1</v>
      </c>
      <c r="K1239">
        <v>241</v>
      </c>
      <c r="L1239" s="6" t="s">
        <v>41</v>
      </c>
      <c r="M1239" s="6" t="s">
        <v>47</v>
      </c>
      <c r="N1239" s="6" t="s">
        <v>105</v>
      </c>
    </row>
    <row r="1240" spans="1:14" x14ac:dyDescent="0.25">
      <c r="A1240" s="6" t="s">
        <v>1862</v>
      </c>
      <c r="B1240" s="4">
        <v>45724</v>
      </c>
      <c r="C1240" s="6" t="s">
        <v>2798</v>
      </c>
      <c r="D1240" s="7">
        <v>0.73024305555555558</v>
      </c>
      <c r="E1240" s="6" t="s">
        <v>16</v>
      </c>
      <c r="F1240" s="6" t="s">
        <v>712</v>
      </c>
      <c r="G1240" s="4">
        <v>39682</v>
      </c>
      <c r="H1240" s="6" t="s">
        <v>30</v>
      </c>
      <c r="I1240">
        <v>313</v>
      </c>
      <c r="J1240">
        <v>2</v>
      </c>
      <c r="K1240">
        <v>626</v>
      </c>
      <c r="L1240" s="6" t="s">
        <v>41</v>
      </c>
      <c r="M1240" s="6" t="s">
        <v>32</v>
      </c>
      <c r="N1240" s="6" t="s">
        <v>105</v>
      </c>
    </row>
    <row r="1241" spans="1:14" x14ac:dyDescent="0.25">
      <c r="A1241" s="6" t="s">
        <v>1864</v>
      </c>
      <c r="B1241" s="4">
        <v>45770</v>
      </c>
      <c r="C1241" s="6" t="s">
        <v>2801</v>
      </c>
      <c r="D1241" s="7">
        <v>0.86875000000000002</v>
      </c>
      <c r="E1241" s="6" t="s">
        <v>16</v>
      </c>
      <c r="F1241" s="6" t="s">
        <v>377</v>
      </c>
      <c r="G1241" s="4">
        <v>35396</v>
      </c>
      <c r="H1241" s="6" t="s">
        <v>104</v>
      </c>
      <c r="I1241">
        <v>307</v>
      </c>
      <c r="J1241">
        <v>2</v>
      </c>
      <c r="K1241">
        <v>615</v>
      </c>
      <c r="L1241" s="6" t="s">
        <v>2787</v>
      </c>
      <c r="M1241" s="6" t="s">
        <v>20</v>
      </c>
      <c r="N1241" s="6" t="s">
        <v>105</v>
      </c>
    </row>
    <row r="1242" spans="1:14" x14ac:dyDescent="0.25">
      <c r="A1242" s="6" t="s">
        <v>1865</v>
      </c>
      <c r="B1242" s="4">
        <v>45635</v>
      </c>
      <c r="C1242" s="6" t="s">
        <v>2796</v>
      </c>
      <c r="D1242" s="7">
        <v>0.85138888888888886</v>
      </c>
      <c r="E1242" s="6" t="s">
        <v>16</v>
      </c>
      <c r="F1242" s="6" t="s">
        <v>334</v>
      </c>
      <c r="G1242" s="4">
        <v>30375</v>
      </c>
      <c r="H1242" s="6" t="s">
        <v>129</v>
      </c>
      <c r="I1242">
        <v>184</v>
      </c>
      <c r="J1242">
        <v>1</v>
      </c>
      <c r="K1242">
        <v>185</v>
      </c>
      <c r="L1242" s="6" t="s">
        <v>41</v>
      </c>
      <c r="M1242" s="6" t="s">
        <v>47</v>
      </c>
      <c r="N1242" s="6" t="s">
        <v>48</v>
      </c>
    </row>
    <row r="1243" spans="1:14" x14ac:dyDescent="0.25">
      <c r="A1243" s="6" t="s">
        <v>1866</v>
      </c>
      <c r="B1243" s="4">
        <v>45936</v>
      </c>
      <c r="C1243" s="6" t="s">
        <v>2791</v>
      </c>
      <c r="D1243" s="7">
        <v>0.51237268518518519</v>
      </c>
      <c r="E1243" s="6" t="s">
        <v>16</v>
      </c>
      <c r="F1243" s="6" t="s">
        <v>88</v>
      </c>
      <c r="G1243" s="4">
        <v>33588</v>
      </c>
      <c r="H1243" s="6" t="s">
        <v>202</v>
      </c>
      <c r="I1243">
        <v>312</v>
      </c>
      <c r="J1243">
        <v>3</v>
      </c>
      <c r="K1243">
        <v>937</v>
      </c>
      <c r="L1243" s="6" t="s">
        <v>41</v>
      </c>
      <c r="M1243" s="6" t="s">
        <v>20</v>
      </c>
      <c r="N1243" s="6" t="s">
        <v>48</v>
      </c>
    </row>
    <row r="1244" spans="1:14" x14ac:dyDescent="0.25">
      <c r="A1244" s="6" t="s">
        <v>1867</v>
      </c>
      <c r="B1244" s="4">
        <v>45745</v>
      </c>
      <c r="C1244" s="6" t="s">
        <v>2798</v>
      </c>
      <c r="D1244" s="7">
        <v>0.56944444444444442</v>
      </c>
      <c r="E1244" s="6" t="s">
        <v>16</v>
      </c>
      <c r="F1244" s="6" t="s">
        <v>133</v>
      </c>
      <c r="G1244" s="4">
        <v>36794</v>
      </c>
      <c r="H1244" s="6" t="s">
        <v>104</v>
      </c>
      <c r="I1244">
        <v>311</v>
      </c>
      <c r="J1244">
        <v>1</v>
      </c>
      <c r="K1244">
        <v>312</v>
      </c>
      <c r="L1244" s="6" t="s">
        <v>54</v>
      </c>
      <c r="M1244" s="6" t="s">
        <v>20</v>
      </c>
      <c r="N1244" s="6" t="s">
        <v>27</v>
      </c>
    </row>
    <row r="1245" spans="1:14" x14ac:dyDescent="0.25">
      <c r="A1245" s="6" t="s">
        <v>1868</v>
      </c>
      <c r="B1245" s="4">
        <v>45795</v>
      </c>
      <c r="C1245" s="6" t="s">
        <v>2792</v>
      </c>
      <c r="D1245" s="7">
        <v>0.99027777777777781</v>
      </c>
      <c r="E1245" s="6" t="s">
        <v>16</v>
      </c>
      <c r="F1245" s="6" t="s">
        <v>173</v>
      </c>
      <c r="G1245" s="4">
        <v>38266</v>
      </c>
      <c r="H1245" s="6" t="s">
        <v>110</v>
      </c>
      <c r="I1245">
        <v>128</v>
      </c>
      <c r="J1245">
        <v>1</v>
      </c>
      <c r="K1245">
        <v>128</v>
      </c>
      <c r="L1245" s="6" t="s">
        <v>2787</v>
      </c>
      <c r="M1245" s="6" t="s">
        <v>55</v>
      </c>
      <c r="N1245" s="6" t="s">
        <v>48</v>
      </c>
    </row>
    <row r="1246" spans="1:14" x14ac:dyDescent="0.25">
      <c r="A1246" s="6" t="s">
        <v>1869</v>
      </c>
      <c r="B1246" s="4">
        <v>45845</v>
      </c>
      <c r="C1246" s="6" t="s">
        <v>2795</v>
      </c>
      <c r="D1246" s="7">
        <v>0.64451388888888894</v>
      </c>
      <c r="E1246" s="6" t="s">
        <v>16</v>
      </c>
      <c r="F1246" s="6" t="s">
        <v>169</v>
      </c>
      <c r="G1246" s="4">
        <v>27489</v>
      </c>
      <c r="H1246" s="6" t="s">
        <v>45</v>
      </c>
      <c r="I1246">
        <v>273</v>
      </c>
      <c r="J1246">
        <v>3</v>
      </c>
      <c r="L1246" s="6" t="s">
        <v>41</v>
      </c>
      <c r="M1246" s="6" t="s">
        <v>32</v>
      </c>
      <c r="N1246" s="6" t="s">
        <v>48</v>
      </c>
    </row>
    <row r="1247" spans="1:14" x14ac:dyDescent="0.25">
      <c r="A1247" s="6" t="s">
        <v>1871</v>
      </c>
      <c r="B1247" s="4">
        <v>45841</v>
      </c>
      <c r="C1247" s="6" t="s">
        <v>2795</v>
      </c>
      <c r="D1247" s="7">
        <v>0.68680555555555556</v>
      </c>
      <c r="E1247" s="6" t="s">
        <v>16</v>
      </c>
      <c r="F1247" s="6" t="s">
        <v>84</v>
      </c>
      <c r="G1247" s="4">
        <v>31075</v>
      </c>
      <c r="H1247" s="6" t="s">
        <v>93</v>
      </c>
      <c r="I1247">
        <v>196</v>
      </c>
      <c r="J1247">
        <v>2</v>
      </c>
      <c r="K1247">
        <v>393</v>
      </c>
      <c r="L1247" s="6" t="s">
        <v>2787</v>
      </c>
      <c r="M1247" s="6" t="s">
        <v>61</v>
      </c>
      <c r="N1247" s="6" t="s">
        <v>48</v>
      </c>
    </row>
    <row r="1248" spans="1:14" x14ac:dyDescent="0.25">
      <c r="A1248" s="6" t="s">
        <v>1873</v>
      </c>
      <c r="B1248" s="4">
        <v>45909</v>
      </c>
      <c r="C1248" s="6" t="s">
        <v>2797</v>
      </c>
      <c r="D1248" s="7">
        <v>0.70225694444444442</v>
      </c>
      <c r="E1248" s="6" t="s">
        <v>16</v>
      </c>
      <c r="F1248" s="6" t="s">
        <v>109</v>
      </c>
      <c r="G1248" s="4">
        <v>30714</v>
      </c>
      <c r="H1248" s="6" t="s">
        <v>73</v>
      </c>
      <c r="I1248">
        <v>39</v>
      </c>
      <c r="J1248">
        <v>1</v>
      </c>
      <c r="K1248">
        <v>40</v>
      </c>
      <c r="L1248" s="6" t="s">
        <v>41</v>
      </c>
      <c r="M1248" s="6" t="s">
        <v>37</v>
      </c>
      <c r="N1248" s="6" t="s">
        <v>27</v>
      </c>
    </row>
    <row r="1249" spans="1:14" x14ac:dyDescent="0.25">
      <c r="A1249" s="6" t="s">
        <v>1874</v>
      </c>
      <c r="B1249" s="4">
        <v>45911</v>
      </c>
      <c r="C1249" s="6" t="s">
        <v>2797</v>
      </c>
      <c r="D1249" s="7">
        <v>0.83370370370370372</v>
      </c>
      <c r="E1249" s="6" t="s">
        <v>16</v>
      </c>
      <c r="F1249" s="6" t="s">
        <v>338</v>
      </c>
      <c r="G1249" s="4">
        <v>35401</v>
      </c>
      <c r="H1249" s="6" t="s">
        <v>141</v>
      </c>
      <c r="I1249">
        <v>133</v>
      </c>
      <c r="J1249">
        <v>2</v>
      </c>
      <c r="K1249">
        <v>266</v>
      </c>
      <c r="L1249" s="6" t="s">
        <v>19</v>
      </c>
      <c r="M1249" s="6" t="s">
        <v>20</v>
      </c>
      <c r="N1249" s="6" t="s">
        <v>27</v>
      </c>
    </row>
    <row r="1250" spans="1:14" x14ac:dyDescent="0.25">
      <c r="A1250" s="6" t="s">
        <v>1876</v>
      </c>
      <c r="B1250" s="4">
        <v>45776</v>
      </c>
      <c r="C1250" s="6" t="s">
        <v>2801</v>
      </c>
      <c r="D1250" s="7">
        <v>0.68379629629629635</v>
      </c>
      <c r="E1250" s="6" t="s">
        <v>16</v>
      </c>
      <c r="F1250" s="6" t="s">
        <v>237</v>
      </c>
      <c r="G1250" s="4">
        <v>30744</v>
      </c>
      <c r="H1250" s="6" t="s">
        <v>30</v>
      </c>
      <c r="I1250">
        <v>296</v>
      </c>
      <c r="J1250">
        <v>1</v>
      </c>
      <c r="K1250">
        <v>100</v>
      </c>
      <c r="L1250" s="6" t="s">
        <v>54</v>
      </c>
      <c r="M1250" s="6" t="s">
        <v>61</v>
      </c>
      <c r="N1250" s="6" t="s">
        <v>27</v>
      </c>
    </row>
    <row r="1251" spans="1:14" x14ac:dyDescent="0.25">
      <c r="A1251" s="6" t="s">
        <v>1877</v>
      </c>
      <c r="B1251" s="4">
        <v>45932</v>
      </c>
      <c r="C1251" s="6" t="s">
        <v>2791</v>
      </c>
      <c r="D1251" s="7">
        <v>0.51041666666666663</v>
      </c>
      <c r="E1251" s="6" t="s">
        <v>16</v>
      </c>
      <c r="F1251" s="6" t="s">
        <v>776</v>
      </c>
      <c r="G1251" s="4">
        <v>35626</v>
      </c>
      <c r="H1251" s="6" t="s">
        <v>85</v>
      </c>
      <c r="I1251">
        <v>241</v>
      </c>
      <c r="J1251">
        <v>3</v>
      </c>
      <c r="K1251">
        <v>724</v>
      </c>
      <c r="L1251" s="6" t="s">
        <v>41</v>
      </c>
      <c r="M1251" s="6" t="s">
        <v>89</v>
      </c>
      <c r="N1251" s="6" t="s">
        <v>27</v>
      </c>
    </row>
    <row r="1252" spans="1:14" x14ac:dyDescent="0.25">
      <c r="A1252" s="6" t="s">
        <v>1878</v>
      </c>
      <c r="B1252" s="4">
        <v>45932</v>
      </c>
      <c r="C1252" s="6" t="s">
        <v>2791</v>
      </c>
      <c r="D1252" s="7">
        <v>0.9243055555555556</v>
      </c>
      <c r="E1252" s="6" t="s">
        <v>16</v>
      </c>
      <c r="F1252" s="6" t="s">
        <v>23</v>
      </c>
      <c r="G1252" s="4">
        <v>26926</v>
      </c>
      <c r="H1252" s="6" t="s">
        <v>45</v>
      </c>
      <c r="I1252">
        <v>172</v>
      </c>
      <c r="J1252">
        <v>1</v>
      </c>
      <c r="K1252">
        <v>173</v>
      </c>
      <c r="L1252" s="6" t="s">
        <v>41</v>
      </c>
      <c r="M1252" s="6" t="s">
        <v>89</v>
      </c>
      <c r="N1252" s="6" t="s">
        <v>21</v>
      </c>
    </row>
    <row r="1253" spans="1:14" x14ac:dyDescent="0.25">
      <c r="A1253" s="6" t="s">
        <v>1879</v>
      </c>
      <c r="B1253" s="4">
        <v>45735</v>
      </c>
      <c r="C1253" s="6" t="s">
        <v>2798</v>
      </c>
      <c r="D1253" s="7">
        <v>0.54374999999999996</v>
      </c>
      <c r="E1253" s="6" t="s">
        <v>16</v>
      </c>
      <c r="F1253" s="6" t="s">
        <v>1880</v>
      </c>
      <c r="G1253" s="4">
        <v>37031</v>
      </c>
      <c r="H1253" s="6" t="s">
        <v>141</v>
      </c>
      <c r="I1253">
        <v>110</v>
      </c>
      <c r="J1253">
        <v>2</v>
      </c>
      <c r="K1253">
        <v>222</v>
      </c>
      <c r="L1253" s="6" t="s">
        <v>2787</v>
      </c>
      <c r="M1253" s="6" t="s">
        <v>37</v>
      </c>
      <c r="N1253" s="6" t="s">
        <v>21</v>
      </c>
    </row>
    <row r="1254" spans="1:14" x14ac:dyDescent="0.25">
      <c r="A1254" s="6" t="s">
        <v>1881</v>
      </c>
      <c r="B1254" s="4">
        <v>45799</v>
      </c>
      <c r="C1254" s="6" t="s">
        <v>2792</v>
      </c>
      <c r="D1254" s="7">
        <v>0.55138888888888893</v>
      </c>
      <c r="E1254" s="6" t="s">
        <v>16</v>
      </c>
      <c r="F1254" s="6" t="s">
        <v>232</v>
      </c>
      <c r="G1254" s="4">
        <v>35377</v>
      </c>
      <c r="H1254" s="6" t="s">
        <v>129</v>
      </c>
      <c r="I1254">
        <v>221</v>
      </c>
      <c r="J1254">
        <v>1</v>
      </c>
      <c r="K1254">
        <v>222</v>
      </c>
      <c r="L1254" s="6" t="s">
        <v>41</v>
      </c>
      <c r="M1254" s="6" t="s">
        <v>47</v>
      </c>
      <c r="N1254" s="6" t="s">
        <v>21</v>
      </c>
    </row>
    <row r="1255" spans="1:14" x14ac:dyDescent="0.25">
      <c r="A1255" s="6" t="s">
        <v>1882</v>
      </c>
      <c r="B1255" s="4">
        <v>45866</v>
      </c>
      <c r="C1255" s="6" t="s">
        <v>2795</v>
      </c>
      <c r="D1255" s="7">
        <v>0.79409722222222223</v>
      </c>
      <c r="E1255" s="6" t="s">
        <v>16</v>
      </c>
      <c r="F1255" s="6" t="s">
        <v>299</v>
      </c>
      <c r="G1255" s="4">
        <v>38771</v>
      </c>
      <c r="H1255" s="6" t="s">
        <v>199</v>
      </c>
      <c r="I1255">
        <v>180</v>
      </c>
      <c r="J1255">
        <v>2</v>
      </c>
      <c r="K1255">
        <v>360</v>
      </c>
      <c r="L1255" s="6" t="s">
        <v>67</v>
      </c>
      <c r="M1255" s="6" t="s">
        <v>61</v>
      </c>
      <c r="N1255" s="6" t="s">
        <v>48</v>
      </c>
    </row>
    <row r="1256" spans="1:14" x14ac:dyDescent="0.25">
      <c r="A1256" s="6" t="s">
        <v>1883</v>
      </c>
      <c r="B1256" s="4">
        <v>45759</v>
      </c>
      <c r="C1256" s="6" t="s">
        <v>2801</v>
      </c>
      <c r="D1256" s="7">
        <v>0.66666666666666663</v>
      </c>
      <c r="E1256" s="6" t="s">
        <v>16</v>
      </c>
      <c r="F1256" s="6" t="s">
        <v>84</v>
      </c>
      <c r="G1256" s="4">
        <v>38771</v>
      </c>
      <c r="H1256" s="6" t="s">
        <v>104</v>
      </c>
      <c r="I1256">
        <v>281</v>
      </c>
      <c r="J1256">
        <v>3</v>
      </c>
      <c r="K1256">
        <v>844</v>
      </c>
      <c r="L1256" s="6" t="s">
        <v>2787</v>
      </c>
      <c r="M1256" s="6" t="s">
        <v>55</v>
      </c>
      <c r="N1256" s="6" t="s">
        <v>48</v>
      </c>
    </row>
    <row r="1257" spans="1:14" x14ac:dyDescent="0.25">
      <c r="A1257" s="6" t="s">
        <v>1884</v>
      </c>
      <c r="B1257" s="4">
        <v>45727</v>
      </c>
      <c r="C1257" s="6" t="s">
        <v>2798</v>
      </c>
      <c r="D1257" s="7">
        <v>0.47569444444444442</v>
      </c>
      <c r="E1257" s="6" t="s">
        <v>16</v>
      </c>
      <c r="F1257" s="6" t="s">
        <v>107</v>
      </c>
      <c r="G1257" s="4">
        <v>35951</v>
      </c>
      <c r="H1257" s="6" t="s">
        <v>30</v>
      </c>
      <c r="I1257">
        <v>283</v>
      </c>
      <c r="J1257">
        <v>3</v>
      </c>
      <c r="K1257">
        <v>844</v>
      </c>
      <c r="L1257" s="6" t="s">
        <v>41</v>
      </c>
      <c r="M1257" s="6" t="s">
        <v>89</v>
      </c>
      <c r="N1257" s="6" t="s">
        <v>27</v>
      </c>
    </row>
    <row r="1258" spans="1:14" x14ac:dyDescent="0.25">
      <c r="A1258" s="6" t="s">
        <v>1885</v>
      </c>
      <c r="B1258" s="4">
        <v>45929</v>
      </c>
      <c r="C1258" s="6" t="s">
        <v>2797</v>
      </c>
      <c r="D1258" s="7">
        <v>0.94374999999999998</v>
      </c>
      <c r="E1258" s="6" t="s">
        <v>16</v>
      </c>
      <c r="F1258" s="6" t="s">
        <v>699</v>
      </c>
      <c r="G1258" s="4">
        <v>39604</v>
      </c>
      <c r="H1258" s="6" t="s">
        <v>30</v>
      </c>
      <c r="I1258">
        <v>227</v>
      </c>
      <c r="J1258">
        <v>2</v>
      </c>
      <c r="K1258">
        <v>456</v>
      </c>
      <c r="L1258" s="6" t="s">
        <v>2787</v>
      </c>
      <c r="M1258" s="6" t="s">
        <v>61</v>
      </c>
      <c r="N1258" s="6" t="s">
        <v>56</v>
      </c>
    </row>
    <row r="1259" spans="1:14" x14ac:dyDescent="0.25">
      <c r="A1259" s="6" t="s">
        <v>1886</v>
      </c>
      <c r="B1259" s="4">
        <v>45756</v>
      </c>
      <c r="C1259" s="6" t="s">
        <v>2801</v>
      </c>
      <c r="D1259" s="7">
        <v>0.87200231481481483</v>
      </c>
      <c r="E1259" s="6" t="s">
        <v>16</v>
      </c>
      <c r="F1259" s="6" t="s">
        <v>88</v>
      </c>
      <c r="G1259" s="4">
        <v>39832</v>
      </c>
      <c r="H1259" s="6" t="s">
        <v>129</v>
      </c>
      <c r="I1259">
        <v>190</v>
      </c>
      <c r="J1259">
        <v>2</v>
      </c>
      <c r="K1259">
        <v>390</v>
      </c>
      <c r="L1259" s="6" t="s">
        <v>41</v>
      </c>
      <c r="M1259" s="6" t="s">
        <v>26</v>
      </c>
      <c r="N1259" s="6" t="s">
        <v>105</v>
      </c>
    </row>
    <row r="1260" spans="1:14" x14ac:dyDescent="0.25">
      <c r="A1260" s="6" t="s">
        <v>1887</v>
      </c>
      <c r="B1260" s="4">
        <v>45882</v>
      </c>
      <c r="C1260" s="6" t="s">
        <v>2793</v>
      </c>
      <c r="D1260" s="7">
        <v>0.61875000000000002</v>
      </c>
      <c r="E1260" s="6" t="s">
        <v>16</v>
      </c>
      <c r="F1260" s="6" t="s">
        <v>1427</v>
      </c>
      <c r="G1260" s="4">
        <v>40126</v>
      </c>
      <c r="H1260" s="6" t="s">
        <v>36</v>
      </c>
      <c r="I1260">
        <v>123</v>
      </c>
      <c r="J1260">
        <v>3</v>
      </c>
      <c r="K1260">
        <v>369</v>
      </c>
      <c r="L1260" s="6" t="s">
        <v>41</v>
      </c>
      <c r="M1260" s="6" t="s">
        <v>37</v>
      </c>
      <c r="N1260" s="6" t="s">
        <v>33</v>
      </c>
    </row>
    <row r="1261" spans="1:14" x14ac:dyDescent="0.25">
      <c r="A1261" s="6" t="s">
        <v>1888</v>
      </c>
      <c r="B1261" s="4">
        <v>45827</v>
      </c>
      <c r="C1261" s="6" t="s">
        <v>2800</v>
      </c>
      <c r="D1261" s="7">
        <v>0.4597222222222222</v>
      </c>
      <c r="E1261" s="6" t="s">
        <v>16</v>
      </c>
      <c r="F1261" s="6" t="s">
        <v>451</v>
      </c>
      <c r="G1261" s="4">
        <v>35281</v>
      </c>
      <c r="H1261" s="6" t="s">
        <v>45</v>
      </c>
      <c r="I1261">
        <v>343</v>
      </c>
      <c r="J1261">
        <v>3</v>
      </c>
      <c r="K1261">
        <v>1030</v>
      </c>
      <c r="L1261" s="6" t="s">
        <v>2787</v>
      </c>
      <c r="M1261" s="6" t="s">
        <v>26</v>
      </c>
      <c r="N1261" s="6" t="s">
        <v>74</v>
      </c>
    </row>
    <row r="1262" spans="1:14" x14ac:dyDescent="0.25">
      <c r="A1262" s="6" t="s">
        <v>1889</v>
      </c>
      <c r="B1262" s="4">
        <v>45630</v>
      </c>
      <c r="C1262" s="6" t="s">
        <v>2796</v>
      </c>
      <c r="D1262" s="7">
        <v>0.49078703703703702</v>
      </c>
      <c r="E1262" s="6" t="s">
        <v>16</v>
      </c>
      <c r="F1262" s="6" t="s">
        <v>256</v>
      </c>
      <c r="G1262" s="4">
        <v>30186</v>
      </c>
      <c r="H1262" s="6" t="s">
        <v>30</v>
      </c>
      <c r="I1262">
        <v>221</v>
      </c>
      <c r="J1262">
        <v>3</v>
      </c>
      <c r="K1262">
        <v>664</v>
      </c>
      <c r="L1262" s="6" t="s">
        <v>19</v>
      </c>
      <c r="M1262" s="6" t="s">
        <v>89</v>
      </c>
      <c r="N1262" s="6" t="s">
        <v>48</v>
      </c>
    </row>
    <row r="1263" spans="1:14" x14ac:dyDescent="0.25">
      <c r="A1263" s="6" t="s">
        <v>1890</v>
      </c>
      <c r="B1263" s="4">
        <v>45630</v>
      </c>
      <c r="C1263" s="6" t="s">
        <v>2796</v>
      </c>
      <c r="D1263" s="7">
        <v>0.90694444444444444</v>
      </c>
      <c r="E1263" s="6" t="s">
        <v>16</v>
      </c>
      <c r="F1263" s="6" t="s">
        <v>163</v>
      </c>
      <c r="G1263" s="4">
        <v>28149</v>
      </c>
      <c r="H1263" s="6" t="s">
        <v>178</v>
      </c>
      <c r="I1263">
        <v>298</v>
      </c>
      <c r="J1263">
        <v>2</v>
      </c>
      <c r="K1263">
        <v>596</v>
      </c>
      <c r="L1263" s="6" t="s">
        <v>2787</v>
      </c>
      <c r="M1263" s="6" t="s">
        <v>89</v>
      </c>
      <c r="N1263" s="6" t="s">
        <v>48</v>
      </c>
    </row>
    <row r="1264" spans="1:14" x14ac:dyDescent="0.25">
      <c r="A1264" s="6" t="s">
        <v>1891</v>
      </c>
      <c r="B1264" s="4">
        <v>45911</v>
      </c>
      <c r="C1264" s="6" t="s">
        <v>2797</v>
      </c>
      <c r="D1264" s="7">
        <v>0.97430555555555554</v>
      </c>
      <c r="E1264" s="6" t="s">
        <v>16</v>
      </c>
      <c r="F1264" s="6" t="s">
        <v>50</v>
      </c>
      <c r="G1264" s="4">
        <v>35396</v>
      </c>
      <c r="H1264" s="6" t="s">
        <v>45</v>
      </c>
      <c r="I1264">
        <v>236</v>
      </c>
      <c r="J1264">
        <v>2</v>
      </c>
      <c r="K1264">
        <v>472</v>
      </c>
      <c r="L1264" s="6" t="s">
        <v>41</v>
      </c>
      <c r="M1264" s="6" t="s">
        <v>32</v>
      </c>
      <c r="N1264" s="6" t="s">
        <v>105</v>
      </c>
    </row>
    <row r="1265" spans="1:14" x14ac:dyDescent="0.25">
      <c r="A1265" s="6" t="s">
        <v>1892</v>
      </c>
      <c r="B1265" s="4">
        <v>45837</v>
      </c>
      <c r="C1265" s="6" t="s">
        <v>2800</v>
      </c>
      <c r="D1265" s="7">
        <v>0.71359953703703705</v>
      </c>
      <c r="E1265" s="6" t="s">
        <v>16</v>
      </c>
      <c r="F1265" s="6" t="s">
        <v>1627</v>
      </c>
      <c r="G1265" s="4">
        <v>36654</v>
      </c>
      <c r="H1265" s="6" t="s">
        <v>213</v>
      </c>
      <c r="I1265">
        <v>166</v>
      </c>
      <c r="J1265">
        <v>2</v>
      </c>
      <c r="L1265" s="6" t="s">
        <v>19</v>
      </c>
      <c r="M1265" s="6" t="s">
        <v>37</v>
      </c>
      <c r="N1265" s="6" t="s">
        <v>105</v>
      </c>
    </row>
    <row r="1266" spans="1:14" x14ac:dyDescent="0.25">
      <c r="A1266" s="6" t="s">
        <v>1895</v>
      </c>
      <c r="B1266" s="4">
        <v>45911</v>
      </c>
      <c r="C1266" s="6" t="s">
        <v>2797</v>
      </c>
      <c r="D1266" s="7">
        <v>0.4777777777777778</v>
      </c>
      <c r="E1266" s="6" t="s">
        <v>16</v>
      </c>
      <c r="F1266" s="6" t="s">
        <v>1896</v>
      </c>
      <c r="G1266" s="4">
        <v>36654</v>
      </c>
      <c r="H1266" s="6" t="s">
        <v>141</v>
      </c>
      <c r="I1266">
        <v>120</v>
      </c>
      <c r="J1266">
        <v>1</v>
      </c>
      <c r="K1266">
        <v>121</v>
      </c>
      <c r="L1266" s="6" t="s">
        <v>41</v>
      </c>
      <c r="M1266" s="6" t="s">
        <v>32</v>
      </c>
      <c r="N1266" s="6" t="s">
        <v>48</v>
      </c>
    </row>
    <row r="1267" spans="1:14" x14ac:dyDescent="0.25">
      <c r="A1267" s="6" t="s">
        <v>1897</v>
      </c>
      <c r="B1267" s="4">
        <v>45743</v>
      </c>
      <c r="C1267" s="6" t="s">
        <v>2798</v>
      </c>
      <c r="D1267" s="7">
        <v>0.84305555555555556</v>
      </c>
      <c r="E1267" s="6" t="s">
        <v>16</v>
      </c>
      <c r="F1267" s="6" t="s">
        <v>379</v>
      </c>
      <c r="G1267" s="4">
        <v>36596</v>
      </c>
      <c r="H1267" s="6" t="s">
        <v>202</v>
      </c>
      <c r="I1267">
        <v>223</v>
      </c>
      <c r="J1267">
        <v>2</v>
      </c>
      <c r="K1267">
        <v>474</v>
      </c>
      <c r="L1267" s="6" t="s">
        <v>19</v>
      </c>
      <c r="M1267" s="6" t="s">
        <v>47</v>
      </c>
      <c r="N1267" s="6" t="s">
        <v>48</v>
      </c>
    </row>
    <row r="1268" spans="1:14" x14ac:dyDescent="0.25">
      <c r="A1268" s="6" t="s">
        <v>1899</v>
      </c>
      <c r="B1268" s="4">
        <v>45632</v>
      </c>
      <c r="C1268" s="6" t="s">
        <v>2796</v>
      </c>
      <c r="D1268" s="7">
        <v>0.54513888888888884</v>
      </c>
      <c r="E1268" s="6" t="s">
        <v>16</v>
      </c>
      <c r="F1268" s="6" t="s">
        <v>59</v>
      </c>
      <c r="G1268" s="4">
        <v>34560</v>
      </c>
      <c r="H1268" s="6" t="s">
        <v>110</v>
      </c>
      <c r="I1268">
        <v>97</v>
      </c>
      <c r="J1268">
        <v>1</v>
      </c>
      <c r="K1268">
        <v>98</v>
      </c>
      <c r="L1268" s="6" t="s">
        <v>41</v>
      </c>
      <c r="M1268" s="6" t="s">
        <v>26</v>
      </c>
      <c r="N1268" s="6" t="s">
        <v>48</v>
      </c>
    </row>
    <row r="1269" spans="1:14" x14ac:dyDescent="0.25">
      <c r="A1269" s="6" t="s">
        <v>1900</v>
      </c>
      <c r="B1269" s="4">
        <v>45898</v>
      </c>
      <c r="C1269" s="6" t="s">
        <v>2793</v>
      </c>
      <c r="D1269" s="7">
        <v>0.78888888888888886</v>
      </c>
      <c r="E1269" s="6" t="s">
        <v>16</v>
      </c>
      <c r="F1269" s="6" t="s">
        <v>140</v>
      </c>
      <c r="G1269" s="4">
        <v>29625</v>
      </c>
      <c r="H1269" s="6" t="s">
        <v>141</v>
      </c>
      <c r="I1269">
        <v>129</v>
      </c>
      <c r="J1269">
        <v>2</v>
      </c>
      <c r="K1269">
        <v>259</v>
      </c>
      <c r="L1269" s="6" t="s">
        <v>54</v>
      </c>
      <c r="M1269" s="6" t="s">
        <v>32</v>
      </c>
      <c r="N1269" s="6" t="s">
        <v>27</v>
      </c>
    </row>
    <row r="1270" spans="1:14" x14ac:dyDescent="0.25">
      <c r="A1270" s="6" t="s">
        <v>1901</v>
      </c>
      <c r="B1270" s="4">
        <v>45935</v>
      </c>
      <c r="C1270" s="6" t="s">
        <v>2791</v>
      </c>
      <c r="D1270" s="7">
        <v>0.76775462962962959</v>
      </c>
      <c r="E1270" s="6" t="s">
        <v>16</v>
      </c>
      <c r="F1270" s="6" t="s">
        <v>299</v>
      </c>
      <c r="G1270" s="4">
        <v>33561</v>
      </c>
      <c r="H1270" s="6" t="s">
        <v>129</v>
      </c>
      <c r="I1270">
        <v>188</v>
      </c>
      <c r="J1270">
        <v>2</v>
      </c>
      <c r="K1270">
        <v>378</v>
      </c>
      <c r="L1270" s="6" t="s">
        <v>19</v>
      </c>
      <c r="M1270" s="6" t="s">
        <v>61</v>
      </c>
      <c r="N1270" s="6" t="s">
        <v>27</v>
      </c>
    </row>
    <row r="1271" spans="1:14" x14ac:dyDescent="0.25">
      <c r="A1271" s="6" t="s">
        <v>1902</v>
      </c>
      <c r="B1271" s="4">
        <v>45972</v>
      </c>
      <c r="C1271" s="6" t="s">
        <v>2802</v>
      </c>
      <c r="D1271" s="7">
        <v>0.98416666666666663</v>
      </c>
      <c r="E1271" s="6" t="s">
        <v>16</v>
      </c>
      <c r="F1271" s="6" t="s">
        <v>548</v>
      </c>
      <c r="G1271" s="4">
        <v>29824</v>
      </c>
      <c r="H1271" s="6" t="s">
        <v>36</v>
      </c>
      <c r="I1271">
        <v>254</v>
      </c>
      <c r="J1271">
        <v>2</v>
      </c>
      <c r="K1271">
        <v>509</v>
      </c>
      <c r="L1271" s="6" t="s">
        <v>41</v>
      </c>
      <c r="M1271" s="6" t="s">
        <v>20</v>
      </c>
      <c r="N1271" s="6" t="s">
        <v>56</v>
      </c>
    </row>
    <row r="1272" spans="1:14" x14ac:dyDescent="0.25">
      <c r="A1272" s="6" t="s">
        <v>1903</v>
      </c>
      <c r="B1272" s="4">
        <v>45744</v>
      </c>
      <c r="C1272" s="6" t="s">
        <v>2798</v>
      </c>
      <c r="D1272" s="7">
        <v>0.5379976851851852</v>
      </c>
      <c r="E1272" s="6" t="s">
        <v>16</v>
      </c>
      <c r="F1272" s="6" t="s">
        <v>88</v>
      </c>
      <c r="G1272" s="4">
        <v>25608</v>
      </c>
      <c r="H1272" s="6" t="s">
        <v>24</v>
      </c>
      <c r="I1272">
        <v>270</v>
      </c>
      <c r="J1272">
        <v>3</v>
      </c>
      <c r="K1272">
        <v>811</v>
      </c>
      <c r="L1272" s="6" t="s">
        <v>19</v>
      </c>
      <c r="M1272" s="6" t="s">
        <v>37</v>
      </c>
      <c r="N1272" s="6" t="s">
        <v>74</v>
      </c>
    </row>
    <row r="1273" spans="1:14" x14ac:dyDescent="0.25">
      <c r="A1273" s="6" t="s">
        <v>1904</v>
      </c>
      <c r="B1273" s="4">
        <v>45880</v>
      </c>
      <c r="C1273" s="6" t="s">
        <v>2793</v>
      </c>
      <c r="D1273" s="7">
        <v>0.44861111111111113</v>
      </c>
      <c r="E1273" s="6" t="s">
        <v>16</v>
      </c>
      <c r="F1273" s="6" t="s">
        <v>776</v>
      </c>
      <c r="G1273" s="4">
        <v>39458</v>
      </c>
      <c r="H1273" s="6" t="s">
        <v>199</v>
      </c>
      <c r="I1273">
        <v>179</v>
      </c>
      <c r="J1273">
        <v>1</v>
      </c>
      <c r="K1273">
        <v>179</v>
      </c>
      <c r="L1273" s="6" t="s">
        <v>67</v>
      </c>
      <c r="M1273" s="6" t="s">
        <v>32</v>
      </c>
      <c r="N1273" s="6" t="s">
        <v>74</v>
      </c>
    </row>
    <row r="1274" spans="1:14" x14ac:dyDescent="0.25">
      <c r="A1274" s="6" t="s">
        <v>1905</v>
      </c>
      <c r="B1274" s="4">
        <v>45953</v>
      </c>
      <c r="C1274" s="6" t="s">
        <v>2791</v>
      </c>
      <c r="D1274" s="7">
        <v>0.84097222222222223</v>
      </c>
      <c r="E1274" s="6" t="s">
        <v>16</v>
      </c>
      <c r="F1274" s="6" t="s">
        <v>246</v>
      </c>
      <c r="G1274" s="4">
        <v>32690</v>
      </c>
      <c r="H1274" s="6" t="s">
        <v>73</v>
      </c>
      <c r="I1274">
        <v>55</v>
      </c>
      <c r="J1274">
        <v>2</v>
      </c>
      <c r="K1274">
        <v>111</v>
      </c>
      <c r="L1274" s="6" t="s">
        <v>41</v>
      </c>
      <c r="M1274" s="6" t="s">
        <v>37</v>
      </c>
      <c r="N1274" s="6" t="s">
        <v>105</v>
      </c>
    </row>
    <row r="1275" spans="1:14" x14ac:dyDescent="0.25">
      <c r="A1275" s="6" t="s">
        <v>1906</v>
      </c>
      <c r="B1275" s="4">
        <v>45851</v>
      </c>
      <c r="C1275" s="6" t="s">
        <v>2795</v>
      </c>
      <c r="D1275" s="7">
        <v>0.81388888888888888</v>
      </c>
      <c r="E1275" s="6" t="s">
        <v>16</v>
      </c>
      <c r="F1275" s="6" t="s">
        <v>118</v>
      </c>
      <c r="G1275" s="4">
        <v>32690</v>
      </c>
      <c r="H1275" s="6" t="s">
        <v>60</v>
      </c>
      <c r="I1275">
        <v>234</v>
      </c>
      <c r="J1275">
        <v>2</v>
      </c>
      <c r="K1275">
        <v>468</v>
      </c>
      <c r="L1275" s="6" t="s">
        <v>41</v>
      </c>
      <c r="M1275" s="6" t="s">
        <v>20</v>
      </c>
      <c r="N1275" s="6" t="s">
        <v>56</v>
      </c>
    </row>
    <row r="1276" spans="1:14" x14ac:dyDescent="0.25">
      <c r="A1276" s="6" t="s">
        <v>1907</v>
      </c>
      <c r="B1276" s="4">
        <v>45868</v>
      </c>
      <c r="C1276" s="6" t="s">
        <v>2795</v>
      </c>
      <c r="D1276" s="7">
        <v>0.54236111111111107</v>
      </c>
      <c r="E1276" s="6" t="s">
        <v>16</v>
      </c>
      <c r="F1276" s="6" t="s">
        <v>332</v>
      </c>
      <c r="G1276" s="4">
        <v>37551</v>
      </c>
      <c r="H1276" s="6" t="s">
        <v>145</v>
      </c>
      <c r="I1276">
        <v>223</v>
      </c>
      <c r="J1276">
        <v>1</v>
      </c>
      <c r="K1276">
        <v>192</v>
      </c>
      <c r="L1276" s="6" t="s">
        <v>41</v>
      </c>
      <c r="M1276" s="6" t="s">
        <v>20</v>
      </c>
      <c r="N1276" s="6" t="s">
        <v>48</v>
      </c>
    </row>
    <row r="1277" spans="1:14" x14ac:dyDescent="0.25">
      <c r="A1277" s="6" t="s">
        <v>1908</v>
      </c>
      <c r="B1277" s="4">
        <v>45665</v>
      </c>
      <c r="C1277" s="6" t="s">
        <v>2794</v>
      </c>
      <c r="D1277" s="7">
        <v>0.49791666666666667</v>
      </c>
      <c r="E1277" s="6" t="s">
        <v>16</v>
      </c>
      <c r="F1277" s="6" t="s">
        <v>332</v>
      </c>
      <c r="G1277" s="4">
        <v>37551</v>
      </c>
      <c r="H1277" s="6" t="s">
        <v>129</v>
      </c>
      <c r="I1277">
        <v>212</v>
      </c>
      <c r="J1277">
        <v>2</v>
      </c>
      <c r="K1277">
        <v>425</v>
      </c>
      <c r="L1277" s="6" t="s">
        <v>41</v>
      </c>
      <c r="M1277" s="6" t="s">
        <v>32</v>
      </c>
      <c r="N1277" s="6" t="s">
        <v>48</v>
      </c>
    </row>
    <row r="1278" spans="1:14" x14ac:dyDescent="0.25">
      <c r="A1278" s="6" t="s">
        <v>1909</v>
      </c>
      <c r="B1278" s="4">
        <v>45878</v>
      </c>
      <c r="C1278" s="6" t="s">
        <v>2793</v>
      </c>
      <c r="D1278" s="7">
        <v>0.43586805555555558</v>
      </c>
      <c r="E1278" s="6" t="s">
        <v>16</v>
      </c>
      <c r="F1278" s="6" t="s">
        <v>222</v>
      </c>
      <c r="G1278" s="4">
        <v>39655</v>
      </c>
      <c r="H1278" s="6" t="s">
        <v>45</v>
      </c>
      <c r="I1278">
        <v>225</v>
      </c>
      <c r="J1278">
        <v>2</v>
      </c>
      <c r="K1278">
        <v>452</v>
      </c>
      <c r="L1278" s="6" t="s">
        <v>41</v>
      </c>
      <c r="M1278" s="6" t="s">
        <v>55</v>
      </c>
      <c r="N1278" s="6" t="s">
        <v>27</v>
      </c>
    </row>
    <row r="1279" spans="1:14" x14ac:dyDescent="0.25">
      <c r="A1279" s="6" t="s">
        <v>1910</v>
      </c>
      <c r="B1279" s="4">
        <v>45685</v>
      </c>
      <c r="C1279" s="6" t="s">
        <v>2794</v>
      </c>
      <c r="D1279" s="7">
        <v>0.49686342592592592</v>
      </c>
      <c r="E1279" s="6" t="s">
        <v>16</v>
      </c>
      <c r="F1279" s="6" t="s">
        <v>211</v>
      </c>
      <c r="G1279" s="4">
        <v>33974</v>
      </c>
      <c r="H1279" s="6" t="s">
        <v>85</v>
      </c>
      <c r="I1279">
        <v>308</v>
      </c>
      <c r="J1279">
        <v>1</v>
      </c>
      <c r="K1279">
        <v>308</v>
      </c>
      <c r="L1279" s="6" t="s">
        <v>19</v>
      </c>
      <c r="M1279" s="6" t="s">
        <v>20</v>
      </c>
      <c r="N1279" s="6" t="s">
        <v>74</v>
      </c>
    </row>
    <row r="1280" spans="1:14" x14ac:dyDescent="0.25">
      <c r="A1280" s="6" t="s">
        <v>1911</v>
      </c>
      <c r="B1280" s="4">
        <v>45856</v>
      </c>
      <c r="C1280" s="6" t="s">
        <v>2795</v>
      </c>
      <c r="D1280" s="7">
        <v>0.68587962962962967</v>
      </c>
      <c r="E1280" s="6" t="s">
        <v>16</v>
      </c>
      <c r="F1280" s="6" t="s">
        <v>76</v>
      </c>
      <c r="G1280" s="4">
        <v>28513</v>
      </c>
      <c r="H1280" s="6" t="s">
        <v>145</v>
      </c>
      <c r="I1280">
        <v>173</v>
      </c>
      <c r="J1280">
        <v>2</v>
      </c>
      <c r="K1280">
        <v>348</v>
      </c>
      <c r="L1280" s="6" t="s">
        <v>67</v>
      </c>
      <c r="M1280" s="6" t="s">
        <v>47</v>
      </c>
      <c r="N1280" s="6" t="s">
        <v>48</v>
      </c>
    </row>
    <row r="1281" spans="1:14" x14ac:dyDescent="0.25">
      <c r="A1281" s="6" t="s">
        <v>1912</v>
      </c>
      <c r="B1281" s="4">
        <v>45689</v>
      </c>
      <c r="C1281" s="6" t="s">
        <v>2799</v>
      </c>
      <c r="D1281" s="7">
        <v>0.80138888888888893</v>
      </c>
      <c r="E1281" s="6" t="s">
        <v>16</v>
      </c>
      <c r="F1281" s="6" t="s">
        <v>471</v>
      </c>
      <c r="G1281" s="4">
        <v>37118</v>
      </c>
      <c r="H1281" s="6" t="s">
        <v>24</v>
      </c>
      <c r="I1281">
        <v>206</v>
      </c>
      <c r="J1281">
        <v>2</v>
      </c>
      <c r="K1281">
        <v>413</v>
      </c>
      <c r="L1281" s="6" t="s">
        <v>54</v>
      </c>
      <c r="M1281" s="6" t="s">
        <v>47</v>
      </c>
      <c r="N1281" s="6" t="s">
        <v>74</v>
      </c>
    </row>
    <row r="1282" spans="1:14" x14ac:dyDescent="0.25">
      <c r="A1282" s="6" t="s">
        <v>1913</v>
      </c>
      <c r="B1282" s="4">
        <v>45714</v>
      </c>
      <c r="C1282" s="6" t="s">
        <v>2799</v>
      </c>
      <c r="D1282" s="7">
        <v>0.90942129629629631</v>
      </c>
      <c r="E1282" s="6" t="s">
        <v>16</v>
      </c>
      <c r="F1282" s="6" t="s">
        <v>237</v>
      </c>
      <c r="G1282" s="4">
        <v>26293</v>
      </c>
      <c r="H1282" s="6" t="s">
        <v>40</v>
      </c>
      <c r="I1282">
        <v>209</v>
      </c>
      <c r="J1282">
        <v>1</v>
      </c>
      <c r="K1282">
        <v>209</v>
      </c>
      <c r="L1282" s="6" t="s">
        <v>19</v>
      </c>
      <c r="M1282" s="6" t="s">
        <v>47</v>
      </c>
      <c r="N1282" s="6" t="s">
        <v>27</v>
      </c>
    </row>
    <row r="1283" spans="1:14" x14ac:dyDescent="0.25">
      <c r="A1283" s="6" t="s">
        <v>1914</v>
      </c>
      <c r="B1283" s="4">
        <v>45947</v>
      </c>
      <c r="C1283" s="6" t="s">
        <v>2791</v>
      </c>
      <c r="D1283" s="7">
        <v>0.6381944444444444</v>
      </c>
      <c r="E1283" s="6" t="s">
        <v>16</v>
      </c>
      <c r="F1283" s="6" t="s">
        <v>267</v>
      </c>
      <c r="G1283" s="4">
        <v>36114</v>
      </c>
      <c r="H1283" s="6" t="s">
        <v>30</v>
      </c>
      <c r="I1283">
        <v>289</v>
      </c>
      <c r="J1283">
        <v>2</v>
      </c>
      <c r="K1283">
        <v>579</v>
      </c>
      <c r="L1283" s="6" t="s">
        <v>19</v>
      </c>
      <c r="M1283" s="6" t="s">
        <v>26</v>
      </c>
      <c r="N1283" s="6" t="s">
        <v>27</v>
      </c>
    </row>
    <row r="1284" spans="1:14" x14ac:dyDescent="0.25">
      <c r="A1284" s="6" t="s">
        <v>1915</v>
      </c>
      <c r="B1284" s="4">
        <v>45788</v>
      </c>
      <c r="C1284" s="6" t="s">
        <v>2792</v>
      </c>
      <c r="D1284" s="7">
        <v>0.56944444444444442</v>
      </c>
      <c r="E1284" s="6" t="s">
        <v>16</v>
      </c>
      <c r="F1284" s="6" t="s">
        <v>405</v>
      </c>
      <c r="G1284" s="4">
        <v>37122</v>
      </c>
      <c r="H1284" s="6" t="s">
        <v>40</v>
      </c>
      <c r="I1284">
        <v>177</v>
      </c>
      <c r="J1284">
        <v>3</v>
      </c>
      <c r="K1284">
        <v>533</v>
      </c>
      <c r="L1284" s="6" t="s">
        <v>41</v>
      </c>
      <c r="M1284" s="6" t="s">
        <v>55</v>
      </c>
      <c r="N1284" s="6" t="s">
        <v>105</v>
      </c>
    </row>
    <row r="1285" spans="1:14" x14ac:dyDescent="0.25">
      <c r="A1285" s="6" t="s">
        <v>1916</v>
      </c>
      <c r="B1285" s="4">
        <v>45898</v>
      </c>
      <c r="C1285" s="6" t="s">
        <v>2793</v>
      </c>
      <c r="D1285" s="7">
        <v>0.4513888888888889</v>
      </c>
      <c r="E1285" s="6" t="s">
        <v>16</v>
      </c>
      <c r="F1285" s="6" t="s">
        <v>76</v>
      </c>
      <c r="G1285" s="4">
        <v>35340</v>
      </c>
      <c r="H1285" s="6" t="s">
        <v>104</v>
      </c>
      <c r="I1285">
        <v>246</v>
      </c>
      <c r="J1285">
        <v>1</v>
      </c>
      <c r="L1285" s="6" t="s">
        <v>2787</v>
      </c>
      <c r="M1285" s="6" t="s">
        <v>32</v>
      </c>
      <c r="N1285" s="6" t="s">
        <v>105</v>
      </c>
    </row>
    <row r="1286" spans="1:14" x14ac:dyDescent="0.25">
      <c r="A1286" s="6" t="s">
        <v>1918</v>
      </c>
      <c r="B1286" s="4">
        <v>45972</v>
      </c>
      <c r="C1286" s="6" t="s">
        <v>2802</v>
      </c>
      <c r="D1286" s="7">
        <v>0.59027777777777779</v>
      </c>
      <c r="E1286" s="6" t="s">
        <v>16</v>
      </c>
      <c r="F1286" s="6" t="s">
        <v>562</v>
      </c>
      <c r="G1286" s="4">
        <v>39277</v>
      </c>
      <c r="H1286" s="6" t="s">
        <v>24</v>
      </c>
      <c r="I1286">
        <v>288</v>
      </c>
      <c r="J1286">
        <v>1</v>
      </c>
      <c r="K1286">
        <v>289</v>
      </c>
      <c r="L1286" s="6" t="s">
        <v>67</v>
      </c>
      <c r="M1286" s="6" t="s">
        <v>32</v>
      </c>
      <c r="N1286" s="6" t="s">
        <v>33</v>
      </c>
    </row>
    <row r="1287" spans="1:14" x14ac:dyDescent="0.25">
      <c r="A1287" s="6" t="s">
        <v>1919</v>
      </c>
      <c r="B1287" s="4">
        <v>45838</v>
      </c>
      <c r="C1287" s="6" t="s">
        <v>2800</v>
      </c>
      <c r="D1287" s="7">
        <v>0.85452546296296295</v>
      </c>
      <c r="E1287" s="6" t="s">
        <v>16</v>
      </c>
      <c r="F1287" s="6" t="s">
        <v>434</v>
      </c>
      <c r="G1287" s="4">
        <v>28697</v>
      </c>
      <c r="H1287" s="6" t="s">
        <v>36</v>
      </c>
      <c r="I1287">
        <v>189</v>
      </c>
      <c r="J1287">
        <v>1</v>
      </c>
      <c r="L1287" s="6" t="s">
        <v>41</v>
      </c>
      <c r="M1287" s="6" t="s">
        <v>26</v>
      </c>
      <c r="N1287" s="6" t="s">
        <v>105</v>
      </c>
    </row>
    <row r="1288" spans="1:14" x14ac:dyDescent="0.25">
      <c r="A1288" s="6" t="s">
        <v>1921</v>
      </c>
      <c r="B1288" s="4">
        <v>45863</v>
      </c>
      <c r="C1288" s="6" t="s">
        <v>2795</v>
      </c>
      <c r="D1288" s="7">
        <v>0.70607638888888891</v>
      </c>
      <c r="E1288" s="6" t="s">
        <v>16</v>
      </c>
      <c r="F1288" s="6" t="s">
        <v>50</v>
      </c>
      <c r="G1288" s="4">
        <v>29192</v>
      </c>
      <c r="H1288" s="6" t="s">
        <v>53</v>
      </c>
      <c r="I1288">
        <v>100</v>
      </c>
      <c r="J1288">
        <v>2</v>
      </c>
      <c r="K1288">
        <v>200</v>
      </c>
      <c r="L1288" s="6" t="s">
        <v>19</v>
      </c>
      <c r="M1288" s="6" t="s">
        <v>37</v>
      </c>
      <c r="N1288" s="6" t="s">
        <v>56</v>
      </c>
    </row>
    <row r="1289" spans="1:14" x14ac:dyDescent="0.25">
      <c r="A1289" s="6" t="s">
        <v>1923</v>
      </c>
      <c r="B1289" s="4">
        <v>45783</v>
      </c>
      <c r="C1289" s="6" t="s">
        <v>2792</v>
      </c>
      <c r="D1289" s="7">
        <v>0.71736111111111112</v>
      </c>
      <c r="E1289" s="6" t="s">
        <v>16</v>
      </c>
      <c r="F1289" s="6" t="s">
        <v>640</v>
      </c>
      <c r="G1289" s="4">
        <v>26984</v>
      </c>
      <c r="H1289" s="6" t="s">
        <v>53</v>
      </c>
      <c r="I1289">
        <v>93</v>
      </c>
      <c r="J1289">
        <v>3</v>
      </c>
      <c r="K1289">
        <v>279</v>
      </c>
      <c r="L1289" s="6" t="s">
        <v>67</v>
      </c>
      <c r="M1289" s="6" t="s">
        <v>20</v>
      </c>
      <c r="N1289" s="6" t="s">
        <v>33</v>
      </c>
    </row>
    <row r="1290" spans="1:14" x14ac:dyDescent="0.25">
      <c r="A1290" s="6" t="s">
        <v>1924</v>
      </c>
      <c r="B1290" s="4">
        <v>45671</v>
      </c>
      <c r="C1290" s="6" t="s">
        <v>2794</v>
      </c>
      <c r="D1290" s="7">
        <v>0.53886574074074078</v>
      </c>
      <c r="E1290" s="6" t="s">
        <v>16</v>
      </c>
      <c r="F1290" s="6" t="s">
        <v>222</v>
      </c>
      <c r="G1290" s="4">
        <v>39101</v>
      </c>
      <c r="H1290" s="6" t="s">
        <v>30</v>
      </c>
      <c r="I1290">
        <v>321</v>
      </c>
      <c r="J1290">
        <v>2</v>
      </c>
      <c r="K1290">
        <v>644</v>
      </c>
      <c r="L1290" s="6" t="s">
        <v>54</v>
      </c>
      <c r="M1290" s="6" t="s">
        <v>61</v>
      </c>
      <c r="N1290" s="6" t="s">
        <v>33</v>
      </c>
    </row>
    <row r="1291" spans="1:14" x14ac:dyDescent="0.25">
      <c r="A1291" s="6" t="s">
        <v>1925</v>
      </c>
      <c r="B1291" s="4">
        <v>45853</v>
      </c>
      <c r="C1291" s="6" t="s">
        <v>2795</v>
      </c>
      <c r="D1291" s="7">
        <v>0.97152777777777777</v>
      </c>
      <c r="E1291" s="6" t="s">
        <v>16</v>
      </c>
      <c r="F1291" s="6" t="s">
        <v>246</v>
      </c>
      <c r="G1291" s="4">
        <v>30309</v>
      </c>
      <c r="H1291" s="6" t="s">
        <v>40</v>
      </c>
      <c r="I1291">
        <v>232</v>
      </c>
      <c r="J1291">
        <v>2</v>
      </c>
      <c r="K1291">
        <v>464</v>
      </c>
      <c r="L1291" s="6" t="s">
        <v>54</v>
      </c>
      <c r="M1291" s="6" t="s">
        <v>32</v>
      </c>
      <c r="N1291" s="6" t="s">
        <v>56</v>
      </c>
    </row>
    <row r="1292" spans="1:14" x14ac:dyDescent="0.25">
      <c r="A1292" s="6" t="s">
        <v>1926</v>
      </c>
      <c r="B1292" s="4">
        <v>45769</v>
      </c>
      <c r="C1292" s="6" t="s">
        <v>2801</v>
      </c>
      <c r="D1292" s="7">
        <v>0.71180555555555558</v>
      </c>
      <c r="E1292" s="6" t="s">
        <v>16</v>
      </c>
      <c r="F1292" s="6" t="s">
        <v>360</v>
      </c>
      <c r="G1292" s="4">
        <v>27921</v>
      </c>
      <c r="H1292" s="6" t="s">
        <v>36</v>
      </c>
      <c r="I1292">
        <v>308</v>
      </c>
      <c r="J1292">
        <v>2</v>
      </c>
      <c r="K1292">
        <v>617</v>
      </c>
      <c r="L1292" s="6" t="s">
        <v>41</v>
      </c>
      <c r="M1292" s="6" t="s">
        <v>26</v>
      </c>
      <c r="N1292" s="6" t="s">
        <v>33</v>
      </c>
    </row>
    <row r="1293" spans="1:14" x14ac:dyDescent="0.25">
      <c r="A1293" s="6" t="s">
        <v>1927</v>
      </c>
      <c r="B1293" s="4">
        <v>45839</v>
      </c>
      <c r="C1293" s="6" t="s">
        <v>2795</v>
      </c>
      <c r="D1293" s="7">
        <v>0.47466435185185185</v>
      </c>
      <c r="E1293" s="6" t="s">
        <v>16</v>
      </c>
      <c r="F1293" s="6" t="s">
        <v>229</v>
      </c>
      <c r="G1293" s="4">
        <v>37747</v>
      </c>
      <c r="H1293" s="6" t="s">
        <v>85</v>
      </c>
      <c r="I1293">
        <v>238</v>
      </c>
      <c r="J1293">
        <v>2</v>
      </c>
      <c r="K1293">
        <v>477</v>
      </c>
      <c r="L1293" s="6" t="s">
        <v>19</v>
      </c>
      <c r="M1293" s="6" t="s">
        <v>61</v>
      </c>
      <c r="N1293" s="6" t="s">
        <v>105</v>
      </c>
    </row>
    <row r="1294" spans="1:14" x14ac:dyDescent="0.25">
      <c r="A1294" s="6" t="s">
        <v>1928</v>
      </c>
      <c r="B1294" s="4">
        <v>45840</v>
      </c>
      <c r="C1294" s="6" t="s">
        <v>2795</v>
      </c>
      <c r="D1294" s="7">
        <v>0.92291666666666672</v>
      </c>
      <c r="E1294" s="6" t="s">
        <v>16</v>
      </c>
      <c r="F1294" s="6" t="s">
        <v>770</v>
      </c>
      <c r="G1294" s="4">
        <v>33681</v>
      </c>
      <c r="H1294" s="6" t="s">
        <v>40</v>
      </c>
      <c r="I1294">
        <v>221</v>
      </c>
      <c r="J1294">
        <v>2</v>
      </c>
      <c r="K1294">
        <v>442</v>
      </c>
      <c r="L1294" s="6" t="s">
        <v>19</v>
      </c>
      <c r="M1294" s="6" t="s">
        <v>32</v>
      </c>
      <c r="N1294" s="6" t="s">
        <v>105</v>
      </c>
    </row>
    <row r="1295" spans="1:14" x14ac:dyDescent="0.25">
      <c r="A1295" s="6" t="s">
        <v>1929</v>
      </c>
      <c r="B1295" s="4">
        <v>45849</v>
      </c>
      <c r="C1295" s="6" t="s">
        <v>2795</v>
      </c>
      <c r="D1295" s="7">
        <v>0.49166666666666664</v>
      </c>
      <c r="E1295" s="6" t="s">
        <v>16</v>
      </c>
      <c r="F1295" s="6" t="s">
        <v>218</v>
      </c>
      <c r="G1295" s="4">
        <v>38004</v>
      </c>
      <c r="H1295" s="6" t="s">
        <v>85</v>
      </c>
      <c r="I1295">
        <v>221</v>
      </c>
      <c r="J1295">
        <v>3</v>
      </c>
      <c r="K1295">
        <v>442</v>
      </c>
      <c r="L1295" s="6" t="s">
        <v>41</v>
      </c>
      <c r="M1295" s="6" t="s">
        <v>61</v>
      </c>
      <c r="N1295" s="6" t="s">
        <v>105</v>
      </c>
    </row>
    <row r="1296" spans="1:14" x14ac:dyDescent="0.25">
      <c r="A1296" s="6" t="s">
        <v>1930</v>
      </c>
      <c r="B1296" s="4">
        <v>45750</v>
      </c>
      <c r="C1296" s="6" t="s">
        <v>2801</v>
      </c>
      <c r="D1296" s="7">
        <v>0.48417824074074073</v>
      </c>
      <c r="E1296" s="6" t="s">
        <v>16</v>
      </c>
      <c r="F1296" s="6" t="s">
        <v>237</v>
      </c>
      <c r="G1296" s="4">
        <v>34648</v>
      </c>
      <c r="H1296" s="6" t="s">
        <v>243</v>
      </c>
      <c r="I1296">
        <v>124</v>
      </c>
      <c r="J1296">
        <v>2</v>
      </c>
      <c r="K1296">
        <v>249</v>
      </c>
      <c r="L1296" s="6" t="s">
        <v>19</v>
      </c>
      <c r="M1296" s="6" t="s">
        <v>26</v>
      </c>
      <c r="N1296" s="6" t="s">
        <v>56</v>
      </c>
    </row>
    <row r="1297" spans="1:14" x14ac:dyDescent="0.25">
      <c r="A1297" s="6" t="s">
        <v>1932</v>
      </c>
      <c r="B1297" s="4">
        <v>45617</v>
      </c>
      <c r="C1297" s="6" t="s">
        <v>2802</v>
      </c>
      <c r="D1297" s="7">
        <v>0.59236111111111112</v>
      </c>
      <c r="E1297" s="6" t="s">
        <v>16</v>
      </c>
      <c r="F1297" s="6" t="s">
        <v>307</v>
      </c>
      <c r="G1297" s="4">
        <v>34648</v>
      </c>
      <c r="H1297" s="6" t="s">
        <v>202</v>
      </c>
      <c r="I1297">
        <v>184</v>
      </c>
      <c r="J1297">
        <v>3</v>
      </c>
      <c r="K1297">
        <v>554</v>
      </c>
      <c r="L1297" s="6" t="s">
        <v>19</v>
      </c>
      <c r="M1297" s="6" t="s">
        <v>61</v>
      </c>
      <c r="N1297" s="6" t="s">
        <v>33</v>
      </c>
    </row>
    <row r="1298" spans="1:14" x14ac:dyDescent="0.25">
      <c r="A1298" s="6" t="s">
        <v>1933</v>
      </c>
      <c r="B1298" s="4">
        <v>45826</v>
      </c>
      <c r="C1298" s="6" t="s">
        <v>2800</v>
      </c>
      <c r="D1298" s="7">
        <v>0.79652777777777772</v>
      </c>
      <c r="E1298" s="6" t="s">
        <v>16</v>
      </c>
      <c r="F1298" s="6" t="s">
        <v>123</v>
      </c>
      <c r="G1298" s="4">
        <v>30877</v>
      </c>
      <c r="H1298" s="6" t="s">
        <v>213</v>
      </c>
      <c r="I1298">
        <v>196</v>
      </c>
      <c r="J1298">
        <v>3</v>
      </c>
      <c r="K1298">
        <v>588</v>
      </c>
      <c r="L1298" s="6" t="s">
        <v>2787</v>
      </c>
      <c r="M1298" s="6" t="s">
        <v>20</v>
      </c>
      <c r="N1298" s="6" t="s">
        <v>21</v>
      </c>
    </row>
    <row r="1299" spans="1:14" x14ac:dyDescent="0.25">
      <c r="A1299" s="6" t="s">
        <v>1934</v>
      </c>
      <c r="B1299" s="4">
        <v>45839</v>
      </c>
      <c r="C1299" s="6" t="s">
        <v>2795</v>
      </c>
      <c r="D1299" s="7">
        <v>0.51493055555555556</v>
      </c>
      <c r="E1299" s="6" t="s">
        <v>16</v>
      </c>
      <c r="F1299" s="6" t="s">
        <v>98</v>
      </c>
      <c r="G1299" s="4">
        <v>40240</v>
      </c>
      <c r="H1299" s="6" t="s">
        <v>164</v>
      </c>
      <c r="I1299">
        <v>336</v>
      </c>
      <c r="J1299">
        <v>2</v>
      </c>
      <c r="K1299">
        <v>672</v>
      </c>
      <c r="L1299" s="6" t="s">
        <v>67</v>
      </c>
      <c r="M1299" s="6" t="s">
        <v>37</v>
      </c>
      <c r="N1299" s="6" t="s">
        <v>27</v>
      </c>
    </row>
    <row r="1300" spans="1:14" x14ac:dyDescent="0.25">
      <c r="A1300" s="6" t="s">
        <v>1935</v>
      </c>
      <c r="B1300" s="4">
        <v>45921</v>
      </c>
      <c r="C1300" s="6" t="s">
        <v>2797</v>
      </c>
      <c r="D1300" s="7">
        <v>0.43055555555555558</v>
      </c>
      <c r="E1300" s="6" t="s">
        <v>16</v>
      </c>
      <c r="F1300" s="6" t="s">
        <v>173</v>
      </c>
      <c r="G1300" s="4">
        <v>30874</v>
      </c>
      <c r="H1300" s="6" t="s">
        <v>110</v>
      </c>
      <c r="I1300">
        <v>105</v>
      </c>
      <c r="J1300">
        <v>1</v>
      </c>
      <c r="K1300">
        <v>105</v>
      </c>
      <c r="L1300" s="6" t="s">
        <v>54</v>
      </c>
      <c r="M1300" s="6" t="s">
        <v>20</v>
      </c>
      <c r="N1300" s="6" t="s">
        <v>56</v>
      </c>
    </row>
    <row r="1301" spans="1:14" x14ac:dyDescent="0.25">
      <c r="A1301" s="6" t="s">
        <v>1936</v>
      </c>
      <c r="B1301" s="4">
        <v>45738</v>
      </c>
      <c r="C1301" s="6" t="s">
        <v>2798</v>
      </c>
      <c r="D1301" s="7">
        <v>0.89142361111111112</v>
      </c>
      <c r="E1301" s="6" t="s">
        <v>16</v>
      </c>
      <c r="F1301" s="6" t="s">
        <v>1602</v>
      </c>
      <c r="G1301" s="4">
        <v>34775</v>
      </c>
      <c r="H1301" s="6" t="s">
        <v>45</v>
      </c>
      <c r="I1301">
        <v>102</v>
      </c>
      <c r="J1301">
        <v>1</v>
      </c>
      <c r="K1301">
        <v>103</v>
      </c>
      <c r="L1301" s="6" t="s">
        <v>67</v>
      </c>
      <c r="M1301" s="6" t="s">
        <v>55</v>
      </c>
      <c r="N1301" s="6" t="s">
        <v>56</v>
      </c>
    </row>
    <row r="1302" spans="1:14" x14ac:dyDescent="0.25">
      <c r="A1302" s="6" t="s">
        <v>1937</v>
      </c>
      <c r="B1302" s="4">
        <v>45850</v>
      </c>
      <c r="C1302" s="6" t="s">
        <v>2795</v>
      </c>
      <c r="D1302" s="7">
        <v>0.97770833333333329</v>
      </c>
      <c r="E1302" s="6" t="s">
        <v>16</v>
      </c>
      <c r="F1302" s="6" t="s">
        <v>594</v>
      </c>
      <c r="G1302" s="4">
        <v>33584</v>
      </c>
      <c r="H1302" s="6" t="s">
        <v>85</v>
      </c>
      <c r="I1302">
        <v>223</v>
      </c>
      <c r="J1302">
        <v>3</v>
      </c>
      <c r="K1302">
        <v>671</v>
      </c>
      <c r="L1302" s="6" t="s">
        <v>54</v>
      </c>
      <c r="M1302" s="6" t="s">
        <v>26</v>
      </c>
      <c r="N1302" s="6" t="s">
        <v>105</v>
      </c>
    </row>
    <row r="1303" spans="1:14" x14ac:dyDescent="0.25">
      <c r="A1303" s="6" t="s">
        <v>1938</v>
      </c>
      <c r="B1303" s="4">
        <v>45843</v>
      </c>
      <c r="C1303" s="6" t="s">
        <v>2795</v>
      </c>
      <c r="D1303" s="7">
        <v>0.88153935185185184</v>
      </c>
      <c r="E1303" s="6" t="s">
        <v>16</v>
      </c>
      <c r="F1303" s="6" t="s">
        <v>358</v>
      </c>
      <c r="G1303" s="4">
        <v>34425</v>
      </c>
      <c r="H1303" s="6" t="s">
        <v>104</v>
      </c>
      <c r="I1303">
        <v>224</v>
      </c>
      <c r="J1303">
        <v>1</v>
      </c>
      <c r="K1303">
        <v>224</v>
      </c>
      <c r="L1303" s="6" t="s">
        <v>19</v>
      </c>
      <c r="M1303" s="6" t="s">
        <v>61</v>
      </c>
      <c r="N1303" s="6" t="s">
        <v>105</v>
      </c>
    </row>
    <row r="1304" spans="1:14" x14ac:dyDescent="0.25">
      <c r="A1304" s="6" t="s">
        <v>1939</v>
      </c>
      <c r="B1304" s="4">
        <v>45876</v>
      </c>
      <c r="C1304" s="6" t="s">
        <v>2793</v>
      </c>
      <c r="D1304" s="7">
        <v>0.43819444444444444</v>
      </c>
      <c r="E1304" s="6" t="s">
        <v>16</v>
      </c>
      <c r="F1304" s="6" t="s">
        <v>92</v>
      </c>
      <c r="G1304" s="4">
        <v>34083</v>
      </c>
      <c r="H1304" s="6" t="s">
        <v>77</v>
      </c>
      <c r="I1304">
        <v>224</v>
      </c>
      <c r="J1304">
        <v>1</v>
      </c>
      <c r="K1304">
        <v>224</v>
      </c>
      <c r="L1304" s="6" t="s">
        <v>41</v>
      </c>
      <c r="M1304" s="6" t="s">
        <v>20</v>
      </c>
      <c r="N1304" s="6" t="s">
        <v>105</v>
      </c>
    </row>
    <row r="1305" spans="1:14" x14ac:dyDescent="0.25">
      <c r="A1305" s="6" t="s">
        <v>1940</v>
      </c>
      <c r="B1305" s="4">
        <v>45710</v>
      </c>
      <c r="C1305" s="6" t="s">
        <v>2799</v>
      </c>
      <c r="D1305" s="7">
        <v>0.7543981481481481</v>
      </c>
      <c r="E1305" s="6" t="s">
        <v>16</v>
      </c>
      <c r="F1305" s="6" t="s">
        <v>63</v>
      </c>
      <c r="G1305" s="4">
        <v>29826</v>
      </c>
      <c r="H1305" s="6" t="s">
        <v>104</v>
      </c>
      <c r="I1305">
        <v>250</v>
      </c>
      <c r="J1305">
        <v>2</v>
      </c>
      <c r="K1305">
        <v>501</v>
      </c>
      <c r="L1305" s="6" t="s">
        <v>19</v>
      </c>
      <c r="M1305" s="6" t="s">
        <v>47</v>
      </c>
      <c r="N1305" s="6" t="s">
        <v>105</v>
      </c>
    </row>
    <row r="1306" spans="1:14" x14ac:dyDescent="0.25">
      <c r="A1306" s="6" t="s">
        <v>1941</v>
      </c>
      <c r="B1306" s="4">
        <v>45825</v>
      </c>
      <c r="C1306" s="6" t="s">
        <v>2800</v>
      </c>
      <c r="D1306" s="7">
        <v>0.9770833333333333</v>
      </c>
      <c r="E1306" s="6" t="s">
        <v>16</v>
      </c>
      <c r="F1306" s="6" t="s">
        <v>622</v>
      </c>
      <c r="G1306" s="4">
        <v>34891</v>
      </c>
      <c r="H1306" s="6" t="s">
        <v>60</v>
      </c>
      <c r="I1306">
        <v>281</v>
      </c>
      <c r="J1306">
        <v>2</v>
      </c>
      <c r="K1306">
        <v>562</v>
      </c>
      <c r="L1306" s="6" t="s">
        <v>19</v>
      </c>
      <c r="M1306" s="6" t="s">
        <v>55</v>
      </c>
      <c r="N1306" s="6" t="s">
        <v>48</v>
      </c>
    </row>
    <row r="1307" spans="1:14" x14ac:dyDescent="0.25">
      <c r="A1307" s="6" t="s">
        <v>1942</v>
      </c>
      <c r="B1307" s="4">
        <v>45637</v>
      </c>
      <c r="C1307" s="6" t="s">
        <v>2796</v>
      </c>
      <c r="D1307" s="7">
        <v>0.44483796296296296</v>
      </c>
      <c r="E1307" s="6" t="s">
        <v>16</v>
      </c>
      <c r="F1307" s="6" t="s">
        <v>379</v>
      </c>
      <c r="G1307" s="4">
        <v>37144</v>
      </c>
      <c r="H1307" s="6" t="s">
        <v>93</v>
      </c>
      <c r="I1307">
        <v>177</v>
      </c>
      <c r="J1307">
        <v>2</v>
      </c>
      <c r="K1307">
        <v>355</v>
      </c>
      <c r="L1307" s="6" t="s">
        <v>41</v>
      </c>
      <c r="M1307" s="6" t="s">
        <v>55</v>
      </c>
      <c r="N1307" s="6" t="s">
        <v>48</v>
      </c>
    </row>
    <row r="1308" spans="1:14" x14ac:dyDescent="0.25">
      <c r="A1308" s="6" t="s">
        <v>1943</v>
      </c>
      <c r="B1308" s="4">
        <v>45960</v>
      </c>
      <c r="C1308" s="6" t="s">
        <v>2791</v>
      </c>
      <c r="D1308" s="7">
        <v>0.47337962962962965</v>
      </c>
      <c r="E1308" s="6" t="s">
        <v>16</v>
      </c>
      <c r="F1308" s="6" t="s">
        <v>144</v>
      </c>
      <c r="G1308" s="4">
        <v>32165</v>
      </c>
      <c r="H1308" s="6" t="s">
        <v>129</v>
      </c>
      <c r="I1308">
        <v>188</v>
      </c>
      <c r="J1308">
        <v>1</v>
      </c>
      <c r="L1308" s="6" t="s">
        <v>54</v>
      </c>
      <c r="M1308" s="6" t="s">
        <v>20</v>
      </c>
      <c r="N1308" s="6" t="s">
        <v>48</v>
      </c>
    </row>
    <row r="1309" spans="1:14" x14ac:dyDescent="0.25">
      <c r="A1309" s="6" t="s">
        <v>1946</v>
      </c>
      <c r="B1309" s="4">
        <v>45927</v>
      </c>
      <c r="C1309" s="6" t="s">
        <v>2797</v>
      </c>
      <c r="D1309" s="7">
        <v>0.64422453703703708</v>
      </c>
      <c r="E1309" s="6" t="s">
        <v>16</v>
      </c>
      <c r="F1309" s="6" t="s">
        <v>29</v>
      </c>
      <c r="G1309" s="4">
        <v>30999</v>
      </c>
      <c r="H1309" s="6" t="s">
        <v>141</v>
      </c>
      <c r="I1309">
        <v>129</v>
      </c>
      <c r="J1309">
        <v>1</v>
      </c>
      <c r="K1309">
        <v>130</v>
      </c>
      <c r="L1309" s="6" t="s">
        <v>41</v>
      </c>
      <c r="M1309" s="6" t="s">
        <v>89</v>
      </c>
      <c r="N1309" s="6" t="s">
        <v>48</v>
      </c>
    </row>
    <row r="1310" spans="1:14" x14ac:dyDescent="0.25">
      <c r="A1310" s="6" t="s">
        <v>1947</v>
      </c>
      <c r="B1310" s="4">
        <v>45948</v>
      </c>
      <c r="C1310" s="6" t="s">
        <v>2791</v>
      </c>
      <c r="D1310" s="7">
        <v>0.69722222222222219</v>
      </c>
      <c r="E1310" s="6" t="s">
        <v>16</v>
      </c>
      <c r="F1310" s="6" t="s">
        <v>154</v>
      </c>
      <c r="G1310" s="4">
        <v>31570</v>
      </c>
      <c r="H1310" s="6" t="s">
        <v>116</v>
      </c>
      <c r="I1310">
        <v>157</v>
      </c>
      <c r="J1310">
        <v>3</v>
      </c>
      <c r="K1310">
        <v>472</v>
      </c>
      <c r="L1310" s="6" t="s">
        <v>19</v>
      </c>
      <c r="M1310" s="6" t="s">
        <v>61</v>
      </c>
      <c r="N1310" s="6" t="s">
        <v>105</v>
      </c>
    </row>
    <row r="1311" spans="1:14" x14ac:dyDescent="0.25">
      <c r="A1311" s="6" t="s">
        <v>1948</v>
      </c>
      <c r="B1311" s="4">
        <v>45919</v>
      </c>
      <c r="C1311" s="6" t="s">
        <v>2797</v>
      </c>
      <c r="D1311" s="7">
        <v>0.68472222222222223</v>
      </c>
      <c r="E1311" s="6" t="s">
        <v>16</v>
      </c>
      <c r="F1311" s="6" t="s">
        <v>52</v>
      </c>
      <c r="G1311" s="4">
        <v>40431</v>
      </c>
      <c r="H1311" s="6" t="s">
        <v>104</v>
      </c>
      <c r="I1311">
        <v>261</v>
      </c>
      <c r="J1311">
        <v>2</v>
      </c>
      <c r="K1311">
        <v>523</v>
      </c>
      <c r="L1311" s="6" t="s">
        <v>19</v>
      </c>
      <c r="M1311" s="6" t="s">
        <v>20</v>
      </c>
      <c r="N1311" s="6" t="s">
        <v>105</v>
      </c>
    </row>
    <row r="1312" spans="1:14" x14ac:dyDescent="0.25">
      <c r="A1312" s="6" t="s">
        <v>1949</v>
      </c>
      <c r="B1312" s="4">
        <v>45848</v>
      </c>
      <c r="C1312" s="6" t="s">
        <v>2795</v>
      </c>
      <c r="D1312" s="7">
        <v>0.95</v>
      </c>
      <c r="E1312" s="6" t="s">
        <v>16</v>
      </c>
      <c r="F1312" s="6" t="s">
        <v>451</v>
      </c>
      <c r="G1312" s="4">
        <v>32729</v>
      </c>
      <c r="H1312" s="6" t="s">
        <v>104</v>
      </c>
      <c r="I1312">
        <v>271</v>
      </c>
      <c r="J1312">
        <v>2</v>
      </c>
      <c r="K1312">
        <v>544</v>
      </c>
      <c r="L1312" s="6" t="s">
        <v>19</v>
      </c>
      <c r="M1312" s="6" t="s">
        <v>89</v>
      </c>
      <c r="N1312" s="6" t="s">
        <v>48</v>
      </c>
    </row>
    <row r="1313" spans="1:14" x14ac:dyDescent="0.25">
      <c r="A1313" s="6" t="s">
        <v>1950</v>
      </c>
      <c r="B1313" s="4">
        <v>45846</v>
      </c>
      <c r="C1313" s="6" t="s">
        <v>2795</v>
      </c>
      <c r="D1313" s="7">
        <v>0.62701388888888887</v>
      </c>
      <c r="E1313" s="6" t="s">
        <v>16</v>
      </c>
      <c r="F1313" s="6" t="s">
        <v>528</v>
      </c>
      <c r="G1313" s="4">
        <v>32316</v>
      </c>
      <c r="H1313" s="6" t="s">
        <v>259</v>
      </c>
      <c r="I1313">
        <v>125</v>
      </c>
      <c r="J1313">
        <v>1</v>
      </c>
      <c r="K1313">
        <v>125</v>
      </c>
      <c r="L1313" s="6" t="s">
        <v>54</v>
      </c>
      <c r="M1313" s="6" t="s">
        <v>89</v>
      </c>
      <c r="N1313" s="6" t="s">
        <v>48</v>
      </c>
    </row>
    <row r="1314" spans="1:14" x14ac:dyDescent="0.25">
      <c r="A1314" s="6" t="s">
        <v>1951</v>
      </c>
      <c r="B1314" s="4">
        <v>45865</v>
      </c>
      <c r="C1314" s="6" t="s">
        <v>2795</v>
      </c>
      <c r="D1314" s="7">
        <v>0.44305555555555554</v>
      </c>
      <c r="E1314" s="6" t="s">
        <v>16</v>
      </c>
      <c r="F1314" s="6" t="s">
        <v>425</v>
      </c>
      <c r="G1314" s="4">
        <v>33213</v>
      </c>
      <c r="H1314" s="6" t="s">
        <v>141</v>
      </c>
      <c r="I1314">
        <v>147</v>
      </c>
      <c r="J1314">
        <v>1</v>
      </c>
      <c r="K1314">
        <v>100</v>
      </c>
      <c r="L1314" s="6" t="s">
        <v>67</v>
      </c>
      <c r="M1314" s="6" t="s">
        <v>32</v>
      </c>
      <c r="N1314" s="6" t="s">
        <v>33</v>
      </c>
    </row>
    <row r="1315" spans="1:14" x14ac:dyDescent="0.25">
      <c r="A1315" s="6" t="s">
        <v>1952</v>
      </c>
      <c r="B1315" s="4">
        <v>45761</v>
      </c>
      <c r="C1315" s="6" t="s">
        <v>2801</v>
      </c>
      <c r="D1315" s="7">
        <v>0.64166666666666672</v>
      </c>
      <c r="E1315" s="6" t="s">
        <v>16</v>
      </c>
      <c r="F1315" s="6" t="s">
        <v>39</v>
      </c>
      <c r="G1315" s="4">
        <v>28893</v>
      </c>
      <c r="H1315" s="6" t="s">
        <v>199</v>
      </c>
      <c r="I1315">
        <v>213</v>
      </c>
      <c r="J1315">
        <v>2</v>
      </c>
      <c r="K1315">
        <v>429</v>
      </c>
      <c r="L1315" s="6" t="s">
        <v>54</v>
      </c>
      <c r="M1315" s="6" t="s">
        <v>89</v>
      </c>
      <c r="N1315" s="6" t="s">
        <v>33</v>
      </c>
    </row>
    <row r="1316" spans="1:14" x14ac:dyDescent="0.25">
      <c r="A1316" s="6" t="s">
        <v>1953</v>
      </c>
      <c r="B1316" s="4">
        <v>45705</v>
      </c>
      <c r="C1316" s="6" t="s">
        <v>2799</v>
      </c>
      <c r="D1316" s="7">
        <v>0.52083333333333337</v>
      </c>
      <c r="E1316" s="6" t="s">
        <v>16</v>
      </c>
      <c r="F1316" s="6" t="s">
        <v>1068</v>
      </c>
      <c r="G1316" s="4">
        <v>29910</v>
      </c>
      <c r="H1316" s="6" t="s">
        <v>73</v>
      </c>
      <c r="I1316">
        <v>45</v>
      </c>
      <c r="J1316">
        <v>2</v>
      </c>
      <c r="K1316">
        <v>91</v>
      </c>
      <c r="L1316" s="6" t="s">
        <v>19</v>
      </c>
      <c r="M1316" s="6" t="s">
        <v>26</v>
      </c>
      <c r="N1316" s="6" t="s">
        <v>48</v>
      </c>
    </row>
    <row r="1317" spans="1:14" x14ac:dyDescent="0.25">
      <c r="A1317" s="6" t="s">
        <v>1955</v>
      </c>
      <c r="B1317" s="4">
        <v>45814</v>
      </c>
      <c r="C1317" s="6" t="s">
        <v>2800</v>
      </c>
      <c r="D1317" s="7">
        <v>0.8649189814814815</v>
      </c>
      <c r="E1317" s="6" t="s">
        <v>16</v>
      </c>
      <c r="F1317" s="6" t="s">
        <v>161</v>
      </c>
      <c r="G1317" s="4">
        <v>39728</v>
      </c>
      <c r="H1317" s="6" t="s">
        <v>178</v>
      </c>
      <c r="I1317">
        <v>348</v>
      </c>
      <c r="J1317">
        <v>1</v>
      </c>
      <c r="K1317">
        <v>349</v>
      </c>
      <c r="L1317" s="6" t="s">
        <v>41</v>
      </c>
      <c r="M1317" s="6" t="s">
        <v>20</v>
      </c>
      <c r="N1317" s="6" t="s">
        <v>48</v>
      </c>
    </row>
    <row r="1318" spans="1:14" x14ac:dyDescent="0.25">
      <c r="A1318" s="6" t="s">
        <v>1956</v>
      </c>
      <c r="B1318" s="4">
        <v>45947</v>
      </c>
      <c r="C1318" s="6" t="s">
        <v>2791</v>
      </c>
      <c r="D1318" s="7">
        <v>0.42504629629629631</v>
      </c>
      <c r="E1318" s="6" t="s">
        <v>16</v>
      </c>
      <c r="F1318" s="6" t="s">
        <v>52</v>
      </c>
      <c r="G1318" s="4">
        <v>39458</v>
      </c>
      <c r="H1318" s="6" t="s">
        <v>30</v>
      </c>
      <c r="I1318">
        <v>229</v>
      </c>
      <c r="J1318">
        <v>2</v>
      </c>
      <c r="K1318">
        <v>460</v>
      </c>
      <c r="L1318" s="6" t="s">
        <v>54</v>
      </c>
      <c r="M1318" s="6" t="s">
        <v>37</v>
      </c>
      <c r="N1318" s="6" t="s">
        <v>33</v>
      </c>
    </row>
    <row r="1319" spans="1:14" x14ac:dyDescent="0.25">
      <c r="A1319" s="6" t="s">
        <v>1957</v>
      </c>
      <c r="B1319" s="4">
        <v>45833</v>
      </c>
      <c r="C1319" s="6" t="s">
        <v>2800</v>
      </c>
      <c r="D1319" s="7">
        <v>0.96319444444444446</v>
      </c>
      <c r="E1319" s="6" t="s">
        <v>16</v>
      </c>
      <c r="F1319" s="6" t="s">
        <v>133</v>
      </c>
      <c r="G1319" s="4">
        <v>40145</v>
      </c>
      <c r="H1319" s="6" t="s">
        <v>60</v>
      </c>
      <c r="I1319">
        <v>93</v>
      </c>
      <c r="J1319">
        <v>1</v>
      </c>
      <c r="K1319">
        <v>94</v>
      </c>
      <c r="L1319" s="6" t="s">
        <v>54</v>
      </c>
      <c r="M1319" s="6" t="s">
        <v>20</v>
      </c>
      <c r="N1319" s="6" t="s">
        <v>27</v>
      </c>
    </row>
    <row r="1320" spans="1:14" x14ac:dyDescent="0.25">
      <c r="A1320" s="6" t="s">
        <v>1958</v>
      </c>
      <c r="B1320" s="4">
        <v>45737</v>
      </c>
      <c r="C1320" s="6" t="s">
        <v>2798</v>
      </c>
      <c r="D1320" s="7">
        <v>0.42916666666666664</v>
      </c>
      <c r="E1320" s="6" t="s">
        <v>16</v>
      </c>
      <c r="F1320" s="6" t="s">
        <v>328</v>
      </c>
      <c r="G1320" s="4">
        <v>29003</v>
      </c>
      <c r="H1320" s="6" t="s">
        <v>104</v>
      </c>
      <c r="I1320">
        <v>292</v>
      </c>
      <c r="J1320">
        <v>1</v>
      </c>
      <c r="K1320">
        <v>293</v>
      </c>
      <c r="L1320" s="6" t="s">
        <v>41</v>
      </c>
      <c r="M1320" s="6" t="s">
        <v>26</v>
      </c>
      <c r="N1320" s="6" t="s">
        <v>105</v>
      </c>
    </row>
    <row r="1321" spans="1:14" x14ac:dyDescent="0.25">
      <c r="A1321" s="6" t="s">
        <v>1959</v>
      </c>
      <c r="B1321" s="4">
        <v>45888</v>
      </c>
      <c r="C1321" s="6" t="s">
        <v>2793</v>
      </c>
      <c r="D1321" s="7">
        <v>0.66319444444444442</v>
      </c>
      <c r="E1321" s="6" t="s">
        <v>16</v>
      </c>
      <c r="F1321" s="6" t="s">
        <v>220</v>
      </c>
      <c r="G1321" s="4">
        <v>28844</v>
      </c>
      <c r="H1321" s="6" t="s">
        <v>178</v>
      </c>
      <c r="I1321">
        <v>333</v>
      </c>
      <c r="J1321">
        <v>1</v>
      </c>
      <c r="K1321">
        <v>333</v>
      </c>
      <c r="L1321" s="6" t="s">
        <v>41</v>
      </c>
      <c r="M1321" s="6" t="s">
        <v>26</v>
      </c>
      <c r="N1321" s="6" t="s">
        <v>48</v>
      </c>
    </row>
    <row r="1322" spans="1:14" x14ac:dyDescent="0.25">
      <c r="A1322" s="6" t="s">
        <v>1960</v>
      </c>
      <c r="B1322" s="4">
        <v>45638</v>
      </c>
      <c r="C1322" s="6" t="s">
        <v>2796</v>
      </c>
      <c r="D1322" s="7">
        <v>0.71666666666666667</v>
      </c>
      <c r="E1322" s="6" t="s">
        <v>16</v>
      </c>
      <c r="F1322" s="6" t="s">
        <v>1427</v>
      </c>
      <c r="G1322" s="4">
        <v>28844</v>
      </c>
      <c r="H1322" s="6" t="s">
        <v>93</v>
      </c>
      <c r="I1322">
        <v>155</v>
      </c>
      <c r="J1322">
        <v>1</v>
      </c>
      <c r="K1322">
        <v>155</v>
      </c>
      <c r="L1322" s="6" t="s">
        <v>2787</v>
      </c>
      <c r="M1322" s="6" t="s">
        <v>61</v>
      </c>
      <c r="N1322" s="6" t="s">
        <v>48</v>
      </c>
    </row>
    <row r="1323" spans="1:14" x14ac:dyDescent="0.25">
      <c r="A1323" s="6" t="s">
        <v>1961</v>
      </c>
      <c r="B1323" s="4">
        <v>45879</v>
      </c>
      <c r="C1323" s="6" t="s">
        <v>2793</v>
      </c>
      <c r="D1323" s="7">
        <v>0.81458333333333333</v>
      </c>
      <c r="E1323" s="6" t="s">
        <v>16</v>
      </c>
      <c r="F1323" s="6" t="s">
        <v>169</v>
      </c>
      <c r="G1323" s="4">
        <v>36268</v>
      </c>
      <c r="H1323" s="6" t="s">
        <v>178</v>
      </c>
      <c r="I1323">
        <v>241</v>
      </c>
      <c r="J1323">
        <v>1</v>
      </c>
      <c r="K1323">
        <v>242</v>
      </c>
      <c r="L1323" s="6" t="s">
        <v>2787</v>
      </c>
      <c r="M1323" s="6" t="s">
        <v>61</v>
      </c>
      <c r="N1323" s="6" t="s">
        <v>56</v>
      </c>
    </row>
    <row r="1324" spans="1:14" x14ac:dyDescent="0.25">
      <c r="A1324" s="6" t="s">
        <v>1962</v>
      </c>
      <c r="B1324" s="4">
        <v>45766</v>
      </c>
      <c r="C1324" s="6" t="s">
        <v>2801</v>
      </c>
      <c r="D1324" s="7">
        <v>0.773900462962963</v>
      </c>
      <c r="E1324" s="6" t="s">
        <v>16</v>
      </c>
      <c r="F1324" s="6" t="s">
        <v>206</v>
      </c>
      <c r="G1324" s="4">
        <v>26903</v>
      </c>
      <c r="H1324" s="6" t="s">
        <v>30</v>
      </c>
      <c r="I1324">
        <v>252</v>
      </c>
      <c r="J1324">
        <v>2</v>
      </c>
      <c r="K1324">
        <v>506</v>
      </c>
      <c r="L1324" s="6" t="s">
        <v>19</v>
      </c>
      <c r="M1324" s="6" t="s">
        <v>47</v>
      </c>
      <c r="N1324" s="6" t="s">
        <v>56</v>
      </c>
    </row>
    <row r="1325" spans="1:14" x14ac:dyDescent="0.25">
      <c r="A1325" s="6" t="s">
        <v>1963</v>
      </c>
      <c r="B1325" s="4">
        <v>45869</v>
      </c>
      <c r="C1325" s="6" t="s">
        <v>2795</v>
      </c>
      <c r="D1325" s="7">
        <v>0.99097222222222225</v>
      </c>
      <c r="E1325" s="6" t="s">
        <v>16</v>
      </c>
      <c r="F1325" s="6" t="s">
        <v>88</v>
      </c>
      <c r="G1325" s="4">
        <v>29997</v>
      </c>
      <c r="H1325" s="6" t="s">
        <v>60</v>
      </c>
      <c r="I1325">
        <v>195</v>
      </c>
      <c r="J1325">
        <v>2</v>
      </c>
      <c r="K1325">
        <v>347</v>
      </c>
      <c r="L1325" s="6" t="s">
        <v>41</v>
      </c>
      <c r="M1325" s="6" t="s">
        <v>55</v>
      </c>
      <c r="N1325" s="6" t="s">
        <v>21</v>
      </c>
    </row>
    <row r="1326" spans="1:14" x14ac:dyDescent="0.25">
      <c r="A1326" s="6" t="s">
        <v>1964</v>
      </c>
      <c r="B1326" s="4">
        <v>45933</v>
      </c>
      <c r="C1326" s="6" t="s">
        <v>2791</v>
      </c>
      <c r="D1326" s="7">
        <v>0.63263888888888886</v>
      </c>
      <c r="E1326" s="6" t="s">
        <v>16</v>
      </c>
      <c r="F1326" s="6" t="s">
        <v>35</v>
      </c>
      <c r="G1326" s="4">
        <v>38810</v>
      </c>
      <c r="H1326" s="6" t="s">
        <v>18</v>
      </c>
      <c r="I1326">
        <v>76</v>
      </c>
      <c r="J1326">
        <v>1</v>
      </c>
      <c r="K1326">
        <v>77</v>
      </c>
      <c r="L1326" s="6" t="s">
        <v>2787</v>
      </c>
      <c r="M1326" s="6" t="s">
        <v>32</v>
      </c>
      <c r="N1326" s="6" t="s">
        <v>21</v>
      </c>
    </row>
    <row r="1327" spans="1:14" x14ac:dyDescent="0.25">
      <c r="A1327" s="6" t="s">
        <v>1965</v>
      </c>
      <c r="B1327" s="4">
        <v>45745</v>
      </c>
      <c r="C1327" s="6" t="s">
        <v>2798</v>
      </c>
      <c r="D1327" s="7">
        <v>0.8208333333333333</v>
      </c>
      <c r="E1327" s="6" t="s">
        <v>16</v>
      </c>
      <c r="F1327" s="6" t="s">
        <v>473</v>
      </c>
      <c r="G1327" s="4">
        <v>25595</v>
      </c>
      <c r="H1327" s="6" t="s">
        <v>202</v>
      </c>
      <c r="I1327">
        <v>244</v>
      </c>
      <c r="J1327">
        <v>1</v>
      </c>
      <c r="K1327">
        <v>245</v>
      </c>
      <c r="L1327" s="6" t="s">
        <v>54</v>
      </c>
      <c r="M1327" s="6" t="s">
        <v>37</v>
      </c>
      <c r="N1327" s="6" t="s">
        <v>27</v>
      </c>
    </row>
    <row r="1328" spans="1:14" x14ac:dyDescent="0.25">
      <c r="A1328" s="6" t="s">
        <v>1966</v>
      </c>
      <c r="B1328" s="4">
        <v>45886</v>
      </c>
      <c r="C1328" s="6" t="s">
        <v>2793</v>
      </c>
      <c r="D1328" s="7">
        <v>0.71253472222222225</v>
      </c>
      <c r="E1328" s="6" t="s">
        <v>16</v>
      </c>
      <c r="F1328" s="6" t="s">
        <v>353</v>
      </c>
      <c r="G1328" s="4">
        <v>32422</v>
      </c>
      <c r="H1328" s="6" t="s">
        <v>36</v>
      </c>
      <c r="I1328">
        <v>202</v>
      </c>
      <c r="J1328">
        <v>3</v>
      </c>
      <c r="K1328">
        <v>607</v>
      </c>
      <c r="L1328" s="6" t="s">
        <v>54</v>
      </c>
      <c r="M1328" s="6" t="s">
        <v>32</v>
      </c>
      <c r="N1328" s="6" t="s">
        <v>27</v>
      </c>
    </row>
    <row r="1329" spans="1:14" x14ac:dyDescent="0.25">
      <c r="A1329" s="6" t="s">
        <v>1968</v>
      </c>
      <c r="B1329" s="4">
        <v>45818</v>
      </c>
      <c r="C1329" s="6" t="s">
        <v>2800</v>
      </c>
      <c r="D1329" s="7">
        <v>0.77013888888888893</v>
      </c>
      <c r="E1329" s="6" t="s">
        <v>16</v>
      </c>
      <c r="F1329" s="6" t="s">
        <v>138</v>
      </c>
      <c r="G1329" s="4">
        <v>35051</v>
      </c>
      <c r="H1329" s="6" t="s">
        <v>164</v>
      </c>
      <c r="I1329">
        <v>242</v>
      </c>
      <c r="J1329">
        <v>2</v>
      </c>
      <c r="K1329">
        <v>485</v>
      </c>
      <c r="L1329" s="6" t="s">
        <v>19</v>
      </c>
      <c r="M1329" s="6" t="s">
        <v>47</v>
      </c>
      <c r="N1329" s="6" t="s">
        <v>27</v>
      </c>
    </row>
    <row r="1330" spans="1:14" x14ac:dyDescent="0.25">
      <c r="A1330" s="6" t="s">
        <v>1969</v>
      </c>
      <c r="B1330" s="4">
        <v>45655</v>
      </c>
      <c r="C1330" s="6" t="s">
        <v>2796</v>
      </c>
      <c r="D1330" s="7">
        <v>0.99774305555555554</v>
      </c>
      <c r="E1330" s="6" t="s">
        <v>16</v>
      </c>
      <c r="F1330" s="6" t="s">
        <v>1576</v>
      </c>
      <c r="G1330" s="4">
        <v>35266</v>
      </c>
      <c r="H1330" s="6" t="s">
        <v>116</v>
      </c>
      <c r="I1330">
        <v>222</v>
      </c>
      <c r="J1330">
        <v>1</v>
      </c>
      <c r="K1330">
        <v>222</v>
      </c>
      <c r="L1330" s="6" t="s">
        <v>19</v>
      </c>
      <c r="M1330" s="6" t="s">
        <v>61</v>
      </c>
      <c r="N1330" s="6" t="s">
        <v>105</v>
      </c>
    </row>
    <row r="1331" spans="1:14" x14ac:dyDescent="0.25">
      <c r="A1331" s="6" t="s">
        <v>1970</v>
      </c>
      <c r="B1331" s="4">
        <v>45815</v>
      </c>
      <c r="C1331" s="6" t="s">
        <v>2800</v>
      </c>
      <c r="D1331" s="7">
        <v>0.46250000000000002</v>
      </c>
      <c r="E1331" s="6" t="s">
        <v>16</v>
      </c>
      <c r="F1331" s="6" t="s">
        <v>307</v>
      </c>
      <c r="G1331" s="4">
        <v>33584</v>
      </c>
      <c r="H1331" s="6" t="s">
        <v>18</v>
      </c>
      <c r="I1331">
        <v>110</v>
      </c>
      <c r="J1331">
        <v>1</v>
      </c>
      <c r="K1331">
        <v>42</v>
      </c>
      <c r="L1331" s="6" t="s">
        <v>19</v>
      </c>
      <c r="M1331" s="6" t="s">
        <v>89</v>
      </c>
      <c r="N1331" s="6" t="s">
        <v>27</v>
      </c>
    </row>
    <row r="1332" spans="1:14" x14ac:dyDescent="0.25">
      <c r="A1332" s="6" t="s">
        <v>1971</v>
      </c>
      <c r="B1332" s="4">
        <v>45821</v>
      </c>
      <c r="C1332" s="6" t="s">
        <v>2800</v>
      </c>
      <c r="D1332" s="7">
        <v>0.78621527777777778</v>
      </c>
      <c r="E1332" s="6" t="s">
        <v>16</v>
      </c>
      <c r="F1332" s="6" t="s">
        <v>246</v>
      </c>
      <c r="G1332" s="4">
        <v>32117</v>
      </c>
      <c r="H1332" s="6" t="s">
        <v>110</v>
      </c>
      <c r="I1332">
        <v>133</v>
      </c>
      <c r="J1332">
        <v>3</v>
      </c>
      <c r="K1332">
        <v>402</v>
      </c>
      <c r="L1332" s="6" t="s">
        <v>54</v>
      </c>
      <c r="M1332" s="6" t="s">
        <v>20</v>
      </c>
      <c r="N1332" s="6" t="s">
        <v>48</v>
      </c>
    </row>
    <row r="1333" spans="1:14" x14ac:dyDescent="0.25">
      <c r="A1333" s="6" t="s">
        <v>1973</v>
      </c>
      <c r="B1333" s="4">
        <v>45681</v>
      </c>
      <c r="C1333" s="6" t="s">
        <v>2794</v>
      </c>
      <c r="D1333" s="7">
        <v>0.70731481481481484</v>
      </c>
      <c r="E1333" s="6" t="s">
        <v>16</v>
      </c>
      <c r="F1333" s="6" t="s">
        <v>594</v>
      </c>
      <c r="G1333" s="4">
        <v>39603</v>
      </c>
      <c r="H1333" s="6" t="s">
        <v>53</v>
      </c>
      <c r="I1333">
        <v>95</v>
      </c>
      <c r="J1333">
        <v>1</v>
      </c>
      <c r="K1333">
        <v>95</v>
      </c>
      <c r="L1333" s="6" t="s">
        <v>2787</v>
      </c>
      <c r="M1333" s="6" t="s">
        <v>32</v>
      </c>
      <c r="N1333" s="6" t="s">
        <v>105</v>
      </c>
    </row>
    <row r="1334" spans="1:14" x14ac:dyDescent="0.25">
      <c r="A1334" s="6" t="s">
        <v>1974</v>
      </c>
      <c r="B1334" s="4">
        <v>45837</v>
      </c>
      <c r="C1334" s="6" t="s">
        <v>2800</v>
      </c>
      <c r="D1334" s="7">
        <v>0.86944444444444446</v>
      </c>
      <c r="E1334" s="6" t="s">
        <v>16</v>
      </c>
      <c r="F1334" s="6" t="s">
        <v>52</v>
      </c>
      <c r="G1334" s="4">
        <v>27871</v>
      </c>
      <c r="H1334" s="6" t="s">
        <v>85</v>
      </c>
      <c r="I1334">
        <v>144</v>
      </c>
      <c r="J1334">
        <v>2</v>
      </c>
      <c r="K1334">
        <v>290</v>
      </c>
      <c r="L1334" s="6" t="s">
        <v>19</v>
      </c>
      <c r="M1334" s="6" t="s">
        <v>47</v>
      </c>
      <c r="N1334" s="6" t="s">
        <v>105</v>
      </c>
    </row>
    <row r="1335" spans="1:14" x14ac:dyDescent="0.25">
      <c r="A1335" s="6" t="s">
        <v>1975</v>
      </c>
      <c r="B1335" s="4">
        <v>45757</v>
      </c>
      <c r="C1335" s="6" t="s">
        <v>2801</v>
      </c>
      <c r="D1335" s="7">
        <v>0.87083333333333335</v>
      </c>
      <c r="E1335" s="6" t="s">
        <v>16</v>
      </c>
      <c r="F1335" s="6" t="s">
        <v>166</v>
      </c>
      <c r="G1335" s="4">
        <v>31190</v>
      </c>
      <c r="H1335" s="6" t="s">
        <v>18</v>
      </c>
      <c r="I1335">
        <v>89</v>
      </c>
      <c r="J1335">
        <v>2</v>
      </c>
      <c r="K1335">
        <v>179</v>
      </c>
      <c r="L1335" s="6" t="s">
        <v>19</v>
      </c>
      <c r="M1335" s="6" t="s">
        <v>32</v>
      </c>
      <c r="N1335" s="6" t="s">
        <v>105</v>
      </c>
    </row>
    <row r="1336" spans="1:14" x14ac:dyDescent="0.25">
      <c r="A1336" s="6" t="s">
        <v>1976</v>
      </c>
      <c r="B1336" s="4">
        <v>45747</v>
      </c>
      <c r="C1336" s="6" t="s">
        <v>2798</v>
      </c>
      <c r="D1336" s="7">
        <v>0.70902777777777781</v>
      </c>
      <c r="E1336" s="6" t="s">
        <v>16</v>
      </c>
      <c r="F1336" s="6" t="s">
        <v>17</v>
      </c>
      <c r="G1336" s="4">
        <v>31190</v>
      </c>
      <c r="H1336" s="6" t="s">
        <v>77</v>
      </c>
      <c r="I1336">
        <v>246</v>
      </c>
      <c r="J1336">
        <v>2</v>
      </c>
      <c r="K1336">
        <v>486</v>
      </c>
      <c r="L1336" s="6" t="s">
        <v>41</v>
      </c>
      <c r="M1336" s="6" t="s">
        <v>26</v>
      </c>
      <c r="N1336" s="6" t="s">
        <v>105</v>
      </c>
    </row>
    <row r="1337" spans="1:14" x14ac:dyDescent="0.25">
      <c r="A1337" s="6" t="s">
        <v>1978</v>
      </c>
      <c r="B1337" s="4">
        <v>45753</v>
      </c>
      <c r="C1337" s="6" t="s">
        <v>2801</v>
      </c>
      <c r="D1337" s="7">
        <v>0.68402777777777779</v>
      </c>
      <c r="E1337" s="6" t="s">
        <v>16</v>
      </c>
      <c r="F1337" s="6" t="s">
        <v>95</v>
      </c>
      <c r="G1337" s="4">
        <v>40247</v>
      </c>
      <c r="H1337" s="6" t="s">
        <v>24</v>
      </c>
      <c r="I1337">
        <v>274</v>
      </c>
      <c r="J1337">
        <v>3</v>
      </c>
      <c r="K1337">
        <v>823</v>
      </c>
      <c r="L1337" s="6" t="s">
        <v>54</v>
      </c>
      <c r="M1337" s="6" t="s">
        <v>55</v>
      </c>
      <c r="N1337" s="6" t="s">
        <v>74</v>
      </c>
    </row>
    <row r="1338" spans="1:14" x14ac:dyDescent="0.25">
      <c r="A1338" s="6" t="s">
        <v>1979</v>
      </c>
      <c r="B1338" s="4">
        <v>45874</v>
      </c>
      <c r="C1338" s="6" t="s">
        <v>2793</v>
      </c>
      <c r="D1338" s="7">
        <v>0.92152777777777772</v>
      </c>
      <c r="E1338" s="6" t="s">
        <v>16</v>
      </c>
      <c r="F1338" s="6" t="s">
        <v>123</v>
      </c>
      <c r="G1338" s="4">
        <v>28738</v>
      </c>
      <c r="H1338" s="6" t="s">
        <v>129</v>
      </c>
      <c r="I1338">
        <v>175</v>
      </c>
      <c r="J1338">
        <v>2</v>
      </c>
      <c r="K1338">
        <v>350</v>
      </c>
      <c r="L1338" s="6" t="s">
        <v>54</v>
      </c>
      <c r="M1338" s="6" t="s">
        <v>26</v>
      </c>
      <c r="N1338" s="6" t="s">
        <v>48</v>
      </c>
    </row>
    <row r="1339" spans="1:14" x14ac:dyDescent="0.25">
      <c r="A1339" s="6" t="s">
        <v>1980</v>
      </c>
      <c r="B1339" s="4">
        <v>45664</v>
      </c>
      <c r="C1339" s="6" t="s">
        <v>2794</v>
      </c>
      <c r="D1339" s="7">
        <v>0.73732638888888891</v>
      </c>
      <c r="E1339" s="6" t="s">
        <v>16</v>
      </c>
      <c r="F1339" s="6" t="s">
        <v>39</v>
      </c>
      <c r="G1339" s="4">
        <v>31032</v>
      </c>
      <c r="H1339" s="6" t="s">
        <v>259</v>
      </c>
      <c r="I1339">
        <v>235</v>
      </c>
      <c r="J1339">
        <v>3</v>
      </c>
      <c r="K1339">
        <v>707</v>
      </c>
      <c r="L1339" s="6" t="s">
        <v>2787</v>
      </c>
      <c r="M1339" s="6" t="s">
        <v>37</v>
      </c>
      <c r="N1339" s="6" t="s">
        <v>56</v>
      </c>
    </row>
    <row r="1340" spans="1:14" x14ac:dyDescent="0.25">
      <c r="A1340" s="6" t="s">
        <v>1981</v>
      </c>
      <c r="B1340" s="4">
        <v>45642</v>
      </c>
      <c r="C1340" s="6" t="s">
        <v>2796</v>
      </c>
      <c r="D1340" s="7">
        <v>0.79770833333333335</v>
      </c>
      <c r="E1340" s="6" t="s">
        <v>16</v>
      </c>
      <c r="F1340" s="6" t="s">
        <v>855</v>
      </c>
      <c r="G1340" s="4">
        <v>33966</v>
      </c>
      <c r="H1340" s="6" t="s">
        <v>53</v>
      </c>
      <c r="I1340">
        <v>94</v>
      </c>
      <c r="J1340">
        <v>1</v>
      </c>
      <c r="K1340">
        <v>94</v>
      </c>
      <c r="L1340" s="6" t="s">
        <v>19</v>
      </c>
      <c r="M1340" s="6" t="s">
        <v>37</v>
      </c>
      <c r="N1340" s="6" t="s">
        <v>27</v>
      </c>
    </row>
    <row r="1341" spans="1:14" x14ac:dyDescent="0.25">
      <c r="A1341" s="6" t="s">
        <v>1982</v>
      </c>
      <c r="B1341" s="4">
        <v>45660</v>
      </c>
      <c r="C1341" s="6" t="s">
        <v>2794</v>
      </c>
      <c r="D1341" s="7">
        <v>0.48749999999999999</v>
      </c>
      <c r="E1341" s="6" t="s">
        <v>16</v>
      </c>
      <c r="F1341" s="6" t="s">
        <v>52</v>
      </c>
      <c r="G1341" s="4">
        <v>26156</v>
      </c>
      <c r="H1341" s="6" t="s">
        <v>53</v>
      </c>
      <c r="I1341">
        <v>124</v>
      </c>
      <c r="J1341">
        <v>1</v>
      </c>
      <c r="K1341">
        <v>125</v>
      </c>
      <c r="L1341" s="6" t="s">
        <v>41</v>
      </c>
      <c r="M1341" s="6" t="s">
        <v>47</v>
      </c>
      <c r="N1341" s="6" t="s">
        <v>27</v>
      </c>
    </row>
    <row r="1342" spans="1:14" x14ac:dyDescent="0.25">
      <c r="A1342" s="6" t="s">
        <v>1983</v>
      </c>
      <c r="B1342" s="4">
        <v>45634</v>
      </c>
      <c r="C1342" s="6" t="s">
        <v>2796</v>
      </c>
      <c r="D1342" s="7">
        <v>0.78333333333333333</v>
      </c>
      <c r="E1342" s="6" t="s">
        <v>16</v>
      </c>
      <c r="F1342" s="6" t="s">
        <v>88</v>
      </c>
      <c r="G1342" s="4">
        <v>26156</v>
      </c>
      <c r="H1342" s="6" t="s">
        <v>145</v>
      </c>
      <c r="I1342">
        <v>295</v>
      </c>
      <c r="J1342">
        <v>2</v>
      </c>
      <c r="K1342">
        <v>590</v>
      </c>
      <c r="L1342" s="6" t="s">
        <v>41</v>
      </c>
      <c r="M1342" s="6" t="s">
        <v>37</v>
      </c>
      <c r="N1342" s="6" t="s">
        <v>74</v>
      </c>
    </row>
    <row r="1343" spans="1:14" x14ac:dyDescent="0.25">
      <c r="A1343" s="6" t="s">
        <v>1984</v>
      </c>
      <c r="B1343" s="4">
        <v>45949</v>
      </c>
      <c r="C1343" s="6" t="s">
        <v>2791</v>
      </c>
      <c r="D1343" s="7">
        <v>0.82708333333333328</v>
      </c>
      <c r="E1343" s="6" t="s">
        <v>16</v>
      </c>
      <c r="F1343" s="6" t="s">
        <v>208</v>
      </c>
      <c r="G1343" s="4">
        <v>27268</v>
      </c>
      <c r="H1343" s="6" t="s">
        <v>45</v>
      </c>
      <c r="I1343">
        <v>179</v>
      </c>
      <c r="J1343">
        <v>1</v>
      </c>
      <c r="K1343">
        <v>180</v>
      </c>
      <c r="L1343" s="6" t="s">
        <v>2787</v>
      </c>
      <c r="M1343" s="6" t="s">
        <v>89</v>
      </c>
      <c r="N1343" s="6" t="s">
        <v>74</v>
      </c>
    </row>
    <row r="1344" spans="1:14" x14ac:dyDescent="0.25">
      <c r="A1344" s="6" t="s">
        <v>1985</v>
      </c>
      <c r="B1344" s="4">
        <v>45703</v>
      </c>
      <c r="C1344" s="6" t="s">
        <v>2799</v>
      </c>
      <c r="D1344" s="7">
        <v>0.63820601851851855</v>
      </c>
      <c r="E1344" s="6" t="s">
        <v>16</v>
      </c>
      <c r="F1344" s="6" t="s">
        <v>1986</v>
      </c>
      <c r="G1344" s="4">
        <v>33776</v>
      </c>
      <c r="H1344" s="6" t="s">
        <v>36</v>
      </c>
      <c r="I1344">
        <v>270</v>
      </c>
      <c r="J1344">
        <v>1</v>
      </c>
      <c r="K1344">
        <v>271</v>
      </c>
      <c r="L1344" s="6" t="s">
        <v>41</v>
      </c>
      <c r="M1344" s="6" t="s">
        <v>89</v>
      </c>
      <c r="N1344" s="6" t="s">
        <v>74</v>
      </c>
    </row>
    <row r="1345" spans="1:14" x14ac:dyDescent="0.25">
      <c r="A1345" s="6" t="s">
        <v>1988</v>
      </c>
      <c r="B1345" s="4">
        <v>45863</v>
      </c>
      <c r="C1345" s="6" t="s">
        <v>2795</v>
      </c>
      <c r="D1345" s="7">
        <v>0.64722222222222225</v>
      </c>
      <c r="E1345" s="6" t="s">
        <v>16</v>
      </c>
      <c r="F1345" s="6" t="s">
        <v>92</v>
      </c>
      <c r="G1345" s="4">
        <v>35554</v>
      </c>
      <c r="H1345" s="6" t="s">
        <v>243</v>
      </c>
      <c r="I1345">
        <v>154</v>
      </c>
      <c r="J1345">
        <v>1</v>
      </c>
      <c r="K1345">
        <v>154</v>
      </c>
      <c r="L1345" s="6" t="s">
        <v>19</v>
      </c>
      <c r="M1345" s="6" t="s">
        <v>26</v>
      </c>
      <c r="N1345" s="6" t="s">
        <v>74</v>
      </c>
    </row>
    <row r="1346" spans="1:14" x14ac:dyDescent="0.25">
      <c r="A1346" s="6" t="s">
        <v>1989</v>
      </c>
      <c r="B1346" s="4">
        <v>45973</v>
      </c>
      <c r="C1346" s="6" t="s">
        <v>2802</v>
      </c>
      <c r="D1346" s="7">
        <v>0.80625000000000002</v>
      </c>
      <c r="E1346" s="6" t="s">
        <v>16</v>
      </c>
      <c r="F1346" s="6" t="s">
        <v>855</v>
      </c>
      <c r="G1346" s="4">
        <v>28224</v>
      </c>
      <c r="H1346" s="6" t="s">
        <v>199</v>
      </c>
      <c r="I1346">
        <v>231</v>
      </c>
      <c r="J1346">
        <v>1</v>
      </c>
      <c r="K1346">
        <v>232</v>
      </c>
      <c r="L1346" s="6" t="s">
        <v>2787</v>
      </c>
      <c r="M1346" s="6" t="s">
        <v>32</v>
      </c>
      <c r="N1346" s="6" t="s">
        <v>74</v>
      </c>
    </row>
    <row r="1347" spans="1:14" x14ac:dyDescent="0.25">
      <c r="A1347" s="6" t="s">
        <v>1990</v>
      </c>
      <c r="B1347" s="4">
        <v>45683</v>
      </c>
      <c r="C1347" s="6" t="s">
        <v>2794</v>
      </c>
      <c r="D1347" s="7">
        <v>0.92083333333333328</v>
      </c>
      <c r="E1347" s="6" t="s">
        <v>16</v>
      </c>
      <c r="F1347" s="6" t="s">
        <v>166</v>
      </c>
      <c r="G1347" s="4">
        <v>32707</v>
      </c>
      <c r="H1347" s="6" t="s">
        <v>24</v>
      </c>
      <c r="I1347">
        <v>269</v>
      </c>
      <c r="J1347">
        <v>2</v>
      </c>
      <c r="K1347">
        <v>539</v>
      </c>
      <c r="L1347" s="6" t="s">
        <v>19</v>
      </c>
      <c r="M1347" s="6" t="s">
        <v>37</v>
      </c>
      <c r="N1347" s="6" t="s">
        <v>105</v>
      </c>
    </row>
    <row r="1348" spans="1:14" x14ac:dyDescent="0.25">
      <c r="A1348" s="6" t="s">
        <v>1991</v>
      </c>
      <c r="B1348" s="4">
        <v>45847</v>
      </c>
      <c r="C1348" s="6" t="s">
        <v>2795</v>
      </c>
      <c r="D1348" s="7">
        <v>0.80694444444444446</v>
      </c>
      <c r="E1348" s="6" t="s">
        <v>16</v>
      </c>
      <c r="F1348" s="6" t="s">
        <v>1992</v>
      </c>
      <c r="G1348" s="4">
        <v>32891</v>
      </c>
      <c r="H1348" s="6" t="s">
        <v>45</v>
      </c>
      <c r="I1348">
        <v>52</v>
      </c>
      <c r="J1348">
        <v>3</v>
      </c>
      <c r="K1348">
        <v>156</v>
      </c>
      <c r="L1348" s="6" t="s">
        <v>19</v>
      </c>
      <c r="M1348" s="6" t="s">
        <v>89</v>
      </c>
      <c r="N1348" s="6" t="s">
        <v>48</v>
      </c>
    </row>
    <row r="1349" spans="1:14" x14ac:dyDescent="0.25">
      <c r="A1349" s="6" t="s">
        <v>1993</v>
      </c>
      <c r="B1349" s="4">
        <v>45711</v>
      </c>
      <c r="C1349" s="6" t="s">
        <v>2799</v>
      </c>
      <c r="D1349" s="7">
        <v>0.5854166666666667</v>
      </c>
      <c r="E1349" s="6" t="s">
        <v>16</v>
      </c>
      <c r="F1349" s="6" t="s">
        <v>147</v>
      </c>
      <c r="G1349" s="4">
        <v>33070</v>
      </c>
      <c r="H1349" s="6" t="s">
        <v>259</v>
      </c>
      <c r="I1349">
        <v>281</v>
      </c>
      <c r="J1349">
        <v>1</v>
      </c>
      <c r="K1349">
        <v>281</v>
      </c>
      <c r="L1349" s="6" t="s">
        <v>19</v>
      </c>
      <c r="M1349" s="6" t="s">
        <v>89</v>
      </c>
      <c r="N1349" s="6" t="s">
        <v>105</v>
      </c>
    </row>
    <row r="1350" spans="1:14" x14ac:dyDescent="0.25">
      <c r="A1350" s="6" t="s">
        <v>1994</v>
      </c>
      <c r="B1350" s="4">
        <v>45795</v>
      </c>
      <c r="C1350" s="6" t="s">
        <v>2792</v>
      </c>
      <c r="D1350" s="7">
        <v>0.69444444444444442</v>
      </c>
      <c r="E1350" s="6" t="s">
        <v>16</v>
      </c>
      <c r="F1350" s="6" t="s">
        <v>659</v>
      </c>
      <c r="G1350" s="4">
        <v>33070</v>
      </c>
      <c r="H1350" s="6" t="s">
        <v>141</v>
      </c>
      <c r="I1350">
        <v>110</v>
      </c>
      <c r="J1350">
        <v>1</v>
      </c>
      <c r="K1350">
        <v>110</v>
      </c>
      <c r="L1350" s="6" t="s">
        <v>19</v>
      </c>
      <c r="M1350" s="6" t="s">
        <v>32</v>
      </c>
      <c r="N1350" s="6" t="s">
        <v>27</v>
      </c>
    </row>
    <row r="1351" spans="1:14" x14ac:dyDescent="0.25">
      <c r="A1351" s="6" t="s">
        <v>1995</v>
      </c>
      <c r="B1351" s="4">
        <v>45801</v>
      </c>
      <c r="C1351" s="6" t="s">
        <v>2792</v>
      </c>
      <c r="D1351" s="7">
        <v>0.77569444444444446</v>
      </c>
      <c r="E1351" s="6" t="s">
        <v>16</v>
      </c>
      <c r="F1351" s="6" t="s">
        <v>125</v>
      </c>
      <c r="G1351" s="4">
        <v>35433</v>
      </c>
      <c r="H1351" s="6" t="s">
        <v>164</v>
      </c>
      <c r="I1351">
        <v>362</v>
      </c>
      <c r="J1351">
        <v>2</v>
      </c>
      <c r="K1351">
        <v>761</v>
      </c>
      <c r="L1351" s="6" t="s">
        <v>19</v>
      </c>
      <c r="M1351" s="6" t="s">
        <v>55</v>
      </c>
      <c r="N1351" s="6" t="s">
        <v>48</v>
      </c>
    </row>
    <row r="1352" spans="1:14" x14ac:dyDescent="0.25">
      <c r="A1352" s="6" t="s">
        <v>1996</v>
      </c>
      <c r="B1352" s="4">
        <v>45740</v>
      </c>
      <c r="C1352" s="6" t="s">
        <v>2798</v>
      </c>
      <c r="D1352" s="7">
        <v>0.74652777777777779</v>
      </c>
      <c r="E1352" s="6" t="s">
        <v>16</v>
      </c>
      <c r="F1352" s="6" t="s">
        <v>562</v>
      </c>
      <c r="G1352" s="4">
        <v>32015</v>
      </c>
      <c r="H1352" s="6" t="s">
        <v>85</v>
      </c>
      <c r="I1352">
        <v>52</v>
      </c>
      <c r="J1352">
        <v>3</v>
      </c>
      <c r="K1352">
        <v>157</v>
      </c>
      <c r="L1352" s="6" t="s">
        <v>41</v>
      </c>
      <c r="M1352" s="6" t="s">
        <v>32</v>
      </c>
      <c r="N1352" s="6" t="s">
        <v>48</v>
      </c>
    </row>
    <row r="1353" spans="1:14" x14ac:dyDescent="0.25">
      <c r="A1353" s="6" t="s">
        <v>1997</v>
      </c>
      <c r="B1353" s="4">
        <v>45809</v>
      </c>
      <c r="C1353" s="6" t="s">
        <v>2800</v>
      </c>
      <c r="D1353" s="7">
        <v>0.59513888888888888</v>
      </c>
      <c r="E1353" s="6" t="s">
        <v>16</v>
      </c>
      <c r="F1353" s="6" t="s">
        <v>232</v>
      </c>
      <c r="G1353" s="4">
        <v>37554</v>
      </c>
      <c r="H1353" s="6" t="s">
        <v>178</v>
      </c>
      <c r="I1353">
        <v>288</v>
      </c>
      <c r="J1353">
        <v>2</v>
      </c>
      <c r="K1353">
        <v>577</v>
      </c>
      <c r="L1353" s="6" t="s">
        <v>2787</v>
      </c>
      <c r="M1353" s="6" t="s">
        <v>61</v>
      </c>
      <c r="N1353" s="6" t="s">
        <v>27</v>
      </c>
    </row>
    <row r="1354" spans="1:14" x14ac:dyDescent="0.25">
      <c r="A1354" s="6" t="s">
        <v>1998</v>
      </c>
      <c r="B1354" s="4">
        <v>45913</v>
      </c>
      <c r="C1354" s="6" t="s">
        <v>2797</v>
      </c>
      <c r="D1354" s="7">
        <v>0.79565972222222225</v>
      </c>
      <c r="E1354" s="6" t="s">
        <v>16</v>
      </c>
      <c r="F1354" s="6" t="s">
        <v>158</v>
      </c>
      <c r="G1354" s="4">
        <v>32509</v>
      </c>
      <c r="H1354" s="6" t="s">
        <v>53</v>
      </c>
      <c r="I1354">
        <v>91</v>
      </c>
      <c r="J1354">
        <v>2</v>
      </c>
      <c r="K1354">
        <v>183</v>
      </c>
      <c r="L1354" s="6" t="s">
        <v>2787</v>
      </c>
      <c r="M1354" s="6" t="s">
        <v>47</v>
      </c>
      <c r="N1354" s="6" t="s">
        <v>27</v>
      </c>
    </row>
    <row r="1355" spans="1:14" x14ac:dyDescent="0.25">
      <c r="A1355" s="6" t="s">
        <v>1999</v>
      </c>
      <c r="B1355" s="4">
        <v>45820</v>
      </c>
      <c r="C1355" s="6" t="s">
        <v>2800</v>
      </c>
      <c r="D1355" s="7">
        <v>0.70208333333333328</v>
      </c>
      <c r="E1355" s="6" t="s">
        <v>16</v>
      </c>
      <c r="F1355" s="6" t="s">
        <v>307</v>
      </c>
      <c r="G1355" s="4">
        <v>31195</v>
      </c>
      <c r="H1355" s="6" t="s">
        <v>73</v>
      </c>
      <c r="I1355">
        <v>38</v>
      </c>
      <c r="J1355">
        <v>2</v>
      </c>
      <c r="K1355">
        <v>77</v>
      </c>
      <c r="L1355" s="6" t="s">
        <v>19</v>
      </c>
      <c r="M1355" s="6" t="s">
        <v>26</v>
      </c>
      <c r="N1355" s="6" t="s">
        <v>33</v>
      </c>
    </row>
    <row r="1356" spans="1:14" x14ac:dyDescent="0.25">
      <c r="A1356" s="6" t="s">
        <v>2000</v>
      </c>
      <c r="B1356" s="4">
        <v>45803</v>
      </c>
      <c r="C1356" s="6" t="s">
        <v>2792</v>
      </c>
      <c r="D1356" s="7">
        <v>0.51458333333333328</v>
      </c>
      <c r="E1356" s="6" t="s">
        <v>16</v>
      </c>
      <c r="F1356" s="6" t="s">
        <v>79</v>
      </c>
      <c r="G1356" s="4">
        <v>31195</v>
      </c>
      <c r="H1356" s="6" t="s">
        <v>213</v>
      </c>
      <c r="I1356">
        <v>277</v>
      </c>
      <c r="J1356">
        <v>1</v>
      </c>
      <c r="K1356">
        <v>278</v>
      </c>
      <c r="L1356" s="6" t="s">
        <v>41</v>
      </c>
      <c r="M1356" s="6" t="s">
        <v>61</v>
      </c>
      <c r="N1356" s="6" t="s">
        <v>105</v>
      </c>
    </row>
    <row r="1357" spans="1:14" x14ac:dyDescent="0.25">
      <c r="A1357" s="6" t="s">
        <v>2001</v>
      </c>
      <c r="B1357" s="4">
        <v>45955</v>
      </c>
      <c r="C1357" s="6" t="s">
        <v>2791</v>
      </c>
      <c r="D1357" s="7">
        <v>0.93645833333333328</v>
      </c>
      <c r="E1357" s="6" t="s">
        <v>16</v>
      </c>
      <c r="F1357" s="6" t="s">
        <v>2002</v>
      </c>
      <c r="G1357" s="4">
        <v>36165</v>
      </c>
      <c r="H1357" s="6" t="s">
        <v>40</v>
      </c>
      <c r="I1357">
        <v>234</v>
      </c>
      <c r="J1357">
        <v>2</v>
      </c>
      <c r="K1357">
        <v>470</v>
      </c>
      <c r="L1357" s="6" t="s">
        <v>19</v>
      </c>
      <c r="M1357" s="6" t="s">
        <v>20</v>
      </c>
      <c r="N1357" s="6" t="s">
        <v>33</v>
      </c>
    </row>
    <row r="1358" spans="1:14" x14ac:dyDescent="0.25">
      <c r="A1358" s="6" t="s">
        <v>2003</v>
      </c>
      <c r="B1358" s="4">
        <v>45868</v>
      </c>
      <c r="C1358" s="6" t="s">
        <v>2795</v>
      </c>
      <c r="D1358" s="7">
        <v>0.8995023148148148</v>
      </c>
      <c r="E1358" s="6" t="s">
        <v>16</v>
      </c>
      <c r="F1358" s="6" t="s">
        <v>652</v>
      </c>
      <c r="G1358" s="4">
        <v>34652</v>
      </c>
      <c r="H1358" s="6" t="s">
        <v>126</v>
      </c>
      <c r="I1358">
        <v>166</v>
      </c>
      <c r="J1358">
        <v>1</v>
      </c>
      <c r="K1358">
        <v>167</v>
      </c>
      <c r="L1358" s="6" t="s">
        <v>41</v>
      </c>
      <c r="M1358" s="6" t="s">
        <v>61</v>
      </c>
      <c r="N1358" s="6" t="s">
        <v>33</v>
      </c>
    </row>
    <row r="1359" spans="1:14" x14ac:dyDescent="0.25">
      <c r="A1359" s="6" t="s">
        <v>2005</v>
      </c>
      <c r="B1359" s="4">
        <v>45683</v>
      </c>
      <c r="C1359" s="6" t="s">
        <v>2794</v>
      </c>
      <c r="D1359" s="7">
        <v>0.72541666666666671</v>
      </c>
      <c r="E1359" s="6" t="s">
        <v>16</v>
      </c>
      <c r="F1359" s="6" t="s">
        <v>256</v>
      </c>
      <c r="G1359" s="4">
        <v>38634</v>
      </c>
      <c r="H1359" s="6" t="s">
        <v>53</v>
      </c>
      <c r="I1359">
        <v>82</v>
      </c>
      <c r="J1359">
        <v>2</v>
      </c>
      <c r="K1359">
        <v>164</v>
      </c>
      <c r="L1359" s="6" t="s">
        <v>41</v>
      </c>
      <c r="M1359" s="6" t="s">
        <v>89</v>
      </c>
      <c r="N1359" s="6" t="s">
        <v>33</v>
      </c>
    </row>
    <row r="1360" spans="1:14" x14ac:dyDescent="0.25">
      <c r="A1360" s="6" t="s">
        <v>2006</v>
      </c>
      <c r="B1360" s="4">
        <v>45971</v>
      </c>
      <c r="C1360" s="6" t="s">
        <v>2802</v>
      </c>
      <c r="D1360" s="7">
        <v>0.73533564814814811</v>
      </c>
      <c r="E1360" s="6" t="s">
        <v>16</v>
      </c>
      <c r="F1360" s="6" t="s">
        <v>622</v>
      </c>
      <c r="G1360" s="4">
        <v>36481</v>
      </c>
      <c r="H1360" s="6" t="s">
        <v>60</v>
      </c>
      <c r="I1360">
        <v>229</v>
      </c>
      <c r="J1360">
        <v>2</v>
      </c>
      <c r="K1360">
        <v>460</v>
      </c>
      <c r="L1360" s="6" t="s">
        <v>19</v>
      </c>
      <c r="M1360" s="6" t="s">
        <v>20</v>
      </c>
      <c r="N1360" s="6" t="s">
        <v>21</v>
      </c>
    </row>
    <row r="1361" spans="1:14" x14ac:dyDescent="0.25">
      <c r="A1361" s="6" t="s">
        <v>2007</v>
      </c>
      <c r="B1361" s="4">
        <v>45795</v>
      </c>
      <c r="C1361" s="6" t="s">
        <v>2792</v>
      </c>
      <c r="D1361" s="7">
        <v>0.75208333333333333</v>
      </c>
      <c r="E1361" s="6" t="s">
        <v>16</v>
      </c>
      <c r="F1361" s="6" t="s">
        <v>377</v>
      </c>
      <c r="G1361" s="4">
        <v>26315</v>
      </c>
      <c r="H1361" s="6" t="s">
        <v>93</v>
      </c>
      <c r="I1361">
        <v>170</v>
      </c>
      <c r="J1361">
        <v>2</v>
      </c>
      <c r="K1361">
        <v>341</v>
      </c>
      <c r="L1361" s="6" t="s">
        <v>54</v>
      </c>
      <c r="M1361" s="6" t="s">
        <v>26</v>
      </c>
      <c r="N1361" s="6" t="s">
        <v>74</v>
      </c>
    </row>
    <row r="1362" spans="1:14" x14ac:dyDescent="0.25">
      <c r="A1362" s="6" t="s">
        <v>2008</v>
      </c>
      <c r="B1362" s="4">
        <v>45961</v>
      </c>
      <c r="C1362" s="6" t="s">
        <v>2791</v>
      </c>
      <c r="D1362" s="7">
        <v>0.81874999999999998</v>
      </c>
      <c r="E1362" s="6" t="s">
        <v>16</v>
      </c>
      <c r="F1362" s="6" t="s">
        <v>128</v>
      </c>
      <c r="G1362" s="4">
        <v>31420</v>
      </c>
      <c r="H1362" s="6" t="s">
        <v>110</v>
      </c>
      <c r="I1362">
        <v>111</v>
      </c>
      <c r="J1362">
        <v>1</v>
      </c>
      <c r="K1362">
        <v>112</v>
      </c>
      <c r="L1362" s="6" t="s">
        <v>54</v>
      </c>
      <c r="M1362" s="6" t="s">
        <v>32</v>
      </c>
      <c r="N1362" s="6" t="s">
        <v>74</v>
      </c>
    </row>
    <row r="1363" spans="1:14" x14ac:dyDescent="0.25">
      <c r="A1363" s="6" t="s">
        <v>2009</v>
      </c>
      <c r="B1363" s="4">
        <v>45838</v>
      </c>
      <c r="C1363" s="6" t="s">
        <v>2800</v>
      </c>
      <c r="D1363" s="7">
        <v>0.50944444444444448</v>
      </c>
      <c r="E1363" s="6" t="s">
        <v>16</v>
      </c>
      <c r="F1363" s="6" t="s">
        <v>133</v>
      </c>
      <c r="G1363" s="4">
        <v>33932</v>
      </c>
      <c r="H1363" s="6" t="s">
        <v>18</v>
      </c>
      <c r="I1363">
        <v>90</v>
      </c>
      <c r="J1363">
        <v>1</v>
      </c>
      <c r="K1363">
        <v>91</v>
      </c>
      <c r="L1363" s="6" t="s">
        <v>41</v>
      </c>
      <c r="M1363" s="6" t="s">
        <v>26</v>
      </c>
      <c r="N1363" s="6" t="s">
        <v>74</v>
      </c>
    </row>
    <row r="1364" spans="1:14" x14ac:dyDescent="0.25">
      <c r="A1364" s="6" t="s">
        <v>2010</v>
      </c>
      <c r="B1364" s="4">
        <v>45911</v>
      </c>
      <c r="C1364" s="6" t="s">
        <v>2797</v>
      </c>
      <c r="D1364" s="7">
        <v>0.67361111111111116</v>
      </c>
      <c r="E1364" s="6" t="s">
        <v>16</v>
      </c>
      <c r="F1364" s="6" t="s">
        <v>652</v>
      </c>
      <c r="G1364" s="4">
        <v>40091</v>
      </c>
      <c r="H1364" s="6" t="s">
        <v>126</v>
      </c>
      <c r="I1364">
        <v>77</v>
      </c>
      <c r="J1364">
        <v>3</v>
      </c>
      <c r="K1364">
        <v>233</v>
      </c>
      <c r="L1364" s="6" t="s">
        <v>19</v>
      </c>
      <c r="M1364" s="6" t="s">
        <v>37</v>
      </c>
      <c r="N1364" s="6" t="s">
        <v>74</v>
      </c>
    </row>
    <row r="1365" spans="1:14" x14ac:dyDescent="0.25">
      <c r="A1365" s="6" t="s">
        <v>2011</v>
      </c>
      <c r="B1365" s="4">
        <v>45840</v>
      </c>
      <c r="C1365" s="6" t="s">
        <v>2795</v>
      </c>
      <c r="D1365" s="7">
        <v>0.71944444444444444</v>
      </c>
      <c r="E1365" s="6" t="s">
        <v>16</v>
      </c>
      <c r="F1365" s="6" t="s">
        <v>107</v>
      </c>
      <c r="G1365" s="4">
        <v>35999</v>
      </c>
      <c r="H1365" s="6" t="s">
        <v>129</v>
      </c>
      <c r="I1365">
        <v>158</v>
      </c>
      <c r="J1365">
        <v>1</v>
      </c>
      <c r="K1365">
        <v>159</v>
      </c>
      <c r="L1365" s="6" t="s">
        <v>54</v>
      </c>
      <c r="M1365" s="6" t="s">
        <v>61</v>
      </c>
      <c r="N1365" s="6" t="s">
        <v>21</v>
      </c>
    </row>
    <row r="1366" spans="1:14" x14ac:dyDescent="0.25">
      <c r="A1366" s="6" t="s">
        <v>2012</v>
      </c>
      <c r="B1366" s="4">
        <v>45907</v>
      </c>
      <c r="C1366" s="6" t="s">
        <v>2797</v>
      </c>
      <c r="D1366" s="7">
        <v>0.57638888888888884</v>
      </c>
      <c r="E1366" s="6" t="s">
        <v>16</v>
      </c>
      <c r="F1366" s="6" t="s">
        <v>88</v>
      </c>
      <c r="G1366" s="4">
        <v>34198</v>
      </c>
      <c r="H1366" s="6" t="s">
        <v>199</v>
      </c>
      <c r="I1366">
        <v>169</v>
      </c>
      <c r="J1366">
        <v>3</v>
      </c>
      <c r="K1366">
        <v>507</v>
      </c>
      <c r="L1366" s="6" t="s">
        <v>67</v>
      </c>
      <c r="M1366" s="6" t="s">
        <v>26</v>
      </c>
      <c r="N1366" s="6" t="s">
        <v>33</v>
      </c>
    </row>
    <row r="1367" spans="1:14" x14ac:dyDescent="0.25">
      <c r="A1367" s="6" t="s">
        <v>2013</v>
      </c>
      <c r="B1367" s="4">
        <v>45861</v>
      </c>
      <c r="C1367" s="6" t="s">
        <v>2795</v>
      </c>
      <c r="D1367" s="7">
        <v>0.90555555555555556</v>
      </c>
      <c r="E1367" s="6" t="s">
        <v>16</v>
      </c>
      <c r="F1367" s="6" t="s">
        <v>1427</v>
      </c>
      <c r="G1367" s="4">
        <v>34198</v>
      </c>
      <c r="H1367" s="6" t="s">
        <v>104</v>
      </c>
      <c r="I1367">
        <v>300</v>
      </c>
      <c r="J1367">
        <v>2</v>
      </c>
      <c r="K1367">
        <v>601</v>
      </c>
      <c r="L1367" s="6" t="s">
        <v>19</v>
      </c>
      <c r="M1367" s="6" t="s">
        <v>55</v>
      </c>
      <c r="N1367" s="6" t="s">
        <v>21</v>
      </c>
    </row>
    <row r="1368" spans="1:14" x14ac:dyDescent="0.25">
      <c r="A1368" s="6" t="s">
        <v>2014</v>
      </c>
      <c r="B1368" s="4">
        <v>45955</v>
      </c>
      <c r="C1368" s="6" t="s">
        <v>2791</v>
      </c>
      <c r="D1368" s="7">
        <v>0.79861111111111116</v>
      </c>
      <c r="E1368" s="6" t="s">
        <v>16</v>
      </c>
      <c r="F1368" s="6" t="s">
        <v>17</v>
      </c>
      <c r="G1368" s="4">
        <v>34198</v>
      </c>
      <c r="H1368" s="6" t="s">
        <v>199</v>
      </c>
      <c r="I1368">
        <v>199</v>
      </c>
      <c r="J1368">
        <v>1</v>
      </c>
      <c r="K1368">
        <v>199</v>
      </c>
      <c r="L1368" s="6" t="s">
        <v>19</v>
      </c>
      <c r="M1368" s="6" t="s">
        <v>89</v>
      </c>
      <c r="N1368" s="6" t="s">
        <v>33</v>
      </c>
    </row>
    <row r="1369" spans="1:14" x14ac:dyDescent="0.25">
      <c r="A1369" s="6" t="s">
        <v>2015</v>
      </c>
      <c r="B1369" s="4">
        <v>45791</v>
      </c>
      <c r="C1369" s="6" t="s">
        <v>2792</v>
      </c>
      <c r="D1369" s="7">
        <v>0.97075231481481483</v>
      </c>
      <c r="E1369" s="6" t="s">
        <v>16</v>
      </c>
      <c r="F1369" s="6" t="s">
        <v>246</v>
      </c>
      <c r="G1369" s="4">
        <v>25943</v>
      </c>
      <c r="H1369" s="6" t="s">
        <v>126</v>
      </c>
      <c r="I1369">
        <v>249</v>
      </c>
      <c r="J1369">
        <v>1</v>
      </c>
      <c r="K1369">
        <v>249</v>
      </c>
      <c r="L1369" s="6" t="s">
        <v>67</v>
      </c>
      <c r="M1369" s="6" t="s">
        <v>89</v>
      </c>
      <c r="N1369" s="6" t="s">
        <v>33</v>
      </c>
    </row>
    <row r="1370" spans="1:14" x14ac:dyDescent="0.25">
      <c r="A1370" s="6" t="s">
        <v>2016</v>
      </c>
      <c r="B1370" s="4">
        <v>45865</v>
      </c>
      <c r="C1370" s="6" t="s">
        <v>2795</v>
      </c>
      <c r="D1370" s="7">
        <v>0.45439814814814816</v>
      </c>
      <c r="E1370" s="6" t="s">
        <v>16</v>
      </c>
      <c r="F1370" s="6" t="s">
        <v>218</v>
      </c>
      <c r="G1370" s="4">
        <v>33630</v>
      </c>
      <c r="H1370" s="6" t="s">
        <v>53</v>
      </c>
      <c r="I1370">
        <v>107</v>
      </c>
      <c r="J1370">
        <v>2</v>
      </c>
      <c r="K1370">
        <v>215</v>
      </c>
      <c r="L1370" s="6" t="s">
        <v>41</v>
      </c>
      <c r="M1370" s="6" t="s">
        <v>61</v>
      </c>
      <c r="N1370" s="6" t="s">
        <v>33</v>
      </c>
    </row>
    <row r="1371" spans="1:14" x14ac:dyDescent="0.25">
      <c r="A1371" s="6" t="s">
        <v>2017</v>
      </c>
      <c r="B1371" s="4">
        <v>45672</v>
      </c>
      <c r="C1371" s="6" t="s">
        <v>2794</v>
      </c>
      <c r="D1371" s="7">
        <v>0.77430555555555558</v>
      </c>
      <c r="E1371" s="6" t="s">
        <v>16</v>
      </c>
      <c r="F1371" s="6" t="s">
        <v>594</v>
      </c>
      <c r="G1371" s="4">
        <v>27318</v>
      </c>
      <c r="H1371" s="6" t="s">
        <v>53</v>
      </c>
      <c r="I1371">
        <v>103</v>
      </c>
      <c r="J1371">
        <v>2</v>
      </c>
      <c r="K1371">
        <v>206</v>
      </c>
      <c r="L1371" s="6" t="s">
        <v>41</v>
      </c>
      <c r="M1371" s="6" t="s">
        <v>89</v>
      </c>
      <c r="N1371" s="6" t="s">
        <v>27</v>
      </c>
    </row>
    <row r="1372" spans="1:14" x14ac:dyDescent="0.25">
      <c r="A1372" s="6" t="s">
        <v>2018</v>
      </c>
      <c r="B1372" s="4">
        <v>45824</v>
      </c>
      <c r="C1372" s="6" t="s">
        <v>2800</v>
      </c>
      <c r="D1372" s="7">
        <v>0.77361111111111114</v>
      </c>
      <c r="E1372" s="6" t="s">
        <v>16</v>
      </c>
      <c r="F1372" s="6" t="s">
        <v>919</v>
      </c>
      <c r="G1372" s="4">
        <v>30916</v>
      </c>
      <c r="H1372" s="6" t="s">
        <v>77</v>
      </c>
      <c r="I1372">
        <v>73</v>
      </c>
      <c r="J1372">
        <v>1</v>
      </c>
      <c r="K1372">
        <v>74</v>
      </c>
      <c r="L1372" s="6" t="s">
        <v>19</v>
      </c>
      <c r="M1372" s="6" t="s">
        <v>61</v>
      </c>
      <c r="N1372" s="6" t="s">
        <v>105</v>
      </c>
    </row>
    <row r="1373" spans="1:14" x14ac:dyDescent="0.25">
      <c r="A1373" s="6" t="s">
        <v>2019</v>
      </c>
      <c r="B1373" s="4">
        <v>45639</v>
      </c>
      <c r="C1373" s="6" t="s">
        <v>2796</v>
      </c>
      <c r="D1373" s="7">
        <v>0.59336805555555561</v>
      </c>
      <c r="E1373" s="6" t="s">
        <v>16</v>
      </c>
      <c r="F1373" s="6" t="s">
        <v>50</v>
      </c>
      <c r="G1373" s="4">
        <v>39803</v>
      </c>
      <c r="H1373" s="6" t="s">
        <v>110</v>
      </c>
      <c r="I1373">
        <v>96</v>
      </c>
      <c r="J1373">
        <v>2</v>
      </c>
      <c r="K1373">
        <v>192</v>
      </c>
      <c r="L1373" s="6" t="s">
        <v>54</v>
      </c>
      <c r="M1373" s="6" t="s">
        <v>55</v>
      </c>
      <c r="N1373" s="6" t="s">
        <v>105</v>
      </c>
    </row>
    <row r="1374" spans="1:14" x14ac:dyDescent="0.25">
      <c r="A1374" s="6" t="s">
        <v>2020</v>
      </c>
      <c r="B1374" s="4">
        <v>45859</v>
      </c>
      <c r="C1374" s="6" t="s">
        <v>2795</v>
      </c>
      <c r="D1374" s="7">
        <v>0.76276620370370374</v>
      </c>
      <c r="E1374" s="6" t="s">
        <v>16</v>
      </c>
      <c r="F1374" s="6" t="s">
        <v>187</v>
      </c>
      <c r="G1374" s="4">
        <v>36764</v>
      </c>
      <c r="H1374" s="6" t="s">
        <v>213</v>
      </c>
      <c r="I1374">
        <v>39</v>
      </c>
      <c r="J1374">
        <v>1</v>
      </c>
      <c r="K1374">
        <v>100</v>
      </c>
      <c r="L1374" s="6" t="s">
        <v>19</v>
      </c>
      <c r="M1374" s="6" t="s">
        <v>32</v>
      </c>
      <c r="N1374" s="6" t="s">
        <v>27</v>
      </c>
    </row>
    <row r="1375" spans="1:14" x14ac:dyDescent="0.25">
      <c r="A1375" s="6" t="s">
        <v>2021</v>
      </c>
      <c r="B1375" s="4">
        <v>45848</v>
      </c>
      <c r="C1375" s="6" t="s">
        <v>2795</v>
      </c>
      <c r="D1375" s="7">
        <v>0.81319444444444444</v>
      </c>
      <c r="E1375" s="6" t="s">
        <v>16</v>
      </c>
      <c r="F1375" s="6" t="s">
        <v>84</v>
      </c>
      <c r="G1375" s="4">
        <v>32113</v>
      </c>
      <c r="H1375" s="6" t="s">
        <v>40</v>
      </c>
      <c r="I1375">
        <v>203</v>
      </c>
      <c r="J1375">
        <v>3</v>
      </c>
      <c r="K1375">
        <v>610</v>
      </c>
      <c r="L1375" s="6" t="s">
        <v>19</v>
      </c>
      <c r="M1375" s="6" t="s">
        <v>37</v>
      </c>
      <c r="N1375" s="6" t="s">
        <v>27</v>
      </c>
    </row>
    <row r="1376" spans="1:14" x14ac:dyDescent="0.25">
      <c r="A1376" s="6" t="s">
        <v>2022</v>
      </c>
      <c r="B1376" s="4">
        <v>45792</v>
      </c>
      <c r="C1376" s="6" t="s">
        <v>2792</v>
      </c>
      <c r="D1376" s="7">
        <v>0.44042824074074072</v>
      </c>
      <c r="E1376" s="6" t="s">
        <v>16</v>
      </c>
      <c r="F1376" s="6" t="s">
        <v>211</v>
      </c>
      <c r="G1376" s="4">
        <v>29022</v>
      </c>
      <c r="H1376" s="6" t="s">
        <v>126</v>
      </c>
      <c r="I1376">
        <v>228</v>
      </c>
      <c r="J1376">
        <v>3</v>
      </c>
      <c r="K1376">
        <v>685</v>
      </c>
      <c r="L1376" s="6" t="s">
        <v>19</v>
      </c>
      <c r="M1376" s="6" t="s">
        <v>20</v>
      </c>
      <c r="N1376" s="6" t="s">
        <v>21</v>
      </c>
    </row>
    <row r="1377" spans="1:14" x14ac:dyDescent="0.25">
      <c r="A1377" s="6" t="s">
        <v>2023</v>
      </c>
      <c r="B1377" s="4">
        <v>45840</v>
      </c>
      <c r="C1377" s="6" t="s">
        <v>2795</v>
      </c>
      <c r="D1377" s="7">
        <v>0.80967592592592597</v>
      </c>
      <c r="E1377" s="6" t="s">
        <v>16</v>
      </c>
      <c r="F1377" s="6" t="s">
        <v>338</v>
      </c>
      <c r="G1377" s="4">
        <v>34339</v>
      </c>
      <c r="H1377" s="6" t="s">
        <v>93</v>
      </c>
      <c r="I1377">
        <v>221</v>
      </c>
      <c r="J1377">
        <v>1</v>
      </c>
      <c r="K1377">
        <v>222</v>
      </c>
      <c r="L1377" s="6" t="s">
        <v>19</v>
      </c>
      <c r="M1377" s="6" t="s">
        <v>61</v>
      </c>
      <c r="N1377" s="6" t="s">
        <v>33</v>
      </c>
    </row>
    <row r="1378" spans="1:14" x14ac:dyDescent="0.25">
      <c r="A1378" s="6" t="s">
        <v>2024</v>
      </c>
      <c r="B1378" s="4">
        <v>45949</v>
      </c>
      <c r="C1378" s="6" t="s">
        <v>2791</v>
      </c>
      <c r="D1378" s="7">
        <v>0.49444444444444446</v>
      </c>
      <c r="E1378" s="6" t="s">
        <v>16</v>
      </c>
      <c r="F1378" s="6" t="s">
        <v>434</v>
      </c>
      <c r="G1378" s="4">
        <v>26969</v>
      </c>
      <c r="H1378" s="6" t="s">
        <v>126</v>
      </c>
      <c r="I1378">
        <v>117</v>
      </c>
      <c r="J1378">
        <v>2</v>
      </c>
      <c r="K1378">
        <v>235</v>
      </c>
      <c r="L1378" s="6" t="s">
        <v>54</v>
      </c>
      <c r="M1378" s="6" t="s">
        <v>61</v>
      </c>
      <c r="N1378" s="6" t="s">
        <v>105</v>
      </c>
    </row>
    <row r="1379" spans="1:14" x14ac:dyDescent="0.25">
      <c r="A1379" s="6" t="s">
        <v>2025</v>
      </c>
      <c r="B1379" s="4">
        <v>45813</v>
      </c>
      <c r="C1379" s="6" t="s">
        <v>2800</v>
      </c>
      <c r="D1379" s="7">
        <v>0.72430555555555554</v>
      </c>
      <c r="E1379" s="6" t="s">
        <v>16</v>
      </c>
      <c r="F1379" s="6" t="s">
        <v>299</v>
      </c>
      <c r="G1379" s="4">
        <v>26995</v>
      </c>
      <c r="H1379" s="6" t="s">
        <v>199</v>
      </c>
      <c r="I1379">
        <v>173</v>
      </c>
      <c r="J1379">
        <v>1</v>
      </c>
      <c r="K1379">
        <v>221</v>
      </c>
      <c r="L1379" s="6" t="s">
        <v>54</v>
      </c>
      <c r="M1379" s="6" t="s">
        <v>26</v>
      </c>
      <c r="N1379" s="6" t="s">
        <v>105</v>
      </c>
    </row>
    <row r="1380" spans="1:14" x14ac:dyDescent="0.25">
      <c r="A1380" s="6" t="s">
        <v>2026</v>
      </c>
      <c r="B1380" s="4">
        <v>45784</v>
      </c>
      <c r="C1380" s="6" t="s">
        <v>2792</v>
      </c>
      <c r="D1380" s="7">
        <v>0.60416666666666663</v>
      </c>
      <c r="E1380" s="6" t="s">
        <v>16</v>
      </c>
      <c r="F1380" s="6" t="s">
        <v>140</v>
      </c>
      <c r="G1380" s="4">
        <v>26995</v>
      </c>
      <c r="H1380" s="6" t="s">
        <v>178</v>
      </c>
      <c r="I1380">
        <v>268</v>
      </c>
      <c r="J1380">
        <v>2</v>
      </c>
      <c r="K1380">
        <v>536</v>
      </c>
      <c r="L1380" s="6" t="s">
        <v>54</v>
      </c>
      <c r="M1380" s="6" t="s">
        <v>26</v>
      </c>
      <c r="N1380" s="6" t="s">
        <v>33</v>
      </c>
    </row>
    <row r="1381" spans="1:14" x14ac:dyDescent="0.25">
      <c r="A1381" s="6" t="s">
        <v>2027</v>
      </c>
      <c r="B1381" s="4">
        <v>45785</v>
      </c>
      <c r="C1381" s="6" t="s">
        <v>2792</v>
      </c>
      <c r="D1381" s="7">
        <v>0.46239583333333334</v>
      </c>
      <c r="E1381" s="6" t="s">
        <v>16</v>
      </c>
      <c r="F1381" s="6" t="s">
        <v>237</v>
      </c>
      <c r="G1381" s="4">
        <v>33627</v>
      </c>
      <c r="H1381" s="6" t="s">
        <v>145</v>
      </c>
      <c r="I1381">
        <v>165</v>
      </c>
      <c r="J1381">
        <v>1</v>
      </c>
      <c r="K1381">
        <v>165</v>
      </c>
      <c r="L1381" s="6" t="s">
        <v>54</v>
      </c>
      <c r="M1381" s="6" t="s">
        <v>89</v>
      </c>
      <c r="N1381" s="6" t="s">
        <v>56</v>
      </c>
    </row>
    <row r="1382" spans="1:14" x14ac:dyDescent="0.25">
      <c r="A1382" s="6" t="s">
        <v>2028</v>
      </c>
      <c r="B1382" s="4">
        <v>45651</v>
      </c>
      <c r="C1382" s="6" t="s">
        <v>2796</v>
      </c>
      <c r="D1382" s="7">
        <v>0.57708333333333328</v>
      </c>
      <c r="E1382" s="6" t="s">
        <v>16</v>
      </c>
      <c r="F1382" s="6" t="s">
        <v>187</v>
      </c>
      <c r="G1382" s="4">
        <v>34596</v>
      </c>
      <c r="H1382" s="6" t="s">
        <v>24</v>
      </c>
      <c r="I1382">
        <v>248</v>
      </c>
      <c r="J1382">
        <v>2</v>
      </c>
      <c r="K1382">
        <v>497</v>
      </c>
      <c r="L1382" s="6" t="s">
        <v>54</v>
      </c>
      <c r="M1382" s="6" t="s">
        <v>26</v>
      </c>
      <c r="N1382" s="6" t="s">
        <v>27</v>
      </c>
    </row>
    <row r="1383" spans="1:14" x14ac:dyDescent="0.25">
      <c r="A1383" s="6" t="s">
        <v>2029</v>
      </c>
      <c r="B1383" s="4">
        <v>45771</v>
      </c>
      <c r="C1383" s="6" t="s">
        <v>2801</v>
      </c>
      <c r="D1383" s="7">
        <v>0.5625</v>
      </c>
      <c r="E1383" s="6" t="s">
        <v>16</v>
      </c>
      <c r="F1383" s="6" t="s">
        <v>118</v>
      </c>
      <c r="G1383" s="4">
        <v>38036</v>
      </c>
      <c r="H1383" s="6" t="s">
        <v>141</v>
      </c>
      <c r="I1383">
        <v>120</v>
      </c>
      <c r="J1383">
        <v>3</v>
      </c>
      <c r="K1383">
        <v>361</v>
      </c>
      <c r="L1383" s="6" t="s">
        <v>41</v>
      </c>
      <c r="M1383" s="6" t="s">
        <v>26</v>
      </c>
      <c r="N1383" s="6" t="s">
        <v>56</v>
      </c>
    </row>
    <row r="1384" spans="1:14" x14ac:dyDescent="0.25">
      <c r="A1384" s="6" t="s">
        <v>2030</v>
      </c>
      <c r="B1384" s="4">
        <v>45633</v>
      </c>
      <c r="C1384" s="6" t="s">
        <v>2796</v>
      </c>
      <c r="D1384" s="7">
        <v>0.49881944444444443</v>
      </c>
      <c r="E1384" s="6" t="s">
        <v>16</v>
      </c>
      <c r="F1384" s="6" t="s">
        <v>44</v>
      </c>
      <c r="G1384" s="4">
        <v>28018</v>
      </c>
      <c r="H1384" s="6" t="s">
        <v>36</v>
      </c>
      <c r="I1384">
        <v>83</v>
      </c>
      <c r="J1384">
        <v>3</v>
      </c>
      <c r="K1384">
        <v>249</v>
      </c>
      <c r="L1384" s="6" t="s">
        <v>41</v>
      </c>
      <c r="M1384" s="6" t="s">
        <v>55</v>
      </c>
      <c r="N1384" s="6" t="s">
        <v>27</v>
      </c>
    </row>
    <row r="1385" spans="1:14" x14ac:dyDescent="0.25">
      <c r="A1385" s="6" t="s">
        <v>2031</v>
      </c>
      <c r="B1385" s="4">
        <v>45633</v>
      </c>
      <c r="C1385" s="6" t="s">
        <v>2796</v>
      </c>
      <c r="D1385" s="7">
        <v>0.90625</v>
      </c>
      <c r="E1385" s="6" t="s">
        <v>16</v>
      </c>
      <c r="F1385" s="6" t="s">
        <v>524</v>
      </c>
      <c r="G1385" s="4">
        <v>32623</v>
      </c>
      <c r="H1385" s="6" t="s">
        <v>243</v>
      </c>
      <c r="I1385">
        <v>110</v>
      </c>
      <c r="J1385">
        <v>3</v>
      </c>
      <c r="K1385">
        <v>331</v>
      </c>
      <c r="L1385" s="6" t="s">
        <v>41</v>
      </c>
      <c r="M1385" s="6" t="s">
        <v>55</v>
      </c>
      <c r="N1385" s="6" t="s">
        <v>56</v>
      </c>
    </row>
    <row r="1386" spans="1:14" x14ac:dyDescent="0.25">
      <c r="A1386" s="6" t="s">
        <v>2032</v>
      </c>
      <c r="B1386" s="4">
        <v>45722</v>
      </c>
      <c r="C1386" s="6" t="s">
        <v>2798</v>
      </c>
      <c r="D1386" s="7">
        <v>0.56458333333333333</v>
      </c>
      <c r="E1386" s="6" t="s">
        <v>16</v>
      </c>
      <c r="F1386" s="6" t="s">
        <v>377</v>
      </c>
      <c r="G1386" s="4">
        <v>32623</v>
      </c>
      <c r="H1386" s="6" t="s">
        <v>77</v>
      </c>
      <c r="I1386">
        <v>125</v>
      </c>
      <c r="J1386">
        <v>2</v>
      </c>
      <c r="L1386" s="6" t="s">
        <v>41</v>
      </c>
      <c r="M1386" s="6" t="s">
        <v>47</v>
      </c>
      <c r="N1386" s="6" t="s">
        <v>74</v>
      </c>
    </row>
    <row r="1387" spans="1:14" x14ac:dyDescent="0.25">
      <c r="A1387" s="6" t="s">
        <v>2035</v>
      </c>
      <c r="B1387" s="4">
        <v>45852</v>
      </c>
      <c r="C1387" s="6" t="s">
        <v>2795</v>
      </c>
      <c r="D1387" s="7">
        <v>0.77847222222222223</v>
      </c>
      <c r="E1387" s="6" t="s">
        <v>16</v>
      </c>
      <c r="F1387" s="6" t="s">
        <v>191</v>
      </c>
      <c r="G1387" s="4">
        <v>25774</v>
      </c>
      <c r="H1387" s="6" t="s">
        <v>178</v>
      </c>
      <c r="I1387">
        <v>285</v>
      </c>
      <c r="J1387">
        <v>1</v>
      </c>
      <c r="K1387">
        <v>286</v>
      </c>
      <c r="L1387" s="6" t="s">
        <v>19</v>
      </c>
      <c r="M1387" s="6" t="s">
        <v>55</v>
      </c>
      <c r="N1387" s="6" t="s">
        <v>74</v>
      </c>
    </row>
    <row r="1388" spans="1:14" x14ac:dyDescent="0.25">
      <c r="A1388" s="6" t="s">
        <v>2037</v>
      </c>
      <c r="B1388" s="4">
        <v>45896</v>
      </c>
      <c r="C1388" s="6" t="s">
        <v>2793</v>
      </c>
      <c r="D1388" s="7">
        <v>0.79722222222222228</v>
      </c>
      <c r="E1388" s="6" t="s">
        <v>16</v>
      </c>
      <c r="F1388" s="6" t="s">
        <v>528</v>
      </c>
      <c r="G1388" s="4">
        <v>25774</v>
      </c>
      <c r="H1388" s="6" t="s">
        <v>104</v>
      </c>
      <c r="I1388">
        <v>220</v>
      </c>
      <c r="J1388">
        <v>2</v>
      </c>
      <c r="K1388">
        <v>442</v>
      </c>
      <c r="L1388" s="6" t="s">
        <v>19</v>
      </c>
      <c r="M1388" s="6" t="s">
        <v>55</v>
      </c>
      <c r="N1388" s="6" t="s">
        <v>48</v>
      </c>
    </row>
    <row r="1389" spans="1:14" x14ac:dyDescent="0.25">
      <c r="A1389" s="6" t="s">
        <v>2039</v>
      </c>
      <c r="B1389" s="4">
        <v>45890</v>
      </c>
      <c r="C1389" s="6" t="s">
        <v>2793</v>
      </c>
      <c r="D1389" s="7">
        <v>0.70682870370370365</v>
      </c>
      <c r="E1389" s="6" t="s">
        <v>16</v>
      </c>
      <c r="F1389" s="6" t="s">
        <v>338</v>
      </c>
      <c r="G1389" s="4">
        <v>40250</v>
      </c>
      <c r="H1389" s="6" t="s">
        <v>73</v>
      </c>
      <c r="I1389">
        <v>50</v>
      </c>
      <c r="J1389">
        <v>2</v>
      </c>
      <c r="L1389" s="6" t="s">
        <v>19</v>
      </c>
      <c r="M1389" s="6" t="s">
        <v>55</v>
      </c>
      <c r="N1389" s="6" t="s">
        <v>33</v>
      </c>
    </row>
    <row r="1390" spans="1:14" x14ac:dyDescent="0.25">
      <c r="A1390" s="6" t="s">
        <v>2041</v>
      </c>
      <c r="B1390" s="4">
        <v>45844</v>
      </c>
      <c r="C1390" s="6" t="s">
        <v>2795</v>
      </c>
      <c r="D1390" s="7">
        <v>0.91597222222222219</v>
      </c>
      <c r="E1390" s="6" t="s">
        <v>16</v>
      </c>
      <c r="F1390" s="6" t="s">
        <v>208</v>
      </c>
      <c r="G1390" s="4">
        <v>40250</v>
      </c>
      <c r="H1390" s="6" t="s">
        <v>164</v>
      </c>
      <c r="I1390">
        <v>277</v>
      </c>
      <c r="J1390">
        <v>1</v>
      </c>
      <c r="K1390">
        <v>277</v>
      </c>
      <c r="L1390" s="6" t="s">
        <v>19</v>
      </c>
      <c r="M1390" s="6" t="s">
        <v>61</v>
      </c>
      <c r="N1390" s="6" t="s">
        <v>56</v>
      </c>
    </row>
    <row r="1391" spans="1:14" x14ac:dyDescent="0.25">
      <c r="A1391" s="6" t="s">
        <v>2042</v>
      </c>
      <c r="B1391" s="4">
        <v>45815</v>
      </c>
      <c r="C1391" s="6" t="s">
        <v>2800</v>
      </c>
      <c r="D1391" s="7">
        <v>0.73516203703703709</v>
      </c>
      <c r="E1391" s="6" t="s">
        <v>16</v>
      </c>
      <c r="F1391" s="6" t="s">
        <v>76</v>
      </c>
      <c r="G1391" s="4">
        <v>37140</v>
      </c>
      <c r="H1391" s="6" t="s">
        <v>73</v>
      </c>
      <c r="I1391">
        <v>44</v>
      </c>
      <c r="J1391">
        <v>2</v>
      </c>
      <c r="K1391">
        <v>89</v>
      </c>
      <c r="L1391" s="6" t="s">
        <v>41</v>
      </c>
      <c r="M1391" s="6" t="s">
        <v>89</v>
      </c>
      <c r="N1391" s="6" t="s">
        <v>105</v>
      </c>
    </row>
    <row r="1392" spans="1:14" x14ac:dyDescent="0.25">
      <c r="A1392" s="6" t="s">
        <v>2044</v>
      </c>
      <c r="B1392" s="4">
        <v>45675</v>
      </c>
      <c r="C1392" s="6" t="s">
        <v>2794</v>
      </c>
      <c r="D1392" s="7">
        <v>0.60138888888888886</v>
      </c>
      <c r="E1392" s="6" t="s">
        <v>16</v>
      </c>
      <c r="F1392" s="6" t="s">
        <v>712</v>
      </c>
      <c r="G1392" s="4">
        <v>33065</v>
      </c>
      <c r="H1392" s="6" t="s">
        <v>110</v>
      </c>
      <c r="I1392">
        <v>106</v>
      </c>
      <c r="J1392">
        <v>1</v>
      </c>
      <c r="K1392">
        <v>107</v>
      </c>
      <c r="L1392" s="6" t="s">
        <v>41</v>
      </c>
      <c r="M1392" s="6" t="s">
        <v>89</v>
      </c>
      <c r="N1392" s="6" t="s">
        <v>105</v>
      </c>
    </row>
    <row r="1393" spans="1:14" x14ac:dyDescent="0.25">
      <c r="A1393" s="6" t="s">
        <v>2045</v>
      </c>
      <c r="B1393" s="4">
        <v>45838</v>
      </c>
      <c r="C1393" s="6" t="s">
        <v>2800</v>
      </c>
      <c r="D1393" s="7">
        <v>0.65902777777777777</v>
      </c>
      <c r="E1393" s="6" t="s">
        <v>16</v>
      </c>
      <c r="F1393" s="6" t="s">
        <v>133</v>
      </c>
      <c r="G1393" s="4">
        <v>30939</v>
      </c>
      <c r="H1393" s="6" t="s">
        <v>45</v>
      </c>
      <c r="I1393">
        <v>204</v>
      </c>
      <c r="J1393">
        <v>2</v>
      </c>
      <c r="K1393">
        <v>408</v>
      </c>
      <c r="L1393" s="6" t="s">
        <v>41</v>
      </c>
      <c r="M1393" s="6" t="s">
        <v>26</v>
      </c>
      <c r="N1393" s="6" t="s">
        <v>105</v>
      </c>
    </row>
    <row r="1394" spans="1:14" x14ac:dyDescent="0.25">
      <c r="A1394" s="6" t="s">
        <v>2046</v>
      </c>
      <c r="B1394" s="4">
        <v>45733</v>
      </c>
      <c r="C1394" s="6" t="s">
        <v>2798</v>
      </c>
      <c r="D1394" s="7">
        <v>0.72013888888888888</v>
      </c>
      <c r="E1394" s="6" t="s">
        <v>16</v>
      </c>
      <c r="F1394" s="6" t="s">
        <v>512</v>
      </c>
      <c r="G1394" s="4">
        <v>27738</v>
      </c>
      <c r="H1394" s="6" t="s">
        <v>199</v>
      </c>
      <c r="I1394">
        <v>220</v>
      </c>
      <c r="J1394">
        <v>2</v>
      </c>
      <c r="K1394">
        <v>441</v>
      </c>
      <c r="L1394" s="6" t="s">
        <v>41</v>
      </c>
      <c r="M1394" s="6" t="s">
        <v>55</v>
      </c>
      <c r="N1394" s="6" t="s">
        <v>74</v>
      </c>
    </row>
    <row r="1395" spans="1:14" x14ac:dyDescent="0.25">
      <c r="A1395" s="6" t="s">
        <v>2048</v>
      </c>
      <c r="B1395" s="4">
        <v>45655</v>
      </c>
      <c r="C1395" s="6" t="s">
        <v>2796</v>
      </c>
      <c r="D1395" s="7">
        <v>0.83194444444444449</v>
      </c>
      <c r="E1395" s="6" t="s">
        <v>16</v>
      </c>
      <c r="F1395" s="6" t="s">
        <v>66</v>
      </c>
      <c r="G1395" s="4">
        <v>33927</v>
      </c>
      <c r="H1395" s="6" t="s">
        <v>24</v>
      </c>
      <c r="I1395">
        <v>194</v>
      </c>
      <c r="J1395">
        <v>2</v>
      </c>
      <c r="K1395">
        <v>389</v>
      </c>
      <c r="L1395" s="6" t="s">
        <v>41</v>
      </c>
      <c r="M1395" s="6" t="s">
        <v>55</v>
      </c>
      <c r="N1395" s="6" t="s">
        <v>56</v>
      </c>
    </row>
    <row r="1396" spans="1:14" x14ac:dyDescent="0.25">
      <c r="A1396" s="6" t="s">
        <v>2049</v>
      </c>
      <c r="B1396" s="4">
        <v>45709</v>
      </c>
      <c r="C1396" s="6" t="s">
        <v>2799</v>
      </c>
      <c r="D1396" s="7">
        <v>0.65416666666666667</v>
      </c>
      <c r="E1396" s="6" t="s">
        <v>16</v>
      </c>
      <c r="F1396" s="6" t="s">
        <v>138</v>
      </c>
      <c r="G1396" s="4">
        <v>29967</v>
      </c>
      <c r="H1396" s="6" t="s">
        <v>85</v>
      </c>
      <c r="I1396">
        <v>131</v>
      </c>
      <c r="J1396">
        <v>1</v>
      </c>
      <c r="K1396">
        <v>132</v>
      </c>
      <c r="L1396" s="6" t="s">
        <v>19</v>
      </c>
      <c r="M1396" s="6" t="s">
        <v>47</v>
      </c>
      <c r="N1396" s="6" t="s">
        <v>48</v>
      </c>
    </row>
    <row r="1397" spans="1:14" x14ac:dyDescent="0.25">
      <c r="A1397" s="6" t="s">
        <v>2050</v>
      </c>
      <c r="B1397" s="4">
        <v>45617</v>
      </c>
      <c r="C1397" s="6" t="s">
        <v>2802</v>
      </c>
      <c r="D1397" s="7">
        <v>0.41766203703703703</v>
      </c>
      <c r="E1397" s="6" t="s">
        <v>16</v>
      </c>
      <c r="F1397" s="6" t="s">
        <v>35</v>
      </c>
      <c r="G1397" s="4">
        <v>31512</v>
      </c>
      <c r="H1397" s="6" t="s">
        <v>73</v>
      </c>
      <c r="I1397">
        <v>49</v>
      </c>
      <c r="J1397">
        <v>2</v>
      </c>
      <c r="K1397">
        <v>99</v>
      </c>
      <c r="L1397" s="6" t="s">
        <v>54</v>
      </c>
      <c r="M1397" s="6" t="s">
        <v>37</v>
      </c>
      <c r="N1397" s="6" t="s">
        <v>48</v>
      </c>
    </row>
    <row r="1398" spans="1:14" x14ac:dyDescent="0.25">
      <c r="A1398" s="6" t="s">
        <v>2051</v>
      </c>
      <c r="B1398" s="4">
        <v>45808</v>
      </c>
      <c r="C1398" s="6" t="s">
        <v>2792</v>
      </c>
      <c r="D1398" s="7">
        <v>0.57291666666666663</v>
      </c>
      <c r="E1398" s="6" t="s">
        <v>16</v>
      </c>
      <c r="F1398" s="6" t="s">
        <v>189</v>
      </c>
      <c r="G1398" s="4">
        <v>38575</v>
      </c>
      <c r="H1398" s="6" t="s">
        <v>129</v>
      </c>
      <c r="I1398">
        <v>157</v>
      </c>
      <c r="J1398">
        <v>1</v>
      </c>
      <c r="K1398">
        <v>157</v>
      </c>
      <c r="L1398" s="6" t="s">
        <v>67</v>
      </c>
      <c r="M1398" s="6" t="s">
        <v>55</v>
      </c>
      <c r="N1398" s="6" t="s">
        <v>33</v>
      </c>
    </row>
    <row r="1399" spans="1:14" x14ac:dyDescent="0.25">
      <c r="A1399" s="6" t="s">
        <v>2052</v>
      </c>
      <c r="B1399" s="4">
        <v>45938</v>
      </c>
      <c r="C1399" s="6" t="s">
        <v>2791</v>
      </c>
      <c r="D1399" s="7">
        <v>0.81319444444444444</v>
      </c>
      <c r="E1399" s="6" t="s">
        <v>16</v>
      </c>
      <c r="F1399" s="6" t="s">
        <v>299</v>
      </c>
      <c r="G1399" s="4">
        <v>31021</v>
      </c>
      <c r="H1399" s="6" t="s">
        <v>126</v>
      </c>
      <c r="I1399">
        <v>202</v>
      </c>
      <c r="J1399">
        <v>2</v>
      </c>
      <c r="K1399">
        <v>405</v>
      </c>
      <c r="L1399" s="6" t="s">
        <v>67</v>
      </c>
      <c r="M1399" s="6" t="s">
        <v>37</v>
      </c>
      <c r="N1399" s="6" t="s">
        <v>33</v>
      </c>
    </row>
    <row r="1400" spans="1:14" x14ac:dyDescent="0.25">
      <c r="A1400" s="6" t="s">
        <v>2053</v>
      </c>
      <c r="B1400" s="4">
        <v>45725</v>
      </c>
      <c r="C1400" s="6" t="s">
        <v>2798</v>
      </c>
      <c r="D1400" s="7">
        <v>0.48333333333333334</v>
      </c>
      <c r="E1400" s="6" t="s">
        <v>16</v>
      </c>
      <c r="F1400" s="6" t="s">
        <v>267</v>
      </c>
      <c r="G1400" s="4">
        <v>27031</v>
      </c>
      <c r="H1400" s="6" t="s">
        <v>60</v>
      </c>
      <c r="I1400">
        <v>122</v>
      </c>
      <c r="J1400">
        <v>3</v>
      </c>
      <c r="K1400">
        <v>369</v>
      </c>
      <c r="L1400" s="6" t="s">
        <v>41</v>
      </c>
      <c r="M1400" s="6" t="s">
        <v>89</v>
      </c>
      <c r="N1400" s="6" t="s">
        <v>33</v>
      </c>
    </row>
    <row r="1401" spans="1:14" x14ac:dyDescent="0.25">
      <c r="A1401" s="6" t="s">
        <v>2054</v>
      </c>
      <c r="B1401" s="4">
        <v>45920</v>
      </c>
      <c r="C1401" s="6" t="s">
        <v>2797</v>
      </c>
      <c r="D1401" s="7">
        <v>0.84930555555555554</v>
      </c>
      <c r="E1401" s="6" t="s">
        <v>16</v>
      </c>
      <c r="F1401" s="6" t="s">
        <v>360</v>
      </c>
      <c r="G1401" s="4">
        <v>37964</v>
      </c>
      <c r="H1401" s="6" t="s">
        <v>202</v>
      </c>
      <c r="I1401">
        <v>363</v>
      </c>
      <c r="J1401">
        <v>3</v>
      </c>
      <c r="K1401">
        <v>1090</v>
      </c>
      <c r="L1401" s="6" t="s">
        <v>67</v>
      </c>
      <c r="M1401" s="6" t="s">
        <v>26</v>
      </c>
      <c r="N1401" s="6" t="s">
        <v>33</v>
      </c>
    </row>
    <row r="1402" spans="1:14" x14ac:dyDescent="0.25">
      <c r="A1402" s="6" t="s">
        <v>2055</v>
      </c>
      <c r="B1402" s="4">
        <v>45919</v>
      </c>
      <c r="C1402" s="6" t="s">
        <v>2797</v>
      </c>
      <c r="D1402" s="7">
        <v>0.55623842592592587</v>
      </c>
      <c r="E1402" s="6" t="s">
        <v>16</v>
      </c>
      <c r="F1402" s="6" t="s">
        <v>548</v>
      </c>
      <c r="G1402" s="4">
        <v>36639</v>
      </c>
      <c r="H1402" s="6" t="s">
        <v>213</v>
      </c>
      <c r="I1402">
        <v>208</v>
      </c>
      <c r="J1402">
        <v>2</v>
      </c>
      <c r="K1402">
        <v>416</v>
      </c>
      <c r="L1402" s="6" t="s">
        <v>67</v>
      </c>
      <c r="M1402" s="6" t="s">
        <v>61</v>
      </c>
      <c r="N1402" s="6" t="s">
        <v>33</v>
      </c>
    </row>
    <row r="1403" spans="1:14" x14ac:dyDescent="0.25">
      <c r="A1403" s="6" t="s">
        <v>2056</v>
      </c>
      <c r="B1403" s="4">
        <v>45643</v>
      </c>
      <c r="C1403" s="6" t="s">
        <v>2796</v>
      </c>
      <c r="D1403" s="7">
        <v>0.95902777777777781</v>
      </c>
      <c r="E1403" s="6" t="s">
        <v>16</v>
      </c>
      <c r="F1403" s="6" t="s">
        <v>332</v>
      </c>
      <c r="G1403" s="4">
        <v>40364</v>
      </c>
      <c r="H1403" s="6" t="s">
        <v>126</v>
      </c>
      <c r="I1403">
        <v>213</v>
      </c>
      <c r="J1403">
        <v>1</v>
      </c>
      <c r="K1403">
        <v>100</v>
      </c>
      <c r="L1403" s="6" t="s">
        <v>54</v>
      </c>
      <c r="M1403" s="6" t="s">
        <v>89</v>
      </c>
      <c r="N1403" s="6" t="s">
        <v>33</v>
      </c>
    </row>
    <row r="1404" spans="1:14" x14ac:dyDescent="0.25">
      <c r="A1404" s="6" t="s">
        <v>2057</v>
      </c>
      <c r="B1404" s="4">
        <v>45637</v>
      </c>
      <c r="C1404" s="6" t="s">
        <v>2796</v>
      </c>
      <c r="D1404" s="7">
        <v>0.73472222222222228</v>
      </c>
      <c r="E1404" s="6" t="s">
        <v>16</v>
      </c>
      <c r="F1404" s="6" t="s">
        <v>98</v>
      </c>
      <c r="G1404" s="4">
        <v>30243</v>
      </c>
      <c r="H1404" s="6" t="s">
        <v>213</v>
      </c>
      <c r="I1404">
        <v>105</v>
      </c>
      <c r="J1404">
        <v>2</v>
      </c>
      <c r="K1404">
        <v>210</v>
      </c>
      <c r="L1404" s="6" t="s">
        <v>41</v>
      </c>
      <c r="M1404" s="6" t="s">
        <v>37</v>
      </c>
      <c r="N1404" s="6" t="s">
        <v>74</v>
      </c>
    </row>
    <row r="1405" spans="1:14" x14ac:dyDescent="0.25">
      <c r="A1405" s="6" t="s">
        <v>2058</v>
      </c>
      <c r="B1405" s="4">
        <v>45692</v>
      </c>
      <c r="C1405" s="6" t="s">
        <v>2799</v>
      </c>
      <c r="D1405" s="7">
        <v>0.47697916666666668</v>
      </c>
      <c r="E1405" s="6" t="s">
        <v>16</v>
      </c>
      <c r="F1405" s="6" t="s">
        <v>324</v>
      </c>
      <c r="G1405" s="4">
        <v>29443</v>
      </c>
      <c r="H1405" s="6" t="s">
        <v>40</v>
      </c>
      <c r="I1405">
        <v>207</v>
      </c>
      <c r="J1405">
        <v>1</v>
      </c>
      <c r="K1405">
        <v>208</v>
      </c>
      <c r="L1405" s="6" t="s">
        <v>2787</v>
      </c>
      <c r="M1405" s="6" t="s">
        <v>61</v>
      </c>
      <c r="N1405" s="6" t="s">
        <v>56</v>
      </c>
    </row>
    <row r="1406" spans="1:14" x14ac:dyDescent="0.25">
      <c r="A1406" s="6" t="s">
        <v>2059</v>
      </c>
      <c r="B1406" s="4">
        <v>45813</v>
      </c>
      <c r="C1406" s="6" t="s">
        <v>2800</v>
      </c>
      <c r="D1406" s="7">
        <v>0.87979166666666664</v>
      </c>
      <c r="E1406" s="6" t="s">
        <v>16</v>
      </c>
      <c r="F1406" s="6" t="s">
        <v>520</v>
      </c>
      <c r="G1406" s="4">
        <v>25959</v>
      </c>
      <c r="H1406" s="6" t="s">
        <v>145</v>
      </c>
      <c r="I1406">
        <v>217</v>
      </c>
      <c r="J1406">
        <v>1</v>
      </c>
      <c r="K1406">
        <v>217</v>
      </c>
      <c r="L1406" s="6" t="s">
        <v>41</v>
      </c>
      <c r="M1406" s="6" t="s">
        <v>47</v>
      </c>
      <c r="N1406" s="6" t="s">
        <v>21</v>
      </c>
    </row>
    <row r="1407" spans="1:14" x14ac:dyDescent="0.25">
      <c r="A1407" s="6" t="s">
        <v>2061</v>
      </c>
      <c r="B1407" s="4">
        <v>45931</v>
      </c>
      <c r="C1407" s="6" t="s">
        <v>2791</v>
      </c>
      <c r="D1407" s="7">
        <v>0.58091435185185181</v>
      </c>
      <c r="E1407" s="6" t="s">
        <v>16</v>
      </c>
      <c r="F1407" s="6" t="s">
        <v>198</v>
      </c>
      <c r="G1407" s="4">
        <v>40478</v>
      </c>
      <c r="H1407" s="6" t="s">
        <v>85</v>
      </c>
      <c r="I1407">
        <v>257</v>
      </c>
      <c r="J1407">
        <v>1</v>
      </c>
      <c r="K1407">
        <v>257</v>
      </c>
      <c r="L1407" s="6" t="s">
        <v>67</v>
      </c>
      <c r="M1407" s="6" t="s">
        <v>61</v>
      </c>
      <c r="N1407" s="6" t="s">
        <v>27</v>
      </c>
    </row>
    <row r="1408" spans="1:14" x14ac:dyDescent="0.25">
      <c r="A1408" s="6" t="s">
        <v>2062</v>
      </c>
      <c r="B1408" s="4">
        <v>45931</v>
      </c>
      <c r="C1408" s="6" t="s">
        <v>2791</v>
      </c>
      <c r="D1408" s="7">
        <v>0.64444444444444449</v>
      </c>
      <c r="E1408" s="6" t="s">
        <v>16</v>
      </c>
      <c r="F1408" s="6" t="s">
        <v>295</v>
      </c>
      <c r="G1408" s="4">
        <v>31736</v>
      </c>
      <c r="H1408" s="6" t="s">
        <v>36</v>
      </c>
      <c r="I1408">
        <v>179</v>
      </c>
      <c r="J1408">
        <v>1</v>
      </c>
      <c r="L1408" s="6" t="s">
        <v>41</v>
      </c>
      <c r="M1408" s="6" t="s">
        <v>61</v>
      </c>
      <c r="N1408" s="6" t="s">
        <v>27</v>
      </c>
    </row>
    <row r="1409" spans="1:14" x14ac:dyDescent="0.25">
      <c r="A1409" s="6" t="s">
        <v>2064</v>
      </c>
      <c r="B1409" s="4">
        <v>45957</v>
      </c>
      <c r="C1409" s="6" t="s">
        <v>2791</v>
      </c>
      <c r="D1409" s="7">
        <v>0.74583333333333335</v>
      </c>
      <c r="E1409" s="6" t="s">
        <v>16</v>
      </c>
      <c r="F1409" s="6" t="s">
        <v>1548</v>
      </c>
      <c r="G1409" s="4">
        <v>35806</v>
      </c>
      <c r="H1409" s="6" t="s">
        <v>213</v>
      </c>
      <c r="I1409">
        <v>246</v>
      </c>
      <c r="J1409">
        <v>2</v>
      </c>
      <c r="K1409">
        <v>493</v>
      </c>
      <c r="L1409" s="6" t="s">
        <v>41</v>
      </c>
      <c r="M1409" s="6" t="s">
        <v>20</v>
      </c>
      <c r="N1409" s="6" t="s">
        <v>21</v>
      </c>
    </row>
    <row r="1410" spans="1:14" x14ac:dyDescent="0.25">
      <c r="A1410" s="6" t="s">
        <v>2065</v>
      </c>
      <c r="B1410" s="4">
        <v>45934</v>
      </c>
      <c r="C1410" s="6" t="s">
        <v>2791</v>
      </c>
      <c r="D1410" s="7">
        <v>0.89563657407407404</v>
      </c>
      <c r="E1410" s="6" t="s">
        <v>16</v>
      </c>
      <c r="F1410" s="6" t="s">
        <v>405</v>
      </c>
      <c r="G1410" s="4">
        <v>33584</v>
      </c>
      <c r="H1410" s="6" t="s">
        <v>178</v>
      </c>
      <c r="I1410">
        <v>274</v>
      </c>
      <c r="J1410">
        <v>2</v>
      </c>
      <c r="K1410">
        <v>548</v>
      </c>
      <c r="L1410" s="6" t="s">
        <v>67</v>
      </c>
      <c r="M1410" s="6" t="s">
        <v>37</v>
      </c>
      <c r="N1410" s="6" t="s">
        <v>21</v>
      </c>
    </row>
    <row r="1411" spans="1:14" x14ac:dyDescent="0.25">
      <c r="A1411" s="6" t="s">
        <v>2067</v>
      </c>
      <c r="B1411" s="4">
        <v>45862</v>
      </c>
      <c r="C1411" s="6" t="s">
        <v>2795</v>
      </c>
      <c r="D1411" s="7">
        <v>0.91874999999999996</v>
      </c>
      <c r="E1411" s="6" t="s">
        <v>16</v>
      </c>
      <c r="F1411" s="6" t="s">
        <v>2068</v>
      </c>
      <c r="G1411" s="4">
        <v>28953</v>
      </c>
      <c r="H1411" s="6" t="s">
        <v>104</v>
      </c>
      <c r="I1411">
        <v>253</v>
      </c>
      <c r="J1411">
        <v>2</v>
      </c>
      <c r="K1411">
        <v>507</v>
      </c>
      <c r="L1411" s="6" t="s">
        <v>67</v>
      </c>
      <c r="M1411" s="6" t="s">
        <v>47</v>
      </c>
      <c r="N1411" s="6" t="s">
        <v>105</v>
      </c>
    </row>
    <row r="1412" spans="1:14" x14ac:dyDescent="0.25">
      <c r="A1412" s="6" t="s">
        <v>2069</v>
      </c>
      <c r="B1412" s="4">
        <v>45781</v>
      </c>
      <c r="C1412" s="6" t="s">
        <v>2792</v>
      </c>
      <c r="D1412" s="7">
        <v>0.52361111111111114</v>
      </c>
      <c r="E1412" s="6" t="s">
        <v>16</v>
      </c>
      <c r="F1412" s="6" t="s">
        <v>240</v>
      </c>
      <c r="G1412" s="4">
        <v>35143</v>
      </c>
      <c r="H1412" s="6" t="s">
        <v>24</v>
      </c>
      <c r="I1412">
        <v>239</v>
      </c>
      <c r="J1412">
        <v>2</v>
      </c>
      <c r="K1412">
        <v>502</v>
      </c>
      <c r="L1412" s="6" t="s">
        <v>19</v>
      </c>
      <c r="M1412" s="6" t="s">
        <v>26</v>
      </c>
      <c r="N1412" s="6" t="s">
        <v>105</v>
      </c>
    </row>
    <row r="1413" spans="1:14" x14ac:dyDescent="0.25">
      <c r="A1413" s="6" t="s">
        <v>2070</v>
      </c>
      <c r="B1413" s="4">
        <v>45953</v>
      </c>
      <c r="C1413" s="6" t="s">
        <v>2791</v>
      </c>
      <c r="D1413" s="7">
        <v>0.73472222222222228</v>
      </c>
      <c r="E1413" s="6" t="s">
        <v>16</v>
      </c>
      <c r="F1413" s="6" t="s">
        <v>370</v>
      </c>
      <c r="G1413" s="4">
        <v>35279</v>
      </c>
      <c r="H1413" s="6" t="s">
        <v>77</v>
      </c>
      <c r="I1413">
        <v>302</v>
      </c>
      <c r="J1413">
        <v>1</v>
      </c>
      <c r="K1413">
        <v>100</v>
      </c>
      <c r="L1413" s="6" t="s">
        <v>2787</v>
      </c>
      <c r="M1413" s="6" t="s">
        <v>61</v>
      </c>
      <c r="N1413" s="6" t="s">
        <v>105</v>
      </c>
    </row>
    <row r="1414" spans="1:14" x14ac:dyDescent="0.25">
      <c r="A1414" s="6" t="s">
        <v>2071</v>
      </c>
      <c r="B1414" s="4">
        <v>45905</v>
      </c>
      <c r="C1414" s="6" t="s">
        <v>2797</v>
      </c>
      <c r="D1414" s="7">
        <v>0.61751157407407409</v>
      </c>
      <c r="E1414" s="6" t="s">
        <v>16</v>
      </c>
      <c r="F1414" s="6" t="s">
        <v>206</v>
      </c>
      <c r="G1414" s="4">
        <v>34964</v>
      </c>
      <c r="H1414" s="6" t="s">
        <v>126</v>
      </c>
      <c r="I1414">
        <v>217</v>
      </c>
      <c r="J1414">
        <v>2</v>
      </c>
      <c r="K1414">
        <v>435</v>
      </c>
      <c r="L1414" s="6" t="s">
        <v>19</v>
      </c>
      <c r="M1414" s="6" t="s">
        <v>47</v>
      </c>
      <c r="N1414" s="6" t="s">
        <v>33</v>
      </c>
    </row>
    <row r="1415" spans="1:14" x14ac:dyDescent="0.25">
      <c r="A1415" s="6" t="s">
        <v>2072</v>
      </c>
      <c r="B1415" s="4">
        <v>45813</v>
      </c>
      <c r="C1415" s="6" t="s">
        <v>2800</v>
      </c>
      <c r="D1415" s="7">
        <v>0.90416666666666667</v>
      </c>
      <c r="E1415" s="6" t="s">
        <v>16</v>
      </c>
      <c r="F1415" s="6" t="s">
        <v>222</v>
      </c>
      <c r="G1415" s="4">
        <v>27150</v>
      </c>
      <c r="H1415" s="6" t="s">
        <v>141</v>
      </c>
      <c r="I1415">
        <v>164</v>
      </c>
      <c r="J1415">
        <v>2</v>
      </c>
      <c r="K1415">
        <v>314</v>
      </c>
      <c r="L1415" s="6" t="s">
        <v>41</v>
      </c>
      <c r="M1415" s="6" t="s">
        <v>47</v>
      </c>
      <c r="N1415" s="6" t="s">
        <v>21</v>
      </c>
    </row>
    <row r="1416" spans="1:14" x14ac:dyDescent="0.25">
      <c r="A1416" s="6" t="s">
        <v>2073</v>
      </c>
      <c r="B1416" s="4">
        <v>45808</v>
      </c>
      <c r="C1416" s="6" t="s">
        <v>2792</v>
      </c>
      <c r="D1416" s="7">
        <v>0.84375</v>
      </c>
      <c r="E1416" s="6" t="s">
        <v>16</v>
      </c>
      <c r="F1416" s="6" t="s">
        <v>52</v>
      </c>
      <c r="G1416" s="4">
        <v>39856</v>
      </c>
      <c r="H1416" s="6" t="s">
        <v>199</v>
      </c>
      <c r="I1416">
        <v>186</v>
      </c>
      <c r="J1416">
        <v>2</v>
      </c>
      <c r="K1416">
        <v>374</v>
      </c>
      <c r="L1416" s="6" t="s">
        <v>19</v>
      </c>
      <c r="M1416" s="6" t="s">
        <v>26</v>
      </c>
      <c r="N1416" s="6" t="s">
        <v>33</v>
      </c>
    </row>
    <row r="1417" spans="1:14" x14ac:dyDescent="0.25">
      <c r="A1417" s="6" t="s">
        <v>2074</v>
      </c>
      <c r="B1417" s="4">
        <v>45932</v>
      </c>
      <c r="C1417" s="6" t="s">
        <v>2791</v>
      </c>
      <c r="D1417" s="7">
        <v>0.73263888888888884</v>
      </c>
      <c r="E1417" s="6" t="s">
        <v>16</v>
      </c>
      <c r="F1417" s="6" t="s">
        <v>295</v>
      </c>
      <c r="G1417" s="4">
        <v>35693</v>
      </c>
      <c r="H1417" s="6" t="s">
        <v>202</v>
      </c>
      <c r="I1417">
        <v>302</v>
      </c>
      <c r="J1417">
        <v>2</v>
      </c>
      <c r="K1417">
        <v>604</v>
      </c>
      <c r="L1417" s="6" t="s">
        <v>19</v>
      </c>
      <c r="M1417" s="6" t="s">
        <v>61</v>
      </c>
      <c r="N1417" s="6" t="s">
        <v>33</v>
      </c>
    </row>
    <row r="1418" spans="1:14" x14ac:dyDescent="0.25">
      <c r="A1418" s="6" t="s">
        <v>2075</v>
      </c>
      <c r="B1418" s="4">
        <v>45967</v>
      </c>
      <c r="C1418" s="6" t="s">
        <v>2802</v>
      </c>
      <c r="D1418" s="7">
        <v>0.5003009259259259</v>
      </c>
      <c r="E1418" s="6" t="s">
        <v>16</v>
      </c>
      <c r="F1418" s="6" t="s">
        <v>512</v>
      </c>
      <c r="G1418" s="4">
        <v>37967</v>
      </c>
      <c r="H1418" s="6" t="s">
        <v>116</v>
      </c>
      <c r="I1418">
        <v>211</v>
      </c>
      <c r="J1418">
        <v>1</v>
      </c>
      <c r="K1418">
        <v>100</v>
      </c>
      <c r="L1418" s="6" t="s">
        <v>19</v>
      </c>
      <c r="M1418" s="6" t="s">
        <v>26</v>
      </c>
      <c r="N1418" s="6" t="s">
        <v>33</v>
      </c>
    </row>
    <row r="1419" spans="1:14" x14ac:dyDescent="0.25">
      <c r="A1419" s="6" t="s">
        <v>2076</v>
      </c>
      <c r="B1419" s="4">
        <v>45828</v>
      </c>
      <c r="C1419" s="6" t="s">
        <v>2800</v>
      </c>
      <c r="D1419" s="7">
        <v>0.81641203703703702</v>
      </c>
      <c r="E1419" s="6" t="s">
        <v>16</v>
      </c>
      <c r="F1419" s="6" t="s">
        <v>35</v>
      </c>
      <c r="G1419" s="4">
        <v>40404</v>
      </c>
      <c r="H1419" s="6" t="s">
        <v>145</v>
      </c>
      <c r="I1419">
        <v>120</v>
      </c>
      <c r="J1419">
        <v>2</v>
      </c>
      <c r="K1419">
        <v>241</v>
      </c>
      <c r="L1419" s="6" t="s">
        <v>41</v>
      </c>
      <c r="M1419" s="6" t="s">
        <v>37</v>
      </c>
      <c r="N1419" s="6" t="s">
        <v>33</v>
      </c>
    </row>
    <row r="1420" spans="1:14" x14ac:dyDescent="0.25">
      <c r="A1420" s="6" t="s">
        <v>2077</v>
      </c>
      <c r="B1420" s="4">
        <v>45865</v>
      </c>
      <c r="C1420" s="6" t="s">
        <v>2795</v>
      </c>
      <c r="D1420" s="7">
        <v>0.44027777777777777</v>
      </c>
      <c r="E1420" s="6" t="s">
        <v>16</v>
      </c>
      <c r="F1420" s="6" t="s">
        <v>389</v>
      </c>
      <c r="G1420" s="4">
        <v>40141</v>
      </c>
      <c r="H1420" s="6" t="s">
        <v>164</v>
      </c>
      <c r="I1420">
        <v>265</v>
      </c>
      <c r="J1420">
        <v>1</v>
      </c>
      <c r="K1420">
        <v>265</v>
      </c>
      <c r="L1420" s="6" t="s">
        <v>19</v>
      </c>
      <c r="M1420" s="6" t="s">
        <v>47</v>
      </c>
      <c r="N1420" s="6" t="s">
        <v>33</v>
      </c>
    </row>
    <row r="1421" spans="1:14" x14ac:dyDescent="0.25">
      <c r="A1421" s="6" t="s">
        <v>2078</v>
      </c>
      <c r="B1421" s="4">
        <v>45802</v>
      </c>
      <c r="C1421" s="6" t="s">
        <v>2792</v>
      </c>
      <c r="D1421" s="7">
        <v>0.5395833333333333</v>
      </c>
      <c r="E1421" s="6" t="s">
        <v>16</v>
      </c>
      <c r="F1421" s="6" t="s">
        <v>1206</v>
      </c>
      <c r="G1421" s="4">
        <v>40033</v>
      </c>
      <c r="H1421" s="6" t="s">
        <v>93</v>
      </c>
      <c r="I1421">
        <v>176</v>
      </c>
      <c r="J1421">
        <v>3</v>
      </c>
      <c r="K1421">
        <v>530</v>
      </c>
      <c r="L1421" s="6" t="s">
        <v>41</v>
      </c>
      <c r="M1421" s="6" t="s">
        <v>37</v>
      </c>
      <c r="N1421" s="6" t="s">
        <v>33</v>
      </c>
    </row>
    <row r="1422" spans="1:14" x14ac:dyDescent="0.25">
      <c r="A1422" s="6" t="s">
        <v>2079</v>
      </c>
      <c r="B1422" s="4">
        <v>45620</v>
      </c>
      <c r="C1422" s="6" t="s">
        <v>2802</v>
      </c>
      <c r="D1422" s="7">
        <v>0.62569444444444444</v>
      </c>
      <c r="E1422" s="6" t="s">
        <v>16</v>
      </c>
      <c r="F1422" s="6" t="s">
        <v>76</v>
      </c>
      <c r="G1422" s="4">
        <v>33224</v>
      </c>
      <c r="H1422" s="6" t="s">
        <v>24</v>
      </c>
      <c r="I1422">
        <v>238</v>
      </c>
      <c r="J1422">
        <v>1</v>
      </c>
      <c r="K1422">
        <v>239</v>
      </c>
      <c r="L1422" s="6" t="s">
        <v>41</v>
      </c>
      <c r="M1422" s="6" t="s">
        <v>55</v>
      </c>
      <c r="N1422" s="6" t="s">
        <v>74</v>
      </c>
    </row>
    <row r="1423" spans="1:14" x14ac:dyDescent="0.25">
      <c r="A1423" s="6" t="s">
        <v>2080</v>
      </c>
      <c r="B1423" s="4">
        <v>45697</v>
      </c>
      <c r="C1423" s="6" t="s">
        <v>2799</v>
      </c>
      <c r="D1423" s="7">
        <v>0.98055555555555551</v>
      </c>
      <c r="E1423" s="6" t="s">
        <v>16</v>
      </c>
      <c r="F1423" s="6" t="s">
        <v>1627</v>
      </c>
      <c r="G1423" s="4">
        <v>33852</v>
      </c>
      <c r="H1423" s="6" t="s">
        <v>73</v>
      </c>
      <c r="I1423">
        <v>55</v>
      </c>
      <c r="J1423">
        <v>1</v>
      </c>
      <c r="K1423">
        <v>56</v>
      </c>
      <c r="L1423" s="6" t="s">
        <v>54</v>
      </c>
      <c r="M1423" s="6" t="s">
        <v>47</v>
      </c>
      <c r="N1423" s="6" t="s">
        <v>48</v>
      </c>
    </row>
    <row r="1424" spans="1:14" x14ac:dyDescent="0.25">
      <c r="A1424" s="6" t="s">
        <v>2081</v>
      </c>
      <c r="B1424" s="4">
        <v>45665</v>
      </c>
      <c r="C1424" s="6" t="s">
        <v>2794</v>
      </c>
      <c r="D1424" s="7">
        <v>0.72984953703703703</v>
      </c>
      <c r="E1424" s="6" t="s">
        <v>16</v>
      </c>
      <c r="F1424" s="6" t="s">
        <v>191</v>
      </c>
      <c r="G1424" s="4">
        <v>30666</v>
      </c>
      <c r="H1424" s="6" t="s">
        <v>199</v>
      </c>
      <c r="I1424">
        <v>209</v>
      </c>
      <c r="J1424">
        <v>3</v>
      </c>
      <c r="K1424">
        <v>628</v>
      </c>
      <c r="L1424" s="6" t="s">
        <v>41</v>
      </c>
      <c r="M1424" s="6" t="s">
        <v>37</v>
      </c>
      <c r="N1424" s="6" t="s">
        <v>33</v>
      </c>
    </row>
    <row r="1425" spans="1:14" x14ac:dyDescent="0.25">
      <c r="A1425" s="6" t="s">
        <v>2082</v>
      </c>
      <c r="B1425" s="4">
        <v>45954</v>
      </c>
      <c r="C1425" s="6" t="s">
        <v>2791</v>
      </c>
      <c r="D1425" s="7">
        <v>0.95302083333333332</v>
      </c>
      <c r="E1425" s="6" t="s">
        <v>16</v>
      </c>
      <c r="F1425" s="6" t="s">
        <v>151</v>
      </c>
      <c r="G1425" s="4">
        <v>37081</v>
      </c>
      <c r="H1425" s="6" t="s">
        <v>93</v>
      </c>
      <c r="I1425">
        <v>232</v>
      </c>
      <c r="J1425">
        <v>2</v>
      </c>
      <c r="K1425">
        <v>466</v>
      </c>
      <c r="L1425" s="6" t="s">
        <v>41</v>
      </c>
      <c r="M1425" s="6" t="s">
        <v>20</v>
      </c>
      <c r="N1425" s="6" t="s">
        <v>21</v>
      </c>
    </row>
    <row r="1426" spans="1:14" x14ac:dyDescent="0.25">
      <c r="A1426" s="6" t="s">
        <v>2083</v>
      </c>
      <c r="B1426" s="4">
        <v>45724</v>
      </c>
      <c r="C1426" s="6" t="s">
        <v>2798</v>
      </c>
      <c r="D1426" s="7">
        <v>0.48313657407407407</v>
      </c>
      <c r="E1426" s="6" t="s">
        <v>16</v>
      </c>
      <c r="F1426" s="6" t="s">
        <v>201</v>
      </c>
      <c r="G1426" s="4">
        <v>30244</v>
      </c>
      <c r="H1426" s="6" t="s">
        <v>145</v>
      </c>
      <c r="I1426">
        <v>165</v>
      </c>
      <c r="J1426">
        <v>1</v>
      </c>
      <c r="K1426">
        <v>166</v>
      </c>
      <c r="L1426" s="6" t="s">
        <v>41</v>
      </c>
      <c r="M1426" s="6" t="s">
        <v>26</v>
      </c>
      <c r="N1426" s="6" t="s">
        <v>105</v>
      </c>
    </row>
    <row r="1427" spans="1:14" x14ac:dyDescent="0.25">
      <c r="A1427" s="6" t="s">
        <v>2084</v>
      </c>
      <c r="B1427" s="4">
        <v>45742</v>
      </c>
      <c r="C1427" s="6" t="s">
        <v>2798</v>
      </c>
      <c r="D1427" s="7">
        <v>0.83359953703703704</v>
      </c>
      <c r="E1427" s="6" t="s">
        <v>16</v>
      </c>
      <c r="F1427" s="6" t="s">
        <v>332</v>
      </c>
      <c r="G1427" s="4">
        <v>35135</v>
      </c>
      <c r="H1427" s="6" t="s">
        <v>30</v>
      </c>
      <c r="I1427">
        <v>243</v>
      </c>
      <c r="J1427">
        <v>1</v>
      </c>
      <c r="K1427">
        <v>100</v>
      </c>
      <c r="L1427" s="6" t="s">
        <v>41</v>
      </c>
      <c r="M1427" s="6" t="s">
        <v>55</v>
      </c>
      <c r="N1427" s="6" t="s">
        <v>105</v>
      </c>
    </row>
    <row r="1428" spans="1:14" x14ac:dyDescent="0.25">
      <c r="A1428" s="6" t="s">
        <v>2085</v>
      </c>
      <c r="B1428" s="4">
        <v>45652</v>
      </c>
      <c r="C1428" s="6" t="s">
        <v>2796</v>
      </c>
      <c r="D1428" s="7">
        <v>0.71250000000000002</v>
      </c>
      <c r="E1428" s="6" t="s">
        <v>16</v>
      </c>
      <c r="F1428" s="6" t="s">
        <v>279</v>
      </c>
      <c r="G1428" s="4">
        <v>33584</v>
      </c>
      <c r="H1428" s="6" t="s">
        <v>202</v>
      </c>
      <c r="I1428">
        <v>347</v>
      </c>
      <c r="J1428">
        <v>1</v>
      </c>
      <c r="K1428">
        <v>348</v>
      </c>
      <c r="L1428" s="6" t="s">
        <v>41</v>
      </c>
      <c r="M1428" s="6" t="s">
        <v>61</v>
      </c>
      <c r="N1428" s="6" t="s">
        <v>74</v>
      </c>
    </row>
    <row r="1429" spans="1:14" x14ac:dyDescent="0.25">
      <c r="A1429" s="6" t="s">
        <v>2086</v>
      </c>
      <c r="B1429" s="4">
        <v>45725</v>
      </c>
      <c r="C1429" s="6" t="s">
        <v>2798</v>
      </c>
      <c r="D1429" s="7">
        <v>0.9194444444444444</v>
      </c>
      <c r="E1429" s="6" t="s">
        <v>16</v>
      </c>
      <c r="F1429" s="6" t="s">
        <v>1827</v>
      </c>
      <c r="G1429" s="4">
        <v>37399</v>
      </c>
      <c r="H1429" s="6" t="s">
        <v>129</v>
      </c>
      <c r="I1429">
        <v>220</v>
      </c>
      <c r="J1429">
        <v>1</v>
      </c>
      <c r="K1429">
        <v>238</v>
      </c>
      <c r="L1429" s="6" t="s">
        <v>41</v>
      </c>
      <c r="M1429" s="6" t="s">
        <v>89</v>
      </c>
      <c r="N1429" s="6" t="s">
        <v>74</v>
      </c>
    </row>
    <row r="1430" spans="1:14" x14ac:dyDescent="0.25">
      <c r="A1430" s="6" t="s">
        <v>2087</v>
      </c>
      <c r="B1430" s="4">
        <v>45702</v>
      </c>
      <c r="C1430" s="6" t="s">
        <v>2799</v>
      </c>
      <c r="D1430" s="7">
        <v>0.46331018518518519</v>
      </c>
      <c r="E1430" s="6" t="s">
        <v>16</v>
      </c>
      <c r="F1430" s="6" t="s">
        <v>206</v>
      </c>
      <c r="G1430" s="4">
        <v>25660</v>
      </c>
      <c r="H1430" s="6" t="s">
        <v>243</v>
      </c>
      <c r="I1430">
        <v>155</v>
      </c>
      <c r="J1430">
        <v>1</v>
      </c>
      <c r="K1430">
        <v>155</v>
      </c>
      <c r="L1430" s="6" t="s">
        <v>19</v>
      </c>
      <c r="M1430" s="6" t="s">
        <v>26</v>
      </c>
      <c r="N1430" s="6" t="s">
        <v>74</v>
      </c>
    </row>
    <row r="1431" spans="1:14" x14ac:dyDescent="0.25">
      <c r="A1431" s="6" t="s">
        <v>2089</v>
      </c>
      <c r="B1431" s="4">
        <v>45779</v>
      </c>
      <c r="C1431" s="6" t="s">
        <v>2792</v>
      </c>
      <c r="D1431" s="7">
        <v>0.43472222222222223</v>
      </c>
      <c r="E1431" s="6" t="s">
        <v>16</v>
      </c>
      <c r="F1431" s="6" t="s">
        <v>528</v>
      </c>
      <c r="G1431" s="4">
        <v>36232</v>
      </c>
      <c r="H1431" s="6" t="s">
        <v>104</v>
      </c>
      <c r="I1431">
        <v>328</v>
      </c>
      <c r="J1431">
        <v>3</v>
      </c>
      <c r="K1431">
        <v>984</v>
      </c>
      <c r="L1431" s="6" t="s">
        <v>19</v>
      </c>
      <c r="M1431" s="6" t="s">
        <v>26</v>
      </c>
      <c r="N1431" s="6" t="s">
        <v>33</v>
      </c>
    </row>
    <row r="1432" spans="1:14" x14ac:dyDescent="0.25">
      <c r="A1432" s="6" t="s">
        <v>2091</v>
      </c>
      <c r="B1432" s="4">
        <v>45820</v>
      </c>
      <c r="C1432" s="6" t="s">
        <v>2800</v>
      </c>
      <c r="D1432" s="7">
        <v>0.5083333333333333</v>
      </c>
      <c r="E1432" s="6" t="s">
        <v>16</v>
      </c>
      <c r="F1432" s="6" t="s">
        <v>405</v>
      </c>
      <c r="G1432" s="4">
        <v>26359</v>
      </c>
      <c r="H1432" s="6" t="s">
        <v>199</v>
      </c>
      <c r="I1432">
        <v>168</v>
      </c>
      <c r="J1432">
        <v>1</v>
      </c>
      <c r="K1432">
        <v>169</v>
      </c>
      <c r="L1432" s="6" t="s">
        <v>19</v>
      </c>
      <c r="M1432" s="6" t="s">
        <v>37</v>
      </c>
      <c r="N1432" s="6" t="s">
        <v>105</v>
      </c>
    </row>
    <row r="1433" spans="1:14" x14ac:dyDescent="0.25">
      <c r="A1433" s="6" t="s">
        <v>2092</v>
      </c>
      <c r="B1433" s="4">
        <v>45940</v>
      </c>
      <c r="C1433" s="6" t="s">
        <v>2791</v>
      </c>
      <c r="D1433" s="7">
        <v>0.44722222222222224</v>
      </c>
      <c r="E1433" s="6" t="s">
        <v>16</v>
      </c>
      <c r="F1433" s="6" t="s">
        <v>140</v>
      </c>
      <c r="G1433" s="4">
        <v>30672</v>
      </c>
      <c r="H1433" s="6" t="s">
        <v>104</v>
      </c>
      <c r="I1433">
        <v>330</v>
      </c>
      <c r="J1433">
        <v>2</v>
      </c>
      <c r="K1433">
        <v>661</v>
      </c>
      <c r="L1433" s="6" t="s">
        <v>67</v>
      </c>
      <c r="M1433" s="6" t="s">
        <v>55</v>
      </c>
      <c r="N1433" s="6" t="s">
        <v>56</v>
      </c>
    </row>
    <row r="1434" spans="1:14" x14ac:dyDescent="0.25">
      <c r="A1434" s="6" t="s">
        <v>2093</v>
      </c>
      <c r="B1434" s="4">
        <v>45957</v>
      </c>
      <c r="C1434" s="6" t="s">
        <v>2791</v>
      </c>
      <c r="D1434" s="7">
        <v>0.46736111111111112</v>
      </c>
      <c r="E1434" s="6" t="s">
        <v>16</v>
      </c>
      <c r="F1434" s="6" t="s">
        <v>59</v>
      </c>
      <c r="G1434" s="4">
        <v>30672</v>
      </c>
      <c r="H1434" s="6" t="s">
        <v>141</v>
      </c>
      <c r="I1434">
        <v>113</v>
      </c>
      <c r="J1434">
        <v>1</v>
      </c>
      <c r="K1434">
        <v>114</v>
      </c>
      <c r="L1434" s="6" t="s">
        <v>19</v>
      </c>
      <c r="M1434" s="6" t="s">
        <v>61</v>
      </c>
      <c r="N1434" s="6" t="s">
        <v>48</v>
      </c>
    </row>
    <row r="1435" spans="1:14" x14ac:dyDescent="0.25">
      <c r="A1435" s="6" t="s">
        <v>2094</v>
      </c>
      <c r="B1435" s="4">
        <v>45719</v>
      </c>
      <c r="C1435" s="6" t="s">
        <v>2798</v>
      </c>
      <c r="D1435" s="7">
        <v>0.80555555555555558</v>
      </c>
      <c r="E1435" s="6" t="s">
        <v>16</v>
      </c>
      <c r="F1435" s="6" t="s">
        <v>2095</v>
      </c>
      <c r="G1435" s="4">
        <v>27946</v>
      </c>
      <c r="H1435" s="6" t="s">
        <v>145</v>
      </c>
      <c r="I1435">
        <v>293</v>
      </c>
      <c r="J1435">
        <v>2</v>
      </c>
      <c r="K1435">
        <v>588</v>
      </c>
      <c r="L1435" s="6" t="s">
        <v>2787</v>
      </c>
      <c r="M1435" s="6" t="s">
        <v>20</v>
      </c>
      <c r="N1435" s="6" t="s">
        <v>48</v>
      </c>
    </row>
    <row r="1436" spans="1:14" x14ac:dyDescent="0.25">
      <c r="A1436" s="6" t="s">
        <v>2096</v>
      </c>
      <c r="B1436" s="4">
        <v>45946</v>
      </c>
      <c r="C1436" s="6" t="s">
        <v>2791</v>
      </c>
      <c r="D1436" s="7">
        <v>0.75416666666666665</v>
      </c>
      <c r="E1436" s="6" t="s">
        <v>16</v>
      </c>
      <c r="F1436" s="6" t="s">
        <v>154</v>
      </c>
      <c r="G1436" s="4">
        <v>27946</v>
      </c>
      <c r="H1436" s="6" t="s">
        <v>259</v>
      </c>
      <c r="I1436">
        <v>237</v>
      </c>
      <c r="J1436">
        <v>3</v>
      </c>
      <c r="K1436">
        <v>714</v>
      </c>
      <c r="L1436" s="6" t="s">
        <v>2787</v>
      </c>
      <c r="M1436" s="6" t="s">
        <v>61</v>
      </c>
      <c r="N1436" s="6" t="s">
        <v>56</v>
      </c>
    </row>
    <row r="1437" spans="1:14" x14ac:dyDescent="0.25">
      <c r="A1437" s="6" t="s">
        <v>2097</v>
      </c>
      <c r="B1437" s="4">
        <v>45627</v>
      </c>
      <c r="C1437" s="6" t="s">
        <v>2796</v>
      </c>
      <c r="D1437" s="7">
        <v>0.69513888888888886</v>
      </c>
      <c r="E1437" s="6" t="s">
        <v>16</v>
      </c>
      <c r="F1437" s="6" t="s">
        <v>397</v>
      </c>
      <c r="G1437" s="4">
        <v>30305</v>
      </c>
      <c r="H1437" s="6" t="s">
        <v>213</v>
      </c>
      <c r="I1437">
        <v>235</v>
      </c>
      <c r="J1437">
        <v>1</v>
      </c>
      <c r="K1437">
        <v>235</v>
      </c>
      <c r="L1437" s="6" t="s">
        <v>67</v>
      </c>
      <c r="M1437" s="6" t="s">
        <v>89</v>
      </c>
      <c r="N1437" s="6" t="s">
        <v>56</v>
      </c>
    </row>
    <row r="1438" spans="1:14" x14ac:dyDescent="0.25">
      <c r="A1438" s="6" t="s">
        <v>2098</v>
      </c>
      <c r="B1438" s="4">
        <v>45809</v>
      </c>
      <c r="C1438" s="6" t="s">
        <v>2800</v>
      </c>
      <c r="D1438" s="7">
        <v>0.59583333333333333</v>
      </c>
      <c r="E1438" s="6" t="s">
        <v>16</v>
      </c>
      <c r="F1438" s="6" t="s">
        <v>101</v>
      </c>
      <c r="G1438" s="4">
        <v>35926</v>
      </c>
      <c r="H1438" s="6" t="s">
        <v>45</v>
      </c>
      <c r="I1438">
        <v>166</v>
      </c>
      <c r="J1438">
        <v>2</v>
      </c>
      <c r="K1438">
        <v>333</v>
      </c>
      <c r="L1438" s="6" t="s">
        <v>41</v>
      </c>
      <c r="M1438" s="6" t="s">
        <v>61</v>
      </c>
      <c r="N1438" s="6" t="s">
        <v>27</v>
      </c>
    </row>
    <row r="1439" spans="1:14" x14ac:dyDescent="0.25">
      <c r="A1439" s="6" t="s">
        <v>2099</v>
      </c>
      <c r="B1439" s="4">
        <v>45920</v>
      </c>
      <c r="C1439" s="6" t="s">
        <v>2797</v>
      </c>
      <c r="D1439" s="7">
        <v>0.83680555555555558</v>
      </c>
      <c r="E1439" s="6" t="s">
        <v>16</v>
      </c>
      <c r="F1439" s="6" t="s">
        <v>334</v>
      </c>
      <c r="G1439" s="4">
        <v>32894</v>
      </c>
      <c r="H1439" s="6" t="s">
        <v>93</v>
      </c>
      <c r="I1439">
        <v>224</v>
      </c>
      <c r="J1439">
        <v>2</v>
      </c>
      <c r="K1439">
        <v>448</v>
      </c>
      <c r="L1439" s="6" t="s">
        <v>67</v>
      </c>
      <c r="M1439" s="6" t="s">
        <v>26</v>
      </c>
      <c r="N1439" s="6" t="s">
        <v>33</v>
      </c>
    </row>
    <row r="1440" spans="1:14" x14ac:dyDescent="0.25">
      <c r="A1440" s="6" t="s">
        <v>2100</v>
      </c>
      <c r="B1440" s="4">
        <v>45747</v>
      </c>
      <c r="C1440" s="6" t="s">
        <v>2798</v>
      </c>
      <c r="D1440" s="7">
        <v>0.6743055555555556</v>
      </c>
      <c r="E1440" s="6" t="s">
        <v>16</v>
      </c>
      <c r="F1440" s="6" t="s">
        <v>334</v>
      </c>
      <c r="G1440" s="4">
        <v>37051</v>
      </c>
      <c r="H1440" s="6" t="s">
        <v>40</v>
      </c>
      <c r="I1440">
        <v>218</v>
      </c>
      <c r="J1440">
        <v>3</v>
      </c>
      <c r="K1440">
        <v>656</v>
      </c>
      <c r="L1440" s="6" t="s">
        <v>19</v>
      </c>
      <c r="M1440" s="6" t="s">
        <v>55</v>
      </c>
      <c r="N1440" s="6" t="s">
        <v>33</v>
      </c>
    </row>
    <row r="1441" spans="1:14" x14ac:dyDescent="0.25">
      <c r="A1441" s="6" t="s">
        <v>2102</v>
      </c>
      <c r="B1441" s="4">
        <v>45700</v>
      </c>
      <c r="C1441" s="6" t="s">
        <v>2799</v>
      </c>
      <c r="D1441" s="7">
        <v>0.86275462962962968</v>
      </c>
      <c r="E1441" s="6" t="s">
        <v>16</v>
      </c>
      <c r="F1441" s="6" t="s">
        <v>229</v>
      </c>
      <c r="G1441" s="4">
        <v>34467</v>
      </c>
      <c r="H1441" s="6" t="s">
        <v>243</v>
      </c>
      <c r="I1441">
        <v>141</v>
      </c>
      <c r="J1441">
        <v>1</v>
      </c>
      <c r="K1441">
        <v>141</v>
      </c>
      <c r="L1441" s="6" t="s">
        <v>2787</v>
      </c>
      <c r="M1441" s="6" t="s">
        <v>47</v>
      </c>
      <c r="N1441" s="6" t="s">
        <v>27</v>
      </c>
    </row>
    <row r="1442" spans="1:14" x14ac:dyDescent="0.25">
      <c r="A1442" s="6" t="s">
        <v>2104</v>
      </c>
      <c r="B1442" s="4">
        <v>45799</v>
      </c>
      <c r="C1442" s="6" t="s">
        <v>2792</v>
      </c>
      <c r="D1442" s="7">
        <v>0.81736111111111109</v>
      </c>
      <c r="E1442" s="6" t="s">
        <v>16</v>
      </c>
      <c r="F1442" s="6" t="s">
        <v>338</v>
      </c>
      <c r="G1442" s="4">
        <v>33919</v>
      </c>
      <c r="H1442" s="6" t="s">
        <v>129</v>
      </c>
      <c r="I1442">
        <v>198</v>
      </c>
      <c r="J1442">
        <v>2</v>
      </c>
      <c r="K1442">
        <v>397</v>
      </c>
      <c r="L1442" s="6" t="s">
        <v>19</v>
      </c>
      <c r="M1442" s="6" t="s">
        <v>55</v>
      </c>
      <c r="N1442" s="6" t="s">
        <v>56</v>
      </c>
    </row>
    <row r="1443" spans="1:14" x14ac:dyDescent="0.25">
      <c r="A1443" s="6" t="s">
        <v>2105</v>
      </c>
      <c r="B1443" s="4">
        <v>45712</v>
      </c>
      <c r="C1443" s="6" t="s">
        <v>2799</v>
      </c>
      <c r="D1443" s="7">
        <v>0.94305555555555554</v>
      </c>
      <c r="E1443" s="6" t="s">
        <v>16</v>
      </c>
      <c r="F1443" s="6" t="s">
        <v>1081</v>
      </c>
      <c r="G1443" s="4">
        <v>30705</v>
      </c>
      <c r="H1443" s="6" t="s">
        <v>199</v>
      </c>
      <c r="I1443">
        <v>171</v>
      </c>
      <c r="J1443">
        <v>3</v>
      </c>
      <c r="K1443">
        <v>514</v>
      </c>
      <c r="L1443" s="6" t="s">
        <v>54</v>
      </c>
      <c r="M1443" s="6" t="s">
        <v>32</v>
      </c>
      <c r="N1443" s="6" t="s">
        <v>105</v>
      </c>
    </row>
    <row r="1444" spans="1:14" x14ac:dyDescent="0.25">
      <c r="A1444" s="6" t="s">
        <v>2106</v>
      </c>
      <c r="B1444" s="4">
        <v>45867</v>
      </c>
      <c r="C1444" s="6" t="s">
        <v>2795</v>
      </c>
      <c r="D1444" s="7">
        <v>0.44331018518518517</v>
      </c>
      <c r="E1444" s="6" t="s">
        <v>16</v>
      </c>
      <c r="F1444" s="6" t="s">
        <v>299</v>
      </c>
      <c r="G1444" s="4">
        <v>26133</v>
      </c>
      <c r="H1444" s="6" t="s">
        <v>213</v>
      </c>
      <c r="I1444">
        <v>261</v>
      </c>
      <c r="J1444">
        <v>2</v>
      </c>
      <c r="K1444">
        <v>522</v>
      </c>
      <c r="L1444" s="6" t="s">
        <v>19</v>
      </c>
      <c r="M1444" s="6" t="s">
        <v>61</v>
      </c>
      <c r="N1444" s="6" t="s">
        <v>27</v>
      </c>
    </row>
    <row r="1445" spans="1:14" x14ac:dyDescent="0.25">
      <c r="A1445" s="6" t="s">
        <v>2108</v>
      </c>
      <c r="B1445" s="4">
        <v>45905</v>
      </c>
      <c r="C1445" s="6" t="s">
        <v>2797</v>
      </c>
      <c r="D1445" s="7">
        <v>0.54913194444444446</v>
      </c>
      <c r="E1445" s="6" t="s">
        <v>16</v>
      </c>
      <c r="F1445" s="6" t="s">
        <v>39</v>
      </c>
      <c r="G1445" s="4">
        <v>36898</v>
      </c>
      <c r="H1445" s="6" t="s">
        <v>129</v>
      </c>
      <c r="I1445">
        <v>176</v>
      </c>
      <c r="J1445">
        <v>2</v>
      </c>
      <c r="K1445">
        <v>353</v>
      </c>
      <c r="L1445" s="6" t="s">
        <v>41</v>
      </c>
      <c r="M1445" s="6" t="s">
        <v>47</v>
      </c>
      <c r="N1445" s="6" t="s">
        <v>27</v>
      </c>
    </row>
    <row r="1446" spans="1:14" x14ac:dyDescent="0.25">
      <c r="A1446" s="6" t="s">
        <v>2109</v>
      </c>
      <c r="B1446" s="4">
        <v>45912</v>
      </c>
      <c r="C1446" s="6" t="s">
        <v>2797</v>
      </c>
      <c r="D1446" s="7">
        <v>0.70208333333333328</v>
      </c>
      <c r="E1446" s="6" t="s">
        <v>16</v>
      </c>
      <c r="F1446" s="6" t="s">
        <v>322</v>
      </c>
      <c r="G1446" s="4">
        <v>40228</v>
      </c>
      <c r="H1446" s="6" t="s">
        <v>73</v>
      </c>
      <c r="I1446">
        <v>50</v>
      </c>
      <c r="J1446">
        <v>1</v>
      </c>
      <c r="K1446">
        <v>51</v>
      </c>
      <c r="L1446" s="6" t="s">
        <v>2787</v>
      </c>
      <c r="M1446" s="6" t="s">
        <v>26</v>
      </c>
      <c r="N1446" s="6" t="s">
        <v>33</v>
      </c>
    </row>
    <row r="1447" spans="1:14" x14ac:dyDescent="0.25">
      <c r="A1447" s="6" t="s">
        <v>2111</v>
      </c>
      <c r="B1447" s="4">
        <v>45793</v>
      </c>
      <c r="C1447" s="6" t="s">
        <v>2792</v>
      </c>
      <c r="D1447" s="7">
        <v>0.88045138888888885</v>
      </c>
      <c r="E1447" s="6" t="s">
        <v>16</v>
      </c>
      <c r="F1447" s="6" t="s">
        <v>29</v>
      </c>
      <c r="G1447" s="4">
        <v>28104</v>
      </c>
      <c r="H1447" s="6" t="s">
        <v>243</v>
      </c>
      <c r="I1447">
        <v>140</v>
      </c>
      <c r="J1447">
        <v>2</v>
      </c>
      <c r="K1447">
        <v>281</v>
      </c>
      <c r="L1447" s="6" t="s">
        <v>2787</v>
      </c>
      <c r="M1447" s="6" t="s">
        <v>61</v>
      </c>
      <c r="N1447" s="6" t="s">
        <v>33</v>
      </c>
    </row>
    <row r="1448" spans="1:14" x14ac:dyDescent="0.25">
      <c r="A1448" s="6" t="s">
        <v>2113</v>
      </c>
      <c r="B1448" s="4">
        <v>45649</v>
      </c>
      <c r="C1448" s="6" t="s">
        <v>2796</v>
      </c>
      <c r="D1448" s="7">
        <v>0.77361111111111114</v>
      </c>
      <c r="E1448" s="6" t="s">
        <v>16</v>
      </c>
      <c r="F1448" s="6" t="s">
        <v>328</v>
      </c>
      <c r="G1448" s="4">
        <v>25951</v>
      </c>
      <c r="H1448" s="6" t="s">
        <v>24</v>
      </c>
      <c r="I1448">
        <v>202</v>
      </c>
      <c r="J1448">
        <v>2</v>
      </c>
      <c r="K1448">
        <v>421</v>
      </c>
      <c r="L1448" s="6" t="s">
        <v>2787</v>
      </c>
      <c r="M1448" s="6" t="s">
        <v>26</v>
      </c>
      <c r="N1448" s="6" t="s">
        <v>33</v>
      </c>
    </row>
    <row r="1449" spans="1:14" x14ac:dyDescent="0.25">
      <c r="A1449" s="6" t="s">
        <v>2115</v>
      </c>
      <c r="B1449" s="4">
        <v>45967</v>
      </c>
      <c r="C1449" s="6" t="s">
        <v>2802</v>
      </c>
      <c r="D1449" s="7">
        <v>0.59583333333333333</v>
      </c>
      <c r="E1449" s="6" t="s">
        <v>16</v>
      </c>
      <c r="F1449" s="6" t="s">
        <v>397</v>
      </c>
      <c r="G1449" s="4">
        <v>27248</v>
      </c>
      <c r="H1449" s="6" t="s">
        <v>30</v>
      </c>
      <c r="I1449">
        <v>294</v>
      </c>
      <c r="J1449">
        <v>2</v>
      </c>
      <c r="K1449">
        <v>590</v>
      </c>
      <c r="L1449" s="6" t="s">
        <v>67</v>
      </c>
      <c r="M1449" s="6" t="s">
        <v>55</v>
      </c>
      <c r="N1449" s="6" t="s">
        <v>48</v>
      </c>
    </row>
    <row r="1450" spans="1:14" x14ac:dyDescent="0.25">
      <c r="A1450" s="6" t="s">
        <v>2116</v>
      </c>
      <c r="B1450" s="4">
        <v>45967</v>
      </c>
      <c r="C1450" s="6" t="s">
        <v>2802</v>
      </c>
      <c r="D1450" s="7">
        <v>0.54166666666666663</v>
      </c>
      <c r="E1450" s="6" t="s">
        <v>16</v>
      </c>
      <c r="F1450" s="6" t="s">
        <v>63</v>
      </c>
      <c r="G1450" s="4">
        <v>27585</v>
      </c>
      <c r="H1450" s="6" t="s">
        <v>45</v>
      </c>
      <c r="I1450">
        <v>85</v>
      </c>
      <c r="J1450">
        <v>3</v>
      </c>
      <c r="K1450">
        <v>256</v>
      </c>
      <c r="L1450" s="6" t="s">
        <v>19</v>
      </c>
      <c r="M1450" s="6" t="s">
        <v>47</v>
      </c>
      <c r="N1450" s="6" t="s">
        <v>27</v>
      </c>
    </row>
    <row r="1451" spans="1:14" x14ac:dyDescent="0.25">
      <c r="A1451" s="6" t="s">
        <v>2117</v>
      </c>
      <c r="B1451" s="4">
        <v>45803</v>
      </c>
      <c r="C1451" s="6" t="s">
        <v>2792</v>
      </c>
      <c r="D1451" s="7">
        <v>0.45763888888888887</v>
      </c>
      <c r="E1451" s="6" t="s">
        <v>16</v>
      </c>
      <c r="F1451" s="6" t="s">
        <v>84</v>
      </c>
      <c r="G1451" s="4">
        <v>31154</v>
      </c>
      <c r="H1451" s="6" t="s">
        <v>199</v>
      </c>
      <c r="I1451">
        <v>85</v>
      </c>
      <c r="J1451">
        <v>2</v>
      </c>
      <c r="K1451">
        <v>256</v>
      </c>
      <c r="L1451" s="6" t="s">
        <v>19</v>
      </c>
      <c r="M1451" s="6" t="s">
        <v>55</v>
      </c>
      <c r="N1451" s="6" t="s">
        <v>56</v>
      </c>
    </row>
    <row r="1452" spans="1:14" x14ac:dyDescent="0.25">
      <c r="A1452" s="6" t="s">
        <v>2118</v>
      </c>
      <c r="B1452" s="4">
        <v>45972</v>
      </c>
      <c r="C1452" s="6" t="s">
        <v>2802</v>
      </c>
      <c r="D1452" s="7">
        <v>0.6875</v>
      </c>
      <c r="E1452" s="6" t="s">
        <v>16</v>
      </c>
      <c r="F1452" s="6" t="s">
        <v>397</v>
      </c>
      <c r="G1452" s="4">
        <v>40125</v>
      </c>
      <c r="H1452" s="6" t="s">
        <v>85</v>
      </c>
      <c r="I1452">
        <v>134</v>
      </c>
      <c r="J1452">
        <v>3</v>
      </c>
      <c r="K1452">
        <v>404</v>
      </c>
      <c r="L1452" s="6" t="s">
        <v>67</v>
      </c>
      <c r="M1452" s="6" t="s">
        <v>20</v>
      </c>
      <c r="N1452" s="6" t="s">
        <v>56</v>
      </c>
    </row>
    <row r="1453" spans="1:14" x14ac:dyDescent="0.25">
      <c r="A1453" s="6" t="s">
        <v>2119</v>
      </c>
      <c r="B1453" s="4">
        <v>45693</v>
      </c>
      <c r="C1453" s="6" t="s">
        <v>2799</v>
      </c>
      <c r="D1453" s="7">
        <v>0.43611111111111112</v>
      </c>
      <c r="E1453" s="6" t="s">
        <v>16</v>
      </c>
      <c r="F1453" s="6" t="s">
        <v>158</v>
      </c>
      <c r="G1453" s="4">
        <v>27559</v>
      </c>
      <c r="H1453" s="6" t="s">
        <v>24</v>
      </c>
      <c r="I1453">
        <v>274</v>
      </c>
      <c r="J1453">
        <v>1</v>
      </c>
      <c r="K1453">
        <v>275</v>
      </c>
      <c r="L1453" s="6" t="s">
        <v>41</v>
      </c>
      <c r="M1453" s="6" t="s">
        <v>55</v>
      </c>
      <c r="N1453" s="6" t="s">
        <v>48</v>
      </c>
    </row>
    <row r="1454" spans="1:14" x14ac:dyDescent="0.25">
      <c r="A1454" s="6" t="s">
        <v>2120</v>
      </c>
      <c r="B1454" s="4">
        <v>45767</v>
      </c>
      <c r="C1454" s="6" t="s">
        <v>2801</v>
      </c>
      <c r="D1454" s="7">
        <v>0.44111111111111112</v>
      </c>
      <c r="E1454" s="6" t="s">
        <v>16</v>
      </c>
      <c r="F1454" s="6" t="s">
        <v>471</v>
      </c>
      <c r="G1454" s="4">
        <v>33425</v>
      </c>
      <c r="H1454" s="6" t="s">
        <v>116</v>
      </c>
      <c r="I1454">
        <v>121</v>
      </c>
      <c r="J1454">
        <v>1</v>
      </c>
      <c r="K1454">
        <v>121</v>
      </c>
      <c r="L1454" s="6" t="s">
        <v>19</v>
      </c>
      <c r="M1454" s="6" t="s">
        <v>26</v>
      </c>
      <c r="N1454" s="6" t="s">
        <v>33</v>
      </c>
    </row>
    <row r="1455" spans="1:14" x14ac:dyDescent="0.25">
      <c r="A1455" s="6" t="s">
        <v>2121</v>
      </c>
      <c r="B1455" s="4">
        <v>45825</v>
      </c>
      <c r="C1455" s="6" t="s">
        <v>2800</v>
      </c>
      <c r="D1455" s="7">
        <v>0.68320601851851848</v>
      </c>
      <c r="E1455" s="6" t="s">
        <v>16</v>
      </c>
      <c r="F1455" s="6" t="s">
        <v>528</v>
      </c>
      <c r="G1455" s="4">
        <v>31724</v>
      </c>
      <c r="H1455" s="6" t="s">
        <v>116</v>
      </c>
      <c r="I1455">
        <v>223</v>
      </c>
      <c r="J1455">
        <v>2</v>
      </c>
      <c r="K1455">
        <v>448</v>
      </c>
      <c r="L1455" s="6" t="s">
        <v>19</v>
      </c>
      <c r="M1455" s="6" t="s">
        <v>37</v>
      </c>
      <c r="N1455" s="6" t="s">
        <v>48</v>
      </c>
    </row>
    <row r="1456" spans="1:14" x14ac:dyDescent="0.25">
      <c r="A1456" s="6" t="s">
        <v>2122</v>
      </c>
      <c r="B1456" s="4">
        <v>45790</v>
      </c>
      <c r="C1456" s="6" t="s">
        <v>2792</v>
      </c>
      <c r="D1456" s="7">
        <v>0.48194444444444445</v>
      </c>
      <c r="E1456" s="6" t="s">
        <v>16</v>
      </c>
      <c r="F1456" s="6" t="s">
        <v>44</v>
      </c>
      <c r="G1456" s="4">
        <v>38783</v>
      </c>
      <c r="H1456" s="6" t="s">
        <v>110</v>
      </c>
      <c r="I1456">
        <v>106</v>
      </c>
      <c r="J1456">
        <v>3</v>
      </c>
      <c r="K1456">
        <v>319</v>
      </c>
      <c r="L1456" s="6" t="s">
        <v>19</v>
      </c>
      <c r="M1456" s="6" t="s">
        <v>20</v>
      </c>
      <c r="N1456" s="6" t="s">
        <v>21</v>
      </c>
    </row>
    <row r="1457" spans="1:14" x14ac:dyDescent="0.25">
      <c r="A1457" s="6" t="s">
        <v>2123</v>
      </c>
      <c r="B1457" s="4">
        <v>45618</v>
      </c>
      <c r="C1457" s="6" t="s">
        <v>2802</v>
      </c>
      <c r="D1457" s="7">
        <v>0.8930555555555556</v>
      </c>
      <c r="E1457" s="6" t="s">
        <v>16</v>
      </c>
      <c r="F1457" s="6" t="s">
        <v>1010</v>
      </c>
      <c r="G1457" s="4">
        <v>37591</v>
      </c>
      <c r="H1457" s="6" t="s">
        <v>145</v>
      </c>
      <c r="I1457">
        <v>184</v>
      </c>
      <c r="J1457">
        <v>2</v>
      </c>
      <c r="L1457" s="6" t="s">
        <v>19</v>
      </c>
      <c r="M1457" s="6" t="s">
        <v>47</v>
      </c>
      <c r="N1457" s="6" t="s">
        <v>33</v>
      </c>
    </row>
    <row r="1458" spans="1:14" x14ac:dyDescent="0.25">
      <c r="A1458" s="6" t="s">
        <v>2125</v>
      </c>
      <c r="B1458" s="4">
        <v>45964</v>
      </c>
      <c r="C1458" s="6" t="s">
        <v>2802</v>
      </c>
      <c r="D1458" s="7">
        <v>0.80486111111111114</v>
      </c>
      <c r="E1458" s="6" t="s">
        <v>16</v>
      </c>
      <c r="F1458" s="6" t="s">
        <v>1427</v>
      </c>
      <c r="G1458" s="4">
        <v>29739</v>
      </c>
      <c r="H1458" s="6" t="s">
        <v>116</v>
      </c>
      <c r="I1458">
        <v>197</v>
      </c>
      <c r="J1458">
        <v>1</v>
      </c>
      <c r="K1458">
        <v>197</v>
      </c>
      <c r="L1458" s="6" t="s">
        <v>19</v>
      </c>
      <c r="M1458" s="6" t="s">
        <v>32</v>
      </c>
      <c r="N1458" s="6" t="s">
        <v>33</v>
      </c>
    </row>
    <row r="1459" spans="1:14" x14ac:dyDescent="0.25">
      <c r="A1459" s="6" t="s">
        <v>2127</v>
      </c>
      <c r="B1459" s="4">
        <v>45724</v>
      </c>
      <c r="C1459" s="6" t="s">
        <v>2798</v>
      </c>
      <c r="D1459" s="7">
        <v>0.46083333333333332</v>
      </c>
      <c r="E1459" s="6" t="s">
        <v>16</v>
      </c>
      <c r="F1459" s="6" t="s">
        <v>66</v>
      </c>
      <c r="G1459" s="4">
        <v>28332</v>
      </c>
      <c r="H1459" s="6" t="s">
        <v>53</v>
      </c>
      <c r="I1459">
        <v>99</v>
      </c>
      <c r="J1459">
        <v>1</v>
      </c>
      <c r="K1459">
        <v>99</v>
      </c>
      <c r="L1459" s="6" t="s">
        <v>67</v>
      </c>
      <c r="M1459" s="6" t="s">
        <v>20</v>
      </c>
      <c r="N1459" s="6" t="s">
        <v>33</v>
      </c>
    </row>
    <row r="1460" spans="1:14" x14ac:dyDescent="0.25">
      <c r="A1460" s="6" t="s">
        <v>2128</v>
      </c>
      <c r="B1460" s="4">
        <v>45785</v>
      </c>
      <c r="C1460" s="6" t="s">
        <v>2792</v>
      </c>
      <c r="D1460" s="7">
        <v>0.60069444444444442</v>
      </c>
      <c r="E1460" s="6" t="s">
        <v>16</v>
      </c>
      <c r="F1460" s="6" t="s">
        <v>191</v>
      </c>
      <c r="G1460" s="4">
        <v>29768</v>
      </c>
      <c r="H1460" s="6" t="s">
        <v>77</v>
      </c>
      <c r="I1460">
        <v>203</v>
      </c>
      <c r="J1460">
        <v>1</v>
      </c>
      <c r="K1460">
        <v>203</v>
      </c>
      <c r="L1460" s="6" t="s">
        <v>54</v>
      </c>
      <c r="M1460" s="6" t="s">
        <v>89</v>
      </c>
      <c r="N1460" s="6" t="s">
        <v>21</v>
      </c>
    </row>
    <row r="1461" spans="1:14" x14ac:dyDescent="0.25">
      <c r="A1461" s="6" t="s">
        <v>2129</v>
      </c>
      <c r="B1461" s="4">
        <v>45765</v>
      </c>
      <c r="C1461" s="6" t="s">
        <v>2801</v>
      </c>
      <c r="D1461" s="7">
        <v>0.67638888888888893</v>
      </c>
      <c r="E1461" s="6" t="s">
        <v>16</v>
      </c>
      <c r="F1461" s="6" t="s">
        <v>562</v>
      </c>
      <c r="G1461" s="4">
        <v>34384</v>
      </c>
      <c r="H1461" s="6" t="s">
        <v>202</v>
      </c>
      <c r="I1461">
        <v>228</v>
      </c>
      <c r="J1461">
        <v>1</v>
      </c>
      <c r="K1461">
        <v>229</v>
      </c>
      <c r="L1461" s="6" t="s">
        <v>41</v>
      </c>
      <c r="M1461" s="6" t="s">
        <v>26</v>
      </c>
      <c r="N1461" s="6" t="s">
        <v>33</v>
      </c>
    </row>
    <row r="1462" spans="1:14" x14ac:dyDescent="0.25">
      <c r="A1462" s="6" t="s">
        <v>2130</v>
      </c>
      <c r="B1462" s="4">
        <v>45757</v>
      </c>
      <c r="C1462" s="6" t="s">
        <v>2801</v>
      </c>
      <c r="D1462" s="7">
        <v>0.66180555555555554</v>
      </c>
      <c r="E1462" s="6" t="s">
        <v>16</v>
      </c>
      <c r="F1462" s="6" t="s">
        <v>2131</v>
      </c>
      <c r="G1462" s="4">
        <v>29750</v>
      </c>
      <c r="H1462" s="6" t="s">
        <v>24</v>
      </c>
      <c r="I1462">
        <v>229</v>
      </c>
      <c r="J1462">
        <v>2</v>
      </c>
      <c r="K1462">
        <v>458</v>
      </c>
      <c r="L1462" s="6" t="s">
        <v>2787</v>
      </c>
      <c r="M1462" s="6" t="s">
        <v>26</v>
      </c>
      <c r="N1462" s="6" t="s">
        <v>33</v>
      </c>
    </row>
    <row r="1463" spans="1:14" x14ac:dyDescent="0.25">
      <c r="A1463" s="6" t="s">
        <v>2132</v>
      </c>
      <c r="B1463" s="4">
        <v>45821</v>
      </c>
      <c r="C1463" s="6" t="s">
        <v>2800</v>
      </c>
      <c r="D1463" s="7">
        <v>0.68863425925925925</v>
      </c>
      <c r="E1463" s="6" t="s">
        <v>16</v>
      </c>
      <c r="F1463" s="6" t="s">
        <v>198</v>
      </c>
      <c r="G1463" s="4">
        <v>28638</v>
      </c>
      <c r="H1463" s="6" t="s">
        <v>129</v>
      </c>
      <c r="I1463">
        <v>170</v>
      </c>
      <c r="J1463">
        <v>1</v>
      </c>
      <c r="K1463">
        <v>170</v>
      </c>
      <c r="L1463" s="6" t="s">
        <v>2787</v>
      </c>
      <c r="M1463" s="6" t="s">
        <v>89</v>
      </c>
      <c r="N1463" s="6" t="s">
        <v>33</v>
      </c>
    </row>
    <row r="1464" spans="1:14" x14ac:dyDescent="0.25">
      <c r="A1464" s="6" t="s">
        <v>2133</v>
      </c>
      <c r="B1464" s="4">
        <v>45903</v>
      </c>
      <c r="C1464" s="6" t="s">
        <v>2797</v>
      </c>
      <c r="D1464" s="7">
        <v>0.70390046296296294</v>
      </c>
      <c r="E1464" s="6" t="s">
        <v>16</v>
      </c>
      <c r="F1464" s="6" t="s">
        <v>107</v>
      </c>
      <c r="G1464" s="4">
        <v>34531</v>
      </c>
      <c r="H1464" s="6" t="s">
        <v>77</v>
      </c>
      <c r="I1464">
        <v>36</v>
      </c>
      <c r="J1464">
        <v>3</v>
      </c>
      <c r="K1464">
        <v>108</v>
      </c>
      <c r="L1464" s="6" t="s">
        <v>54</v>
      </c>
      <c r="M1464" s="6" t="s">
        <v>89</v>
      </c>
      <c r="N1464" s="6" t="s">
        <v>105</v>
      </c>
    </row>
    <row r="1465" spans="1:14" x14ac:dyDescent="0.25">
      <c r="A1465" s="6" t="s">
        <v>2134</v>
      </c>
      <c r="B1465" s="4">
        <v>45968</v>
      </c>
      <c r="C1465" s="6" t="s">
        <v>2802</v>
      </c>
      <c r="D1465" s="7">
        <v>0.60347222222222219</v>
      </c>
      <c r="E1465" s="6" t="s">
        <v>16</v>
      </c>
      <c r="F1465" s="6" t="s">
        <v>88</v>
      </c>
      <c r="G1465" s="4">
        <v>31952</v>
      </c>
      <c r="H1465" s="6" t="s">
        <v>243</v>
      </c>
      <c r="I1465">
        <v>157</v>
      </c>
      <c r="J1465">
        <v>1</v>
      </c>
      <c r="K1465">
        <v>158</v>
      </c>
      <c r="L1465" s="6" t="s">
        <v>41</v>
      </c>
      <c r="M1465" s="6" t="s">
        <v>55</v>
      </c>
      <c r="N1465" s="6" t="s">
        <v>33</v>
      </c>
    </row>
    <row r="1466" spans="1:14" x14ac:dyDescent="0.25">
      <c r="A1466" s="6" t="s">
        <v>2135</v>
      </c>
      <c r="B1466" s="4">
        <v>45846</v>
      </c>
      <c r="C1466" s="6" t="s">
        <v>2795</v>
      </c>
      <c r="D1466" s="7">
        <v>0.55555555555555558</v>
      </c>
      <c r="E1466" s="6" t="s">
        <v>16</v>
      </c>
      <c r="F1466" s="6" t="s">
        <v>360</v>
      </c>
      <c r="G1466" s="4">
        <v>31952</v>
      </c>
      <c r="H1466" s="6" t="s">
        <v>259</v>
      </c>
      <c r="I1466">
        <v>86</v>
      </c>
      <c r="J1466">
        <v>2</v>
      </c>
      <c r="K1466">
        <v>173</v>
      </c>
      <c r="L1466" s="6" t="s">
        <v>41</v>
      </c>
      <c r="M1466" s="6" t="s">
        <v>89</v>
      </c>
      <c r="N1466" s="6" t="s">
        <v>74</v>
      </c>
    </row>
    <row r="1467" spans="1:14" x14ac:dyDescent="0.25">
      <c r="A1467" s="6" t="s">
        <v>2136</v>
      </c>
      <c r="B1467" s="4">
        <v>45742</v>
      </c>
      <c r="C1467" s="6" t="s">
        <v>2798</v>
      </c>
      <c r="D1467" s="7">
        <v>0.9375</v>
      </c>
      <c r="E1467" s="6" t="s">
        <v>16</v>
      </c>
      <c r="F1467" s="6" t="s">
        <v>194</v>
      </c>
      <c r="G1467" s="4">
        <v>37805</v>
      </c>
      <c r="H1467" s="6" t="s">
        <v>213</v>
      </c>
      <c r="I1467">
        <v>95</v>
      </c>
      <c r="J1467">
        <v>2</v>
      </c>
      <c r="K1467">
        <v>192</v>
      </c>
      <c r="L1467" s="6" t="s">
        <v>41</v>
      </c>
      <c r="M1467" s="6" t="s">
        <v>89</v>
      </c>
      <c r="N1467" s="6" t="s">
        <v>105</v>
      </c>
    </row>
    <row r="1468" spans="1:14" x14ac:dyDescent="0.25">
      <c r="A1468" s="6" t="s">
        <v>2139</v>
      </c>
      <c r="B1468" s="4">
        <v>45929</v>
      </c>
      <c r="C1468" s="6" t="s">
        <v>2797</v>
      </c>
      <c r="D1468" s="7">
        <v>0.66101851851851856</v>
      </c>
      <c r="E1468" s="6" t="s">
        <v>16</v>
      </c>
      <c r="F1468" s="6" t="s">
        <v>50</v>
      </c>
      <c r="G1468" s="4">
        <v>30873</v>
      </c>
      <c r="H1468" s="6" t="s">
        <v>141</v>
      </c>
      <c r="I1468">
        <v>114</v>
      </c>
      <c r="J1468">
        <v>1</v>
      </c>
      <c r="K1468">
        <v>114</v>
      </c>
      <c r="L1468" s="6" t="s">
        <v>2787</v>
      </c>
      <c r="M1468" s="6" t="s">
        <v>37</v>
      </c>
      <c r="N1468" s="6" t="s">
        <v>105</v>
      </c>
    </row>
    <row r="1469" spans="1:14" x14ac:dyDescent="0.25">
      <c r="A1469" s="6" t="s">
        <v>2140</v>
      </c>
      <c r="B1469" s="4">
        <v>45621</v>
      </c>
      <c r="C1469" s="6" t="s">
        <v>2802</v>
      </c>
      <c r="D1469" s="7">
        <v>0.95902777777777781</v>
      </c>
      <c r="E1469" s="6" t="s">
        <v>16</v>
      </c>
      <c r="F1469" s="6" t="s">
        <v>2141</v>
      </c>
      <c r="G1469" s="4">
        <v>34956</v>
      </c>
      <c r="H1469" s="6" t="s">
        <v>30</v>
      </c>
      <c r="I1469">
        <v>228</v>
      </c>
      <c r="J1469">
        <v>2</v>
      </c>
      <c r="K1469">
        <v>457</v>
      </c>
      <c r="L1469" s="6" t="s">
        <v>2787</v>
      </c>
      <c r="M1469" s="6" t="s">
        <v>37</v>
      </c>
      <c r="N1469" s="6" t="s">
        <v>105</v>
      </c>
    </row>
    <row r="1470" spans="1:14" x14ac:dyDescent="0.25">
      <c r="A1470" s="6" t="s">
        <v>2143</v>
      </c>
      <c r="B1470" s="4">
        <v>45833</v>
      </c>
      <c r="C1470" s="6" t="s">
        <v>2800</v>
      </c>
      <c r="D1470" s="7">
        <v>0.86887731481481478</v>
      </c>
      <c r="E1470" s="6" t="s">
        <v>16</v>
      </c>
      <c r="F1470" s="6" t="s">
        <v>387</v>
      </c>
      <c r="G1470" s="4">
        <v>31145</v>
      </c>
      <c r="H1470" s="6" t="s">
        <v>199</v>
      </c>
      <c r="I1470">
        <v>170</v>
      </c>
      <c r="J1470">
        <v>1</v>
      </c>
      <c r="K1470">
        <v>170</v>
      </c>
      <c r="L1470" s="6" t="s">
        <v>19</v>
      </c>
      <c r="M1470" s="6" t="s">
        <v>55</v>
      </c>
      <c r="N1470" s="6" t="s">
        <v>74</v>
      </c>
    </row>
    <row r="1471" spans="1:14" x14ac:dyDescent="0.25">
      <c r="A1471" s="6" t="s">
        <v>2144</v>
      </c>
      <c r="B1471" s="4">
        <v>45761</v>
      </c>
      <c r="C1471" s="6" t="s">
        <v>2801</v>
      </c>
      <c r="D1471" s="7">
        <v>0.48194444444444445</v>
      </c>
      <c r="E1471" s="6" t="s">
        <v>16</v>
      </c>
      <c r="F1471" s="6" t="s">
        <v>1427</v>
      </c>
      <c r="G1471" s="4">
        <v>40371</v>
      </c>
      <c r="H1471" s="6" t="s">
        <v>141</v>
      </c>
      <c r="I1471">
        <v>133</v>
      </c>
      <c r="J1471">
        <v>2</v>
      </c>
      <c r="K1471">
        <v>268</v>
      </c>
      <c r="L1471" s="6" t="s">
        <v>2787</v>
      </c>
      <c r="M1471" s="6" t="s">
        <v>89</v>
      </c>
      <c r="N1471" s="6" t="s">
        <v>105</v>
      </c>
    </row>
    <row r="1472" spans="1:14" x14ac:dyDescent="0.25">
      <c r="A1472" s="6" t="s">
        <v>2145</v>
      </c>
      <c r="B1472" s="4">
        <v>45655</v>
      </c>
      <c r="C1472" s="6" t="s">
        <v>2796</v>
      </c>
      <c r="D1472" s="7">
        <v>0.89722222222222225</v>
      </c>
      <c r="E1472" s="6" t="s">
        <v>16</v>
      </c>
      <c r="F1472" s="6" t="s">
        <v>420</v>
      </c>
      <c r="G1472" s="4">
        <v>30494</v>
      </c>
      <c r="H1472" s="6" t="s">
        <v>93</v>
      </c>
      <c r="I1472">
        <v>223</v>
      </c>
      <c r="J1472">
        <v>1</v>
      </c>
      <c r="K1472">
        <v>224</v>
      </c>
      <c r="L1472" s="6" t="s">
        <v>2787</v>
      </c>
      <c r="M1472" s="6" t="s">
        <v>61</v>
      </c>
      <c r="N1472" s="6" t="s">
        <v>56</v>
      </c>
    </row>
    <row r="1473" spans="1:14" x14ac:dyDescent="0.25">
      <c r="A1473" s="6" t="s">
        <v>2146</v>
      </c>
      <c r="B1473" s="4">
        <v>45654</v>
      </c>
      <c r="C1473" s="6" t="s">
        <v>2796</v>
      </c>
      <c r="D1473" s="7">
        <v>0.91805555555555551</v>
      </c>
      <c r="E1473" s="6" t="s">
        <v>16</v>
      </c>
      <c r="F1473" s="6" t="s">
        <v>118</v>
      </c>
      <c r="G1473" s="4">
        <v>32885</v>
      </c>
      <c r="H1473" s="6" t="s">
        <v>85</v>
      </c>
      <c r="I1473">
        <v>308</v>
      </c>
      <c r="J1473">
        <v>2</v>
      </c>
      <c r="K1473">
        <v>618</v>
      </c>
      <c r="L1473" s="6" t="s">
        <v>19</v>
      </c>
      <c r="M1473" s="6" t="s">
        <v>61</v>
      </c>
      <c r="N1473" s="6" t="s">
        <v>33</v>
      </c>
    </row>
    <row r="1474" spans="1:14" x14ac:dyDescent="0.25">
      <c r="A1474" s="6" t="s">
        <v>2147</v>
      </c>
      <c r="B1474" s="4">
        <v>45944</v>
      </c>
      <c r="C1474" s="6" t="s">
        <v>2791</v>
      </c>
      <c r="D1474" s="7">
        <v>0.57638888888888884</v>
      </c>
      <c r="E1474" s="6" t="s">
        <v>16</v>
      </c>
      <c r="F1474" s="6" t="s">
        <v>324</v>
      </c>
      <c r="G1474" s="4">
        <v>30981</v>
      </c>
      <c r="H1474" s="6" t="s">
        <v>110</v>
      </c>
      <c r="I1474">
        <v>123</v>
      </c>
      <c r="J1474">
        <v>1</v>
      </c>
      <c r="K1474">
        <v>124</v>
      </c>
      <c r="L1474" s="6" t="s">
        <v>67</v>
      </c>
      <c r="M1474" s="6" t="s">
        <v>55</v>
      </c>
      <c r="N1474" s="6" t="s">
        <v>56</v>
      </c>
    </row>
    <row r="1475" spans="1:14" x14ac:dyDescent="0.25">
      <c r="A1475" s="6" t="s">
        <v>2148</v>
      </c>
      <c r="B1475" s="4">
        <v>45967</v>
      </c>
      <c r="C1475" s="6" t="s">
        <v>2802</v>
      </c>
      <c r="D1475" s="7">
        <v>0.95989583333333328</v>
      </c>
      <c r="E1475" s="6" t="s">
        <v>16</v>
      </c>
      <c r="F1475" s="6" t="s">
        <v>109</v>
      </c>
      <c r="G1475" s="4">
        <v>30981</v>
      </c>
      <c r="H1475" s="6" t="s">
        <v>129</v>
      </c>
      <c r="I1475">
        <v>198</v>
      </c>
      <c r="J1475">
        <v>3</v>
      </c>
      <c r="K1475">
        <v>596</v>
      </c>
      <c r="L1475" s="6" t="s">
        <v>41</v>
      </c>
      <c r="M1475" s="6" t="s">
        <v>32</v>
      </c>
      <c r="N1475" s="6" t="s">
        <v>56</v>
      </c>
    </row>
    <row r="1476" spans="1:14" x14ac:dyDescent="0.25">
      <c r="A1476" s="6" t="s">
        <v>2149</v>
      </c>
      <c r="B1476" s="4">
        <v>45896</v>
      </c>
      <c r="C1476" s="6" t="s">
        <v>2793</v>
      </c>
      <c r="D1476" s="7">
        <v>0.80208333333333337</v>
      </c>
      <c r="E1476" s="6" t="s">
        <v>16</v>
      </c>
      <c r="F1476" s="6" t="s">
        <v>330</v>
      </c>
      <c r="G1476" s="4">
        <v>33652</v>
      </c>
      <c r="H1476" s="6" t="s">
        <v>213</v>
      </c>
      <c r="I1476">
        <v>139</v>
      </c>
      <c r="J1476">
        <v>1</v>
      </c>
      <c r="K1476">
        <v>140</v>
      </c>
      <c r="L1476" s="6" t="s">
        <v>54</v>
      </c>
      <c r="M1476" s="6" t="s">
        <v>26</v>
      </c>
      <c r="N1476" s="6" t="s">
        <v>56</v>
      </c>
    </row>
    <row r="1477" spans="1:14" x14ac:dyDescent="0.25">
      <c r="A1477" s="6" t="s">
        <v>2150</v>
      </c>
      <c r="B1477" s="4">
        <v>45925</v>
      </c>
      <c r="C1477" s="6" t="s">
        <v>2797</v>
      </c>
      <c r="D1477" s="7">
        <v>0.8618055555555556</v>
      </c>
      <c r="E1477" s="6" t="s">
        <v>16</v>
      </c>
      <c r="F1477" s="6" t="s">
        <v>548</v>
      </c>
      <c r="G1477" s="4">
        <v>26170</v>
      </c>
      <c r="H1477" s="6" t="s">
        <v>202</v>
      </c>
      <c r="I1477">
        <v>72</v>
      </c>
      <c r="J1477">
        <v>3</v>
      </c>
      <c r="K1477">
        <v>216</v>
      </c>
      <c r="L1477" s="6" t="s">
        <v>54</v>
      </c>
      <c r="M1477" s="6" t="s">
        <v>37</v>
      </c>
      <c r="N1477" s="6" t="s">
        <v>105</v>
      </c>
    </row>
    <row r="1478" spans="1:14" x14ac:dyDescent="0.25">
      <c r="A1478" s="6" t="s">
        <v>2151</v>
      </c>
      <c r="B1478" s="4">
        <v>45865</v>
      </c>
      <c r="C1478" s="6" t="s">
        <v>2795</v>
      </c>
      <c r="D1478" s="7">
        <v>0.42777777777777776</v>
      </c>
      <c r="E1478" s="6" t="s">
        <v>16</v>
      </c>
      <c r="F1478" s="6" t="s">
        <v>640</v>
      </c>
      <c r="G1478" s="4">
        <v>26250</v>
      </c>
      <c r="H1478" s="6" t="s">
        <v>77</v>
      </c>
      <c r="I1478">
        <v>239</v>
      </c>
      <c r="J1478">
        <v>1</v>
      </c>
      <c r="K1478">
        <v>100</v>
      </c>
      <c r="L1478" s="6" t="s">
        <v>54</v>
      </c>
      <c r="M1478" s="6" t="s">
        <v>26</v>
      </c>
      <c r="N1478" s="6" t="s">
        <v>105</v>
      </c>
    </row>
    <row r="1479" spans="1:14" x14ac:dyDescent="0.25">
      <c r="A1479" s="6" t="s">
        <v>2152</v>
      </c>
      <c r="B1479" s="4">
        <v>45951</v>
      </c>
      <c r="C1479" s="6" t="s">
        <v>2791</v>
      </c>
      <c r="D1479" s="7">
        <v>0.46111111111111114</v>
      </c>
      <c r="E1479" s="6" t="s">
        <v>16</v>
      </c>
      <c r="F1479" s="6" t="s">
        <v>84</v>
      </c>
      <c r="G1479" s="4">
        <v>27376</v>
      </c>
      <c r="H1479" s="6" t="s">
        <v>202</v>
      </c>
      <c r="I1479">
        <v>125</v>
      </c>
      <c r="J1479">
        <v>2</v>
      </c>
      <c r="K1479">
        <v>250</v>
      </c>
      <c r="L1479" s="6" t="s">
        <v>19</v>
      </c>
      <c r="M1479" s="6" t="s">
        <v>37</v>
      </c>
      <c r="N1479" s="6" t="s">
        <v>105</v>
      </c>
    </row>
    <row r="1480" spans="1:14" x14ac:dyDescent="0.25">
      <c r="A1480" s="6" t="s">
        <v>2153</v>
      </c>
      <c r="B1480" s="4">
        <v>45895</v>
      </c>
      <c r="C1480" s="6" t="s">
        <v>2793</v>
      </c>
      <c r="D1480" s="7">
        <v>0.44513888888888886</v>
      </c>
      <c r="E1480" s="6" t="s">
        <v>16</v>
      </c>
      <c r="F1480" s="6" t="s">
        <v>131</v>
      </c>
      <c r="G1480" s="4">
        <v>30744</v>
      </c>
      <c r="H1480" s="6" t="s">
        <v>141</v>
      </c>
      <c r="I1480">
        <v>112</v>
      </c>
      <c r="J1480">
        <v>1</v>
      </c>
      <c r="K1480">
        <v>112</v>
      </c>
      <c r="L1480" s="6" t="s">
        <v>67</v>
      </c>
      <c r="M1480" s="6" t="s">
        <v>26</v>
      </c>
      <c r="N1480" s="6" t="s">
        <v>74</v>
      </c>
    </row>
    <row r="1481" spans="1:14" x14ac:dyDescent="0.25">
      <c r="A1481" s="6" t="s">
        <v>2154</v>
      </c>
      <c r="B1481" s="4">
        <v>45868</v>
      </c>
      <c r="C1481" s="6" t="s">
        <v>2795</v>
      </c>
      <c r="D1481" s="7">
        <v>0.97152777777777777</v>
      </c>
      <c r="E1481" s="6" t="s">
        <v>16</v>
      </c>
      <c r="F1481" s="6" t="s">
        <v>2155</v>
      </c>
      <c r="G1481" s="4">
        <v>26847</v>
      </c>
      <c r="H1481" s="6" t="s">
        <v>164</v>
      </c>
      <c r="I1481">
        <v>267</v>
      </c>
      <c r="J1481">
        <v>2</v>
      </c>
      <c r="K1481">
        <v>534</v>
      </c>
      <c r="L1481" s="6" t="s">
        <v>54</v>
      </c>
      <c r="M1481" s="6" t="s">
        <v>26</v>
      </c>
      <c r="N1481" s="6" t="s">
        <v>21</v>
      </c>
    </row>
    <row r="1482" spans="1:14" x14ac:dyDescent="0.25">
      <c r="A1482" s="6" t="s">
        <v>2156</v>
      </c>
      <c r="B1482" s="4">
        <v>45850</v>
      </c>
      <c r="C1482" s="6" t="s">
        <v>2795</v>
      </c>
      <c r="D1482" s="7">
        <v>0.93422453703703701</v>
      </c>
      <c r="E1482" s="6" t="s">
        <v>16</v>
      </c>
      <c r="F1482" s="6" t="s">
        <v>144</v>
      </c>
      <c r="G1482" s="4">
        <v>34206</v>
      </c>
      <c r="H1482" s="6" t="s">
        <v>53</v>
      </c>
      <c r="I1482">
        <v>109</v>
      </c>
      <c r="J1482">
        <v>3</v>
      </c>
      <c r="K1482">
        <v>328</v>
      </c>
      <c r="L1482" s="6" t="s">
        <v>54</v>
      </c>
      <c r="M1482" s="6" t="s">
        <v>47</v>
      </c>
      <c r="N1482" s="6" t="s">
        <v>21</v>
      </c>
    </row>
    <row r="1483" spans="1:14" x14ac:dyDescent="0.25">
      <c r="A1483" s="6" t="s">
        <v>2157</v>
      </c>
      <c r="B1483" s="4">
        <v>45887</v>
      </c>
      <c r="C1483" s="6" t="s">
        <v>2793</v>
      </c>
      <c r="D1483" s="7">
        <v>0.63194444444444442</v>
      </c>
      <c r="E1483" s="6" t="s">
        <v>16</v>
      </c>
      <c r="F1483" s="6" t="s">
        <v>140</v>
      </c>
      <c r="G1483" s="4">
        <v>34206</v>
      </c>
      <c r="H1483" s="6" t="s">
        <v>77</v>
      </c>
      <c r="I1483">
        <v>46</v>
      </c>
      <c r="J1483">
        <v>1</v>
      </c>
      <c r="K1483">
        <v>47</v>
      </c>
      <c r="L1483" s="6" t="s">
        <v>54</v>
      </c>
      <c r="M1483" s="6" t="s">
        <v>32</v>
      </c>
      <c r="N1483" s="6" t="s">
        <v>56</v>
      </c>
    </row>
    <row r="1484" spans="1:14" x14ac:dyDescent="0.25">
      <c r="A1484" s="6" t="s">
        <v>2160</v>
      </c>
      <c r="B1484" s="4">
        <v>45751</v>
      </c>
      <c r="C1484" s="6" t="s">
        <v>2801</v>
      </c>
      <c r="D1484" s="7">
        <v>0.94791666666666663</v>
      </c>
      <c r="E1484" s="6" t="s">
        <v>16</v>
      </c>
      <c r="F1484" s="6" t="s">
        <v>232</v>
      </c>
      <c r="G1484" s="4">
        <v>35537</v>
      </c>
      <c r="H1484" s="6" t="s">
        <v>24</v>
      </c>
      <c r="I1484">
        <v>209</v>
      </c>
      <c r="J1484">
        <v>1</v>
      </c>
      <c r="K1484">
        <v>209</v>
      </c>
      <c r="L1484" s="6" t="s">
        <v>54</v>
      </c>
      <c r="M1484" s="6" t="s">
        <v>89</v>
      </c>
      <c r="N1484" s="6" t="s">
        <v>56</v>
      </c>
    </row>
    <row r="1485" spans="1:14" x14ac:dyDescent="0.25">
      <c r="A1485" s="6" t="s">
        <v>2161</v>
      </c>
      <c r="B1485" s="4">
        <v>45943</v>
      </c>
      <c r="C1485" s="6" t="s">
        <v>2791</v>
      </c>
      <c r="D1485" s="7">
        <v>0.78888888888888886</v>
      </c>
      <c r="E1485" s="6" t="s">
        <v>16</v>
      </c>
      <c r="F1485" s="6" t="s">
        <v>131</v>
      </c>
      <c r="G1485" s="4">
        <v>35537</v>
      </c>
      <c r="H1485" s="6" t="s">
        <v>141</v>
      </c>
      <c r="I1485">
        <v>150</v>
      </c>
      <c r="J1485">
        <v>1</v>
      </c>
      <c r="K1485">
        <v>150</v>
      </c>
      <c r="L1485" s="6" t="s">
        <v>41</v>
      </c>
      <c r="M1485" s="6" t="s">
        <v>26</v>
      </c>
      <c r="N1485" s="6" t="s">
        <v>105</v>
      </c>
    </row>
    <row r="1486" spans="1:14" x14ac:dyDescent="0.25">
      <c r="A1486" s="6" t="s">
        <v>2162</v>
      </c>
      <c r="B1486" s="4">
        <v>45906</v>
      </c>
      <c r="C1486" s="6" t="s">
        <v>2797</v>
      </c>
      <c r="D1486" s="7">
        <v>0.98813657407407407</v>
      </c>
      <c r="E1486" s="6" t="s">
        <v>16</v>
      </c>
      <c r="F1486" s="6" t="s">
        <v>204</v>
      </c>
      <c r="G1486" s="4">
        <v>28532</v>
      </c>
      <c r="H1486" s="6" t="s">
        <v>164</v>
      </c>
      <c r="I1486">
        <v>235</v>
      </c>
      <c r="J1486">
        <v>2</v>
      </c>
      <c r="K1486">
        <v>471</v>
      </c>
      <c r="L1486" s="6" t="s">
        <v>67</v>
      </c>
      <c r="M1486" s="6" t="s">
        <v>32</v>
      </c>
      <c r="N1486" s="6" t="s">
        <v>48</v>
      </c>
    </row>
    <row r="1487" spans="1:14" x14ac:dyDescent="0.25">
      <c r="A1487" s="6" t="s">
        <v>2163</v>
      </c>
      <c r="B1487" s="4">
        <v>45835</v>
      </c>
      <c r="C1487" s="6" t="s">
        <v>2800</v>
      </c>
      <c r="D1487" s="7">
        <v>0.56978009259259255</v>
      </c>
      <c r="E1487" s="6" t="s">
        <v>16</v>
      </c>
      <c r="F1487" s="6" t="s">
        <v>764</v>
      </c>
      <c r="G1487" s="4">
        <v>34596</v>
      </c>
      <c r="H1487" s="6" t="s">
        <v>36</v>
      </c>
      <c r="I1487">
        <v>47</v>
      </c>
      <c r="J1487">
        <v>1</v>
      </c>
      <c r="K1487">
        <v>47</v>
      </c>
      <c r="L1487" s="6" t="s">
        <v>54</v>
      </c>
      <c r="M1487" s="6" t="s">
        <v>26</v>
      </c>
      <c r="N1487" s="6" t="s">
        <v>48</v>
      </c>
    </row>
    <row r="1488" spans="1:14" x14ac:dyDescent="0.25">
      <c r="A1488" s="6" t="s">
        <v>2164</v>
      </c>
      <c r="B1488" s="4">
        <v>45963</v>
      </c>
      <c r="C1488" s="6" t="s">
        <v>2802</v>
      </c>
      <c r="D1488" s="7">
        <v>0.90347222222222223</v>
      </c>
      <c r="E1488" s="6" t="s">
        <v>16</v>
      </c>
      <c r="F1488" s="6" t="s">
        <v>208</v>
      </c>
      <c r="G1488" s="4">
        <v>28053</v>
      </c>
      <c r="H1488" s="6" t="s">
        <v>24</v>
      </c>
      <c r="I1488">
        <v>257</v>
      </c>
      <c r="J1488">
        <v>3</v>
      </c>
      <c r="K1488">
        <v>772</v>
      </c>
      <c r="L1488" s="6" t="s">
        <v>67</v>
      </c>
      <c r="M1488" s="6" t="s">
        <v>47</v>
      </c>
      <c r="N1488" s="6" t="s">
        <v>48</v>
      </c>
    </row>
    <row r="1489" spans="1:14" x14ac:dyDescent="0.25">
      <c r="A1489" s="6" t="s">
        <v>2165</v>
      </c>
      <c r="B1489" s="4">
        <v>45766</v>
      </c>
      <c r="C1489" s="6" t="s">
        <v>2801</v>
      </c>
      <c r="D1489" s="7">
        <v>0.94652777777777775</v>
      </c>
      <c r="E1489" s="6" t="s">
        <v>16</v>
      </c>
      <c r="F1489" s="6" t="s">
        <v>346</v>
      </c>
      <c r="G1489" s="4">
        <v>37298</v>
      </c>
      <c r="H1489" s="6" t="s">
        <v>199</v>
      </c>
      <c r="I1489">
        <v>249</v>
      </c>
      <c r="J1489">
        <v>2</v>
      </c>
      <c r="K1489">
        <v>499</v>
      </c>
      <c r="L1489" s="6" t="s">
        <v>67</v>
      </c>
      <c r="M1489" s="6" t="s">
        <v>32</v>
      </c>
      <c r="N1489" s="6" t="s">
        <v>74</v>
      </c>
    </row>
    <row r="1490" spans="1:14" x14ac:dyDescent="0.25">
      <c r="A1490" s="6" t="s">
        <v>2166</v>
      </c>
      <c r="B1490" s="4">
        <v>45887</v>
      </c>
      <c r="C1490" s="6" t="s">
        <v>2793</v>
      </c>
      <c r="D1490" s="7">
        <v>0.73541666666666672</v>
      </c>
      <c r="E1490" s="6" t="s">
        <v>16</v>
      </c>
      <c r="F1490" s="6" t="s">
        <v>166</v>
      </c>
      <c r="G1490" s="4">
        <v>31466</v>
      </c>
      <c r="H1490" s="6" t="s">
        <v>18</v>
      </c>
      <c r="I1490">
        <v>72</v>
      </c>
      <c r="J1490">
        <v>2</v>
      </c>
      <c r="L1490" s="6" t="s">
        <v>41</v>
      </c>
      <c r="M1490" s="6" t="s">
        <v>32</v>
      </c>
      <c r="N1490" s="6" t="s">
        <v>21</v>
      </c>
    </row>
    <row r="1491" spans="1:14" x14ac:dyDescent="0.25">
      <c r="A1491" s="6" t="s">
        <v>2168</v>
      </c>
      <c r="B1491" s="4">
        <v>45832</v>
      </c>
      <c r="C1491" s="6" t="s">
        <v>2800</v>
      </c>
      <c r="D1491" s="7">
        <v>0.76344907407407403</v>
      </c>
      <c r="E1491" s="6" t="s">
        <v>16</v>
      </c>
      <c r="F1491" s="6" t="s">
        <v>377</v>
      </c>
      <c r="G1491" s="4">
        <v>30410</v>
      </c>
      <c r="H1491" s="6" t="s">
        <v>53</v>
      </c>
      <c r="I1491">
        <v>125</v>
      </c>
      <c r="J1491">
        <v>2</v>
      </c>
      <c r="K1491">
        <v>250</v>
      </c>
      <c r="L1491" s="6" t="s">
        <v>41</v>
      </c>
      <c r="M1491" s="6" t="s">
        <v>32</v>
      </c>
      <c r="N1491" s="6" t="s">
        <v>27</v>
      </c>
    </row>
    <row r="1492" spans="1:14" x14ac:dyDescent="0.25">
      <c r="A1492" s="6" t="s">
        <v>2169</v>
      </c>
      <c r="B1492" s="4">
        <v>45683</v>
      </c>
      <c r="C1492" s="6" t="s">
        <v>2794</v>
      </c>
      <c r="D1492" s="7">
        <v>0.78541666666666665</v>
      </c>
      <c r="E1492" s="6" t="s">
        <v>16</v>
      </c>
      <c r="F1492" s="6" t="s">
        <v>107</v>
      </c>
      <c r="G1492" s="4">
        <v>27245</v>
      </c>
      <c r="H1492" s="6" t="s">
        <v>110</v>
      </c>
      <c r="I1492">
        <v>122</v>
      </c>
      <c r="J1492">
        <v>1</v>
      </c>
      <c r="K1492">
        <v>122</v>
      </c>
      <c r="L1492" s="6" t="s">
        <v>2787</v>
      </c>
      <c r="M1492" s="6" t="s">
        <v>32</v>
      </c>
      <c r="N1492" s="6" t="s">
        <v>27</v>
      </c>
    </row>
    <row r="1493" spans="1:14" x14ac:dyDescent="0.25">
      <c r="A1493" s="6" t="s">
        <v>2172</v>
      </c>
      <c r="B1493" s="4">
        <v>45639</v>
      </c>
      <c r="C1493" s="6" t="s">
        <v>2796</v>
      </c>
      <c r="D1493" s="7">
        <v>0.6069444444444444</v>
      </c>
      <c r="E1493" s="6" t="s">
        <v>16</v>
      </c>
      <c r="F1493" s="6" t="s">
        <v>528</v>
      </c>
      <c r="G1493" s="4">
        <v>28199</v>
      </c>
      <c r="H1493" s="6" t="s">
        <v>45</v>
      </c>
      <c r="I1493">
        <v>316</v>
      </c>
      <c r="J1493">
        <v>3</v>
      </c>
      <c r="K1493">
        <v>951</v>
      </c>
      <c r="L1493" s="6" t="s">
        <v>54</v>
      </c>
      <c r="M1493" s="6" t="s">
        <v>47</v>
      </c>
      <c r="N1493" s="6" t="s">
        <v>56</v>
      </c>
    </row>
    <row r="1494" spans="1:14" x14ac:dyDescent="0.25">
      <c r="A1494" s="6" t="s">
        <v>2174</v>
      </c>
      <c r="B1494" s="4">
        <v>45744</v>
      </c>
      <c r="C1494" s="6" t="s">
        <v>2798</v>
      </c>
      <c r="D1494" s="7">
        <v>0.69783564814814814</v>
      </c>
      <c r="E1494" s="6" t="s">
        <v>16</v>
      </c>
      <c r="F1494" s="6" t="s">
        <v>125</v>
      </c>
      <c r="G1494" s="4">
        <v>28089</v>
      </c>
      <c r="H1494" s="6" t="s">
        <v>18</v>
      </c>
      <c r="I1494">
        <v>94</v>
      </c>
      <c r="J1494">
        <v>2</v>
      </c>
      <c r="K1494">
        <v>189</v>
      </c>
      <c r="L1494" s="6" t="s">
        <v>54</v>
      </c>
      <c r="M1494" s="6" t="s">
        <v>26</v>
      </c>
      <c r="N1494" s="6" t="s">
        <v>27</v>
      </c>
    </row>
    <row r="1495" spans="1:14" x14ac:dyDescent="0.25">
      <c r="A1495" s="6" t="s">
        <v>2176</v>
      </c>
      <c r="B1495" s="4">
        <v>45851</v>
      </c>
      <c r="C1495" s="6" t="s">
        <v>2795</v>
      </c>
      <c r="D1495" s="7">
        <v>0.72986111111111107</v>
      </c>
      <c r="E1495" s="6" t="s">
        <v>16</v>
      </c>
      <c r="F1495" s="6" t="s">
        <v>222</v>
      </c>
      <c r="G1495" s="4">
        <v>30225</v>
      </c>
      <c r="H1495" s="6" t="s">
        <v>199</v>
      </c>
      <c r="I1495">
        <v>244</v>
      </c>
      <c r="J1495">
        <v>3</v>
      </c>
      <c r="K1495">
        <v>732</v>
      </c>
      <c r="L1495" s="6" t="s">
        <v>54</v>
      </c>
      <c r="M1495" s="6" t="s">
        <v>20</v>
      </c>
      <c r="N1495" s="6" t="s">
        <v>48</v>
      </c>
    </row>
    <row r="1496" spans="1:14" x14ac:dyDescent="0.25">
      <c r="A1496" s="6" t="s">
        <v>2178</v>
      </c>
      <c r="B1496" s="4">
        <v>45666</v>
      </c>
      <c r="C1496" s="6" t="s">
        <v>2794</v>
      </c>
      <c r="D1496" s="7">
        <v>0.64984953703703707</v>
      </c>
      <c r="E1496" s="6" t="s">
        <v>16</v>
      </c>
      <c r="F1496" s="6" t="s">
        <v>582</v>
      </c>
      <c r="G1496" s="4">
        <v>35196</v>
      </c>
      <c r="H1496" s="6" t="s">
        <v>145</v>
      </c>
      <c r="I1496">
        <v>245</v>
      </c>
      <c r="J1496">
        <v>3</v>
      </c>
      <c r="K1496">
        <v>761</v>
      </c>
      <c r="L1496" s="6" t="s">
        <v>19</v>
      </c>
      <c r="M1496" s="6" t="s">
        <v>55</v>
      </c>
      <c r="N1496" s="6" t="s">
        <v>105</v>
      </c>
    </row>
    <row r="1497" spans="1:14" x14ac:dyDescent="0.25">
      <c r="A1497" s="6" t="s">
        <v>2179</v>
      </c>
      <c r="B1497" s="4">
        <v>45974</v>
      </c>
      <c r="C1497" s="6" t="s">
        <v>2802</v>
      </c>
      <c r="D1497" s="7">
        <v>0.6661111111111111</v>
      </c>
      <c r="E1497" s="6" t="s">
        <v>16</v>
      </c>
      <c r="F1497" s="6" t="s">
        <v>377</v>
      </c>
      <c r="G1497" s="4">
        <v>37971</v>
      </c>
      <c r="H1497" s="6" t="s">
        <v>85</v>
      </c>
      <c r="I1497">
        <v>217</v>
      </c>
      <c r="J1497">
        <v>1</v>
      </c>
      <c r="K1497">
        <v>217</v>
      </c>
      <c r="L1497" s="6" t="s">
        <v>19</v>
      </c>
      <c r="M1497" s="6" t="s">
        <v>20</v>
      </c>
      <c r="N1497" s="6" t="s">
        <v>74</v>
      </c>
    </row>
    <row r="1498" spans="1:14" x14ac:dyDescent="0.25">
      <c r="A1498" s="6" t="s">
        <v>2180</v>
      </c>
      <c r="B1498" s="4">
        <v>45702</v>
      </c>
      <c r="C1498" s="6" t="s">
        <v>2799</v>
      </c>
      <c r="D1498" s="7">
        <v>0.47361111111111109</v>
      </c>
      <c r="E1498" s="6" t="s">
        <v>16</v>
      </c>
      <c r="F1498" s="6" t="s">
        <v>712</v>
      </c>
      <c r="G1498" s="4">
        <v>25877</v>
      </c>
      <c r="H1498" s="6" t="s">
        <v>93</v>
      </c>
      <c r="I1498">
        <v>209</v>
      </c>
      <c r="J1498">
        <v>2</v>
      </c>
      <c r="K1498">
        <v>419</v>
      </c>
      <c r="L1498" s="6" t="s">
        <v>19</v>
      </c>
      <c r="M1498" s="6" t="s">
        <v>89</v>
      </c>
      <c r="N1498" s="6" t="s">
        <v>56</v>
      </c>
    </row>
    <row r="1499" spans="1:14" x14ac:dyDescent="0.25">
      <c r="A1499" s="6" t="s">
        <v>2181</v>
      </c>
      <c r="B1499" s="4">
        <v>45796</v>
      </c>
      <c r="C1499" s="6" t="s">
        <v>2792</v>
      </c>
      <c r="D1499" s="7">
        <v>0.79791666666666672</v>
      </c>
      <c r="E1499" s="6" t="s">
        <v>16</v>
      </c>
      <c r="F1499" s="6" t="s">
        <v>628</v>
      </c>
      <c r="G1499" s="4">
        <v>37422</v>
      </c>
      <c r="H1499" s="6" t="s">
        <v>202</v>
      </c>
      <c r="I1499">
        <v>293</v>
      </c>
      <c r="J1499">
        <v>3</v>
      </c>
      <c r="K1499">
        <v>881</v>
      </c>
      <c r="L1499" s="6" t="s">
        <v>41</v>
      </c>
      <c r="M1499" s="6" t="s">
        <v>20</v>
      </c>
      <c r="N1499" s="6" t="s">
        <v>21</v>
      </c>
    </row>
    <row r="1500" spans="1:14" x14ac:dyDescent="0.25">
      <c r="A1500" s="6" t="s">
        <v>2182</v>
      </c>
      <c r="B1500" s="4">
        <v>45756</v>
      </c>
      <c r="C1500" s="6" t="s">
        <v>2801</v>
      </c>
      <c r="D1500" s="7">
        <v>0.9555555555555556</v>
      </c>
      <c r="E1500" s="6" t="s">
        <v>16</v>
      </c>
      <c r="F1500" s="6" t="s">
        <v>528</v>
      </c>
      <c r="G1500" s="4">
        <v>40488</v>
      </c>
      <c r="H1500" s="6" t="s">
        <v>110</v>
      </c>
      <c r="I1500">
        <v>106</v>
      </c>
      <c r="J1500">
        <v>1</v>
      </c>
      <c r="K1500">
        <v>106</v>
      </c>
      <c r="L1500" s="6" t="s">
        <v>2787</v>
      </c>
      <c r="M1500" s="6" t="s">
        <v>61</v>
      </c>
      <c r="N1500" s="6" t="s">
        <v>48</v>
      </c>
    </row>
    <row r="1501" spans="1:14" x14ac:dyDescent="0.25">
      <c r="A1501" s="6" t="s">
        <v>2183</v>
      </c>
      <c r="B1501" s="4">
        <v>45917</v>
      </c>
      <c r="C1501" s="6" t="s">
        <v>2797</v>
      </c>
      <c r="D1501" s="7">
        <v>0.82998842592592592</v>
      </c>
      <c r="E1501" s="6" t="s">
        <v>16</v>
      </c>
      <c r="F1501" s="6" t="s">
        <v>397</v>
      </c>
      <c r="G1501" s="4">
        <v>40488</v>
      </c>
      <c r="H1501" s="6" t="s">
        <v>116</v>
      </c>
      <c r="I1501">
        <v>158</v>
      </c>
      <c r="J1501">
        <v>1</v>
      </c>
      <c r="K1501">
        <v>159</v>
      </c>
      <c r="L1501" s="6" t="s">
        <v>19</v>
      </c>
      <c r="M1501" s="6" t="s">
        <v>61</v>
      </c>
      <c r="N1501" s="6" t="s">
        <v>48</v>
      </c>
    </row>
    <row r="1502" spans="1:14" x14ac:dyDescent="0.25">
      <c r="A1502" s="6" t="s">
        <v>2185</v>
      </c>
      <c r="B1502" s="4">
        <v>45724</v>
      </c>
      <c r="C1502" s="6" t="s">
        <v>2798</v>
      </c>
      <c r="D1502" s="7">
        <v>0.72222222222222221</v>
      </c>
      <c r="E1502" s="6" t="s">
        <v>16</v>
      </c>
      <c r="F1502" s="6" t="s">
        <v>79</v>
      </c>
      <c r="G1502" s="4">
        <v>34287</v>
      </c>
      <c r="H1502" s="6" t="s">
        <v>199</v>
      </c>
      <c r="I1502">
        <v>171</v>
      </c>
      <c r="J1502">
        <v>1</v>
      </c>
      <c r="K1502">
        <v>171</v>
      </c>
      <c r="L1502" s="6" t="s">
        <v>2787</v>
      </c>
      <c r="M1502" s="6" t="s">
        <v>61</v>
      </c>
      <c r="N1502" s="6" t="s">
        <v>105</v>
      </c>
    </row>
    <row r="1503" spans="1:14" x14ac:dyDescent="0.25">
      <c r="A1503" s="6" t="s">
        <v>2186</v>
      </c>
      <c r="B1503" s="4">
        <v>45619</v>
      </c>
      <c r="C1503" s="6" t="s">
        <v>2802</v>
      </c>
      <c r="D1503" s="7">
        <v>0.48333333333333334</v>
      </c>
      <c r="E1503" s="6" t="s">
        <v>16</v>
      </c>
      <c r="F1503" s="6" t="s">
        <v>267</v>
      </c>
      <c r="G1503" s="4">
        <v>31960</v>
      </c>
      <c r="H1503" s="6" t="s">
        <v>141</v>
      </c>
      <c r="I1503">
        <v>139</v>
      </c>
      <c r="J1503">
        <v>1</v>
      </c>
      <c r="K1503">
        <v>140</v>
      </c>
      <c r="L1503" s="6" t="s">
        <v>54</v>
      </c>
      <c r="M1503" s="6" t="s">
        <v>26</v>
      </c>
      <c r="N1503" s="6" t="s">
        <v>105</v>
      </c>
    </row>
    <row r="1504" spans="1:14" x14ac:dyDescent="0.25">
      <c r="A1504" s="6" t="s">
        <v>2187</v>
      </c>
      <c r="B1504" s="4">
        <v>45635</v>
      </c>
      <c r="C1504" s="6" t="s">
        <v>2796</v>
      </c>
      <c r="D1504" s="7">
        <v>0.55394675925925929</v>
      </c>
      <c r="E1504" s="6" t="s">
        <v>16</v>
      </c>
      <c r="F1504" s="6" t="s">
        <v>528</v>
      </c>
      <c r="G1504" s="4">
        <v>28512</v>
      </c>
      <c r="H1504" s="6" t="s">
        <v>40</v>
      </c>
      <c r="I1504">
        <v>191</v>
      </c>
      <c r="J1504">
        <v>3</v>
      </c>
      <c r="K1504">
        <v>575</v>
      </c>
      <c r="L1504" s="6" t="s">
        <v>54</v>
      </c>
      <c r="M1504" s="6" t="s">
        <v>32</v>
      </c>
      <c r="N1504" s="6" t="s">
        <v>56</v>
      </c>
    </row>
    <row r="1505" spans="1:14" x14ac:dyDescent="0.25">
      <c r="A1505" s="6" t="s">
        <v>2188</v>
      </c>
      <c r="B1505" s="4">
        <v>45794</v>
      </c>
      <c r="C1505" s="6" t="s">
        <v>2792</v>
      </c>
      <c r="D1505" s="7">
        <v>0.76388888888888884</v>
      </c>
      <c r="E1505" s="6" t="s">
        <v>16</v>
      </c>
      <c r="F1505" s="6" t="s">
        <v>473</v>
      </c>
      <c r="G1505" s="4">
        <v>34471</v>
      </c>
      <c r="H1505" s="6" t="s">
        <v>104</v>
      </c>
      <c r="I1505">
        <v>242</v>
      </c>
      <c r="J1505">
        <v>1</v>
      </c>
      <c r="K1505">
        <v>243</v>
      </c>
      <c r="L1505" s="6" t="s">
        <v>19</v>
      </c>
      <c r="M1505" s="6" t="s">
        <v>37</v>
      </c>
      <c r="N1505" s="6" t="s">
        <v>48</v>
      </c>
    </row>
    <row r="1506" spans="1:14" x14ac:dyDescent="0.25">
      <c r="A1506" s="6" t="s">
        <v>2190</v>
      </c>
      <c r="B1506" s="4">
        <v>45942</v>
      </c>
      <c r="C1506" s="6" t="s">
        <v>2791</v>
      </c>
      <c r="D1506" s="7">
        <v>0.60347222222222219</v>
      </c>
      <c r="E1506" s="6" t="s">
        <v>16</v>
      </c>
      <c r="F1506" s="6" t="s">
        <v>420</v>
      </c>
      <c r="G1506" s="4">
        <v>34449</v>
      </c>
      <c r="H1506" s="6" t="s">
        <v>164</v>
      </c>
      <c r="I1506">
        <v>301</v>
      </c>
      <c r="J1506">
        <v>3</v>
      </c>
      <c r="K1506">
        <v>906</v>
      </c>
      <c r="L1506" s="6" t="s">
        <v>41</v>
      </c>
      <c r="M1506" s="6" t="s">
        <v>37</v>
      </c>
      <c r="N1506" s="6" t="s">
        <v>48</v>
      </c>
    </row>
    <row r="1507" spans="1:14" x14ac:dyDescent="0.25">
      <c r="A1507" s="6" t="s">
        <v>2191</v>
      </c>
      <c r="B1507" s="4">
        <v>45669</v>
      </c>
      <c r="C1507" s="6" t="s">
        <v>2794</v>
      </c>
      <c r="D1507" s="7">
        <v>0.83958333333333335</v>
      </c>
      <c r="E1507" s="6" t="s">
        <v>16</v>
      </c>
      <c r="F1507" s="6" t="s">
        <v>360</v>
      </c>
      <c r="G1507" s="4">
        <v>34449</v>
      </c>
      <c r="H1507" s="6" t="s">
        <v>104</v>
      </c>
      <c r="I1507">
        <v>301</v>
      </c>
      <c r="J1507">
        <v>2</v>
      </c>
      <c r="K1507">
        <v>603</v>
      </c>
      <c r="L1507" s="6" t="s">
        <v>19</v>
      </c>
      <c r="M1507" s="6" t="s">
        <v>37</v>
      </c>
      <c r="N1507" s="6" t="s">
        <v>48</v>
      </c>
    </row>
    <row r="1508" spans="1:14" x14ac:dyDescent="0.25">
      <c r="A1508" s="6" t="s">
        <v>2192</v>
      </c>
      <c r="B1508" s="4">
        <v>45667</v>
      </c>
      <c r="C1508" s="6" t="s">
        <v>2794</v>
      </c>
      <c r="D1508" s="7">
        <v>0.85180555555555559</v>
      </c>
      <c r="E1508" s="6" t="s">
        <v>16</v>
      </c>
      <c r="F1508" s="6" t="s">
        <v>562</v>
      </c>
      <c r="G1508" s="4">
        <v>40323</v>
      </c>
      <c r="H1508" s="6" t="s">
        <v>164</v>
      </c>
      <c r="I1508">
        <v>284</v>
      </c>
      <c r="J1508">
        <v>2</v>
      </c>
      <c r="K1508">
        <v>570</v>
      </c>
      <c r="L1508" s="6" t="s">
        <v>2787</v>
      </c>
      <c r="M1508" s="6" t="s">
        <v>47</v>
      </c>
      <c r="N1508" s="6" t="s">
        <v>21</v>
      </c>
    </row>
    <row r="1509" spans="1:14" x14ac:dyDescent="0.25">
      <c r="A1509" s="6" t="s">
        <v>2193</v>
      </c>
      <c r="B1509" s="4">
        <v>45933</v>
      </c>
      <c r="C1509" s="6" t="s">
        <v>2791</v>
      </c>
      <c r="D1509" s="7">
        <v>0.53194444444444444</v>
      </c>
      <c r="E1509" s="6" t="s">
        <v>16</v>
      </c>
      <c r="F1509" s="6" t="s">
        <v>387</v>
      </c>
      <c r="G1509" s="4">
        <v>26091</v>
      </c>
      <c r="H1509" s="6" t="s">
        <v>141</v>
      </c>
      <c r="I1509">
        <v>111</v>
      </c>
      <c r="J1509">
        <v>3</v>
      </c>
      <c r="K1509">
        <v>335</v>
      </c>
      <c r="L1509" s="6" t="s">
        <v>41</v>
      </c>
      <c r="M1509" s="6" t="s">
        <v>32</v>
      </c>
      <c r="N1509" s="6" t="s">
        <v>56</v>
      </c>
    </row>
    <row r="1510" spans="1:14" x14ac:dyDescent="0.25">
      <c r="A1510" s="6" t="s">
        <v>2194</v>
      </c>
      <c r="B1510" s="4">
        <v>45906</v>
      </c>
      <c r="C1510" s="6" t="s">
        <v>2797</v>
      </c>
      <c r="D1510" s="7">
        <v>0.84027777777777779</v>
      </c>
      <c r="E1510" s="6" t="s">
        <v>16</v>
      </c>
      <c r="F1510" s="6" t="s">
        <v>558</v>
      </c>
      <c r="G1510" s="4">
        <v>35889</v>
      </c>
      <c r="H1510" s="6" t="s">
        <v>104</v>
      </c>
      <c r="I1510">
        <v>236</v>
      </c>
      <c r="J1510">
        <v>2</v>
      </c>
      <c r="K1510">
        <v>473</v>
      </c>
      <c r="L1510" s="6" t="s">
        <v>41</v>
      </c>
      <c r="M1510" s="6" t="s">
        <v>89</v>
      </c>
      <c r="N1510" s="6" t="s">
        <v>56</v>
      </c>
    </row>
    <row r="1511" spans="1:14" x14ac:dyDescent="0.25">
      <c r="A1511" s="6" t="s">
        <v>2195</v>
      </c>
      <c r="B1511" s="4">
        <v>45780</v>
      </c>
      <c r="C1511" s="6" t="s">
        <v>2792</v>
      </c>
      <c r="D1511" s="7">
        <v>0.49236111111111114</v>
      </c>
      <c r="E1511" s="6" t="s">
        <v>16</v>
      </c>
      <c r="F1511" s="6" t="s">
        <v>101</v>
      </c>
      <c r="G1511" s="4">
        <v>27900</v>
      </c>
      <c r="H1511" s="6" t="s">
        <v>93</v>
      </c>
      <c r="I1511">
        <v>170</v>
      </c>
      <c r="J1511">
        <v>2</v>
      </c>
      <c r="K1511">
        <v>371</v>
      </c>
      <c r="L1511" s="6" t="s">
        <v>41</v>
      </c>
      <c r="M1511" s="6" t="s">
        <v>47</v>
      </c>
      <c r="N1511" s="6" t="s">
        <v>48</v>
      </c>
    </row>
    <row r="1512" spans="1:14" x14ac:dyDescent="0.25">
      <c r="A1512" s="6" t="s">
        <v>2196</v>
      </c>
      <c r="B1512" s="4">
        <v>45757</v>
      </c>
      <c r="C1512" s="6" t="s">
        <v>2801</v>
      </c>
      <c r="D1512" s="7">
        <v>0.85138888888888886</v>
      </c>
      <c r="E1512" s="6" t="s">
        <v>16</v>
      </c>
      <c r="F1512" s="6" t="s">
        <v>144</v>
      </c>
      <c r="G1512" s="4">
        <v>34159</v>
      </c>
      <c r="H1512" s="6" t="s">
        <v>24</v>
      </c>
      <c r="I1512">
        <v>274</v>
      </c>
      <c r="J1512">
        <v>1</v>
      </c>
      <c r="K1512">
        <v>274</v>
      </c>
      <c r="L1512" s="6" t="s">
        <v>19</v>
      </c>
      <c r="M1512" s="6" t="s">
        <v>61</v>
      </c>
      <c r="N1512" s="6" t="s">
        <v>27</v>
      </c>
    </row>
    <row r="1513" spans="1:14" x14ac:dyDescent="0.25">
      <c r="A1513" s="6" t="s">
        <v>2197</v>
      </c>
      <c r="B1513" s="4">
        <v>45949</v>
      </c>
      <c r="C1513" s="6" t="s">
        <v>2791</v>
      </c>
      <c r="D1513" s="7">
        <v>0.76599537037037035</v>
      </c>
      <c r="E1513" s="6" t="s">
        <v>16</v>
      </c>
      <c r="F1513" s="6" t="s">
        <v>76</v>
      </c>
      <c r="G1513" s="4">
        <v>26993</v>
      </c>
      <c r="H1513" s="6" t="s">
        <v>93</v>
      </c>
      <c r="I1513">
        <v>227</v>
      </c>
      <c r="J1513">
        <v>1</v>
      </c>
      <c r="K1513">
        <v>228</v>
      </c>
      <c r="L1513" s="6" t="s">
        <v>19</v>
      </c>
      <c r="M1513" s="6" t="s">
        <v>47</v>
      </c>
      <c r="N1513" s="6" t="s">
        <v>105</v>
      </c>
    </row>
    <row r="1514" spans="1:14" x14ac:dyDescent="0.25">
      <c r="A1514" s="6" t="s">
        <v>2198</v>
      </c>
      <c r="B1514" s="4">
        <v>45619</v>
      </c>
      <c r="C1514" s="6" t="s">
        <v>2802</v>
      </c>
      <c r="D1514" s="7">
        <v>0.72430555555555554</v>
      </c>
      <c r="E1514" s="6" t="s">
        <v>16</v>
      </c>
      <c r="F1514" s="6" t="s">
        <v>492</v>
      </c>
      <c r="G1514" s="4">
        <v>26464</v>
      </c>
      <c r="H1514" s="6" t="s">
        <v>40</v>
      </c>
      <c r="I1514">
        <v>233</v>
      </c>
      <c r="J1514">
        <v>1</v>
      </c>
      <c r="K1514">
        <v>234</v>
      </c>
      <c r="L1514" s="6" t="s">
        <v>2787</v>
      </c>
      <c r="M1514" s="6" t="s">
        <v>20</v>
      </c>
      <c r="N1514" s="6" t="s">
        <v>105</v>
      </c>
    </row>
    <row r="1515" spans="1:14" x14ac:dyDescent="0.25">
      <c r="A1515" s="6" t="s">
        <v>2199</v>
      </c>
      <c r="B1515" s="4">
        <v>45638</v>
      </c>
      <c r="C1515" s="6" t="s">
        <v>2796</v>
      </c>
      <c r="D1515" s="7">
        <v>0.89097222222222228</v>
      </c>
      <c r="E1515" s="6" t="s">
        <v>16</v>
      </c>
      <c r="F1515" s="6" t="s">
        <v>2200</v>
      </c>
      <c r="G1515" s="4">
        <v>40152</v>
      </c>
      <c r="H1515" s="6" t="s">
        <v>110</v>
      </c>
      <c r="I1515">
        <v>112</v>
      </c>
      <c r="J1515">
        <v>2</v>
      </c>
      <c r="K1515">
        <v>226</v>
      </c>
      <c r="L1515" s="6" t="s">
        <v>19</v>
      </c>
      <c r="M1515" s="6" t="s">
        <v>32</v>
      </c>
      <c r="N1515" s="6" t="s">
        <v>105</v>
      </c>
    </row>
    <row r="1516" spans="1:14" x14ac:dyDescent="0.25">
      <c r="A1516" s="6" t="s">
        <v>2201</v>
      </c>
      <c r="B1516" s="4">
        <v>45921</v>
      </c>
      <c r="C1516" s="6" t="s">
        <v>2797</v>
      </c>
      <c r="D1516" s="7">
        <v>0.85069444444444442</v>
      </c>
      <c r="E1516" s="6" t="s">
        <v>16</v>
      </c>
      <c r="F1516" s="6" t="s">
        <v>107</v>
      </c>
      <c r="G1516" s="4">
        <v>40152</v>
      </c>
      <c r="H1516" s="6" t="s">
        <v>53</v>
      </c>
      <c r="I1516">
        <v>91</v>
      </c>
      <c r="J1516">
        <v>1</v>
      </c>
      <c r="K1516">
        <v>92</v>
      </c>
      <c r="L1516" s="6" t="s">
        <v>67</v>
      </c>
      <c r="M1516" s="6" t="s">
        <v>32</v>
      </c>
      <c r="N1516" s="6" t="s">
        <v>21</v>
      </c>
    </row>
    <row r="1517" spans="1:14" x14ac:dyDescent="0.25">
      <c r="A1517" s="6" t="s">
        <v>2202</v>
      </c>
      <c r="B1517" s="4">
        <v>45960</v>
      </c>
      <c r="C1517" s="6" t="s">
        <v>2791</v>
      </c>
      <c r="D1517" s="7">
        <v>0.97152777777777777</v>
      </c>
      <c r="E1517" s="6" t="s">
        <v>16</v>
      </c>
      <c r="F1517" s="6" t="s">
        <v>582</v>
      </c>
      <c r="G1517" s="4">
        <v>28951</v>
      </c>
      <c r="H1517" s="6" t="s">
        <v>199</v>
      </c>
      <c r="I1517">
        <v>226</v>
      </c>
      <c r="J1517">
        <v>1</v>
      </c>
      <c r="L1517" s="6" t="s">
        <v>67</v>
      </c>
      <c r="M1517" s="6" t="s">
        <v>37</v>
      </c>
      <c r="N1517" s="6" t="s">
        <v>105</v>
      </c>
    </row>
    <row r="1518" spans="1:14" x14ac:dyDescent="0.25">
      <c r="A1518" s="6" t="s">
        <v>2204</v>
      </c>
      <c r="B1518" s="4">
        <v>45960</v>
      </c>
      <c r="C1518" s="6" t="s">
        <v>2791</v>
      </c>
      <c r="D1518" s="7">
        <v>0.54722222222222228</v>
      </c>
      <c r="E1518" s="6" t="s">
        <v>16</v>
      </c>
      <c r="F1518" s="6" t="s">
        <v>161</v>
      </c>
      <c r="G1518" s="4">
        <v>31724</v>
      </c>
      <c r="H1518" s="6" t="s">
        <v>129</v>
      </c>
      <c r="I1518">
        <v>162</v>
      </c>
      <c r="J1518">
        <v>3</v>
      </c>
      <c r="K1518">
        <v>487</v>
      </c>
      <c r="L1518" s="6" t="s">
        <v>2787</v>
      </c>
      <c r="M1518" s="6" t="s">
        <v>20</v>
      </c>
      <c r="N1518" s="6" t="s">
        <v>105</v>
      </c>
    </row>
    <row r="1519" spans="1:14" x14ac:dyDescent="0.25">
      <c r="A1519" s="6" t="s">
        <v>2205</v>
      </c>
      <c r="B1519" s="4">
        <v>45809</v>
      </c>
      <c r="C1519" s="6" t="s">
        <v>2800</v>
      </c>
      <c r="D1519" s="7">
        <v>0.73471064814814813</v>
      </c>
      <c r="E1519" s="6" t="s">
        <v>16</v>
      </c>
      <c r="F1519" s="6" t="s">
        <v>1627</v>
      </c>
      <c r="G1519" s="4">
        <v>38443</v>
      </c>
      <c r="H1519" s="6" t="s">
        <v>53</v>
      </c>
      <c r="I1519">
        <v>83</v>
      </c>
      <c r="J1519">
        <v>1</v>
      </c>
      <c r="K1519">
        <v>83</v>
      </c>
      <c r="L1519" s="6" t="s">
        <v>67</v>
      </c>
      <c r="M1519" s="6" t="s">
        <v>20</v>
      </c>
      <c r="N1519" s="6" t="s">
        <v>27</v>
      </c>
    </row>
    <row r="1520" spans="1:14" x14ac:dyDescent="0.25">
      <c r="A1520" s="6" t="s">
        <v>2206</v>
      </c>
      <c r="B1520" s="4">
        <v>45917</v>
      </c>
      <c r="C1520" s="6" t="s">
        <v>2797</v>
      </c>
      <c r="D1520" s="7">
        <v>0.94305555555555554</v>
      </c>
      <c r="E1520" s="6" t="s">
        <v>16</v>
      </c>
      <c r="F1520" s="6" t="s">
        <v>50</v>
      </c>
      <c r="G1520" s="4">
        <v>30218</v>
      </c>
      <c r="H1520" s="6" t="s">
        <v>110</v>
      </c>
      <c r="I1520">
        <v>111</v>
      </c>
      <c r="J1520">
        <v>1</v>
      </c>
      <c r="K1520">
        <v>112</v>
      </c>
      <c r="L1520" s="6" t="s">
        <v>19</v>
      </c>
      <c r="M1520" s="6" t="s">
        <v>37</v>
      </c>
      <c r="N1520" s="6" t="s">
        <v>27</v>
      </c>
    </row>
    <row r="1521" spans="1:14" x14ac:dyDescent="0.25">
      <c r="A1521" s="6" t="s">
        <v>2207</v>
      </c>
      <c r="B1521" s="4">
        <v>45728</v>
      </c>
      <c r="C1521" s="6" t="s">
        <v>2798</v>
      </c>
      <c r="D1521" s="7">
        <v>0.67291666666666672</v>
      </c>
      <c r="E1521" s="6" t="s">
        <v>16</v>
      </c>
      <c r="F1521" s="6" t="s">
        <v>334</v>
      </c>
      <c r="G1521" s="4">
        <v>26655</v>
      </c>
      <c r="H1521" s="6" t="s">
        <v>178</v>
      </c>
      <c r="I1521">
        <v>298</v>
      </c>
      <c r="J1521">
        <v>3</v>
      </c>
      <c r="K1521">
        <v>896</v>
      </c>
      <c r="L1521" s="6" t="s">
        <v>19</v>
      </c>
      <c r="M1521" s="6" t="s">
        <v>55</v>
      </c>
      <c r="N1521" s="6" t="s">
        <v>48</v>
      </c>
    </row>
    <row r="1522" spans="1:14" x14ac:dyDescent="0.25">
      <c r="A1522" s="6" t="s">
        <v>2208</v>
      </c>
      <c r="B1522" s="4">
        <v>45829</v>
      </c>
      <c r="C1522" s="6" t="s">
        <v>2800</v>
      </c>
      <c r="D1522" s="7">
        <v>0.57047453703703699</v>
      </c>
      <c r="E1522" s="6" t="s">
        <v>16</v>
      </c>
      <c r="F1522" s="6" t="s">
        <v>324</v>
      </c>
      <c r="G1522" s="4">
        <v>38714</v>
      </c>
      <c r="H1522" s="6" t="s">
        <v>213</v>
      </c>
      <c r="I1522">
        <v>298</v>
      </c>
      <c r="J1522">
        <v>2</v>
      </c>
      <c r="K1522">
        <v>896</v>
      </c>
      <c r="L1522" s="6" t="s">
        <v>19</v>
      </c>
      <c r="M1522" s="6" t="s">
        <v>61</v>
      </c>
      <c r="N1522" s="6" t="s">
        <v>56</v>
      </c>
    </row>
    <row r="1523" spans="1:14" x14ac:dyDescent="0.25">
      <c r="A1523" s="6" t="s">
        <v>2209</v>
      </c>
      <c r="B1523" s="4">
        <v>45909</v>
      </c>
      <c r="C1523" s="6" t="s">
        <v>2797</v>
      </c>
      <c r="D1523" s="7">
        <v>0.66108796296296302</v>
      </c>
      <c r="E1523" s="6" t="s">
        <v>16</v>
      </c>
      <c r="F1523" s="6" t="s">
        <v>492</v>
      </c>
      <c r="G1523" s="4">
        <v>29952</v>
      </c>
      <c r="H1523" s="6" t="s">
        <v>77</v>
      </c>
      <c r="I1523">
        <v>42</v>
      </c>
      <c r="J1523">
        <v>3</v>
      </c>
      <c r="K1523">
        <v>126</v>
      </c>
      <c r="L1523" s="6" t="s">
        <v>19</v>
      </c>
      <c r="M1523" s="6" t="s">
        <v>20</v>
      </c>
      <c r="N1523" s="6" t="s">
        <v>56</v>
      </c>
    </row>
    <row r="1524" spans="1:14" x14ac:dyDescent="0.25">
      <c r="A1524" s="6" t="s">
        <v>2210</v>
      </c>
      <c r="B1524" s="4">
        <v>45638</v>
      </c>
      <c r="C1524" s="6" t="s">
        <v>2796</v>
      </c>
      <c r="D1524" s="7">
        <v>0.79722222222222228</v>
      </c>
      <c r="E1524" s="6" t="s">
        <v>16</v>
      </c>
      <c r="F1524" s="6" t="s">
        <v>88</v>
      </c>
      <c r="G1524" s="4">
        <v>28816</v>
      </c>
      <c r="H1524" s="6" t="s">
        <v>213</v>
      </c>
      <c r="I1524">
        <v>267</v>
      </c>
      <c r="J1524">
        <v>1</v>
      </c>
      <c r="K1524">
        <v>267</v>
      </c>
      <c r="L1524" s="6" t="s">
        <v>19</v>
      </c>
      <c r="M1524" s="6" t="s">
        <v>20</v>
      </c>
      <c r="N1524" s="6" t="s">
        <v>56</v>
      </c>
    </row>
    <row r="1525" spans="1:14" x14ac:dyDescent="0.25">
      <c r="A1525" s="6" t="s">
        <v>2212</v>
      </c>
      <c r="B1525" s="4">
        <v>45630</v>
      </c>
      <c r="C1525" s="6" t="s">
        <v>2796</v>
      </c>
      <c r="D1525" s="7">
        <v>0.44930555555555557</v>
      </c>
      <c r="E1525" s="6" t="s">
        <v>16</v>
      </c>
      <c r="F1525" s="6" t="s">
        <v>232</v>
      </c>
      <c r="G1525" s="4">
        <v>35556</v>
      </c>
      <c r="H1525" s="6" t="s">
        <v>199</v>
      </c>
      <c r="I1525">
        <v>200</v>
      </c>
      <c r="J1525">
        <v>1</v>
      </c>
      <c r="K1525">
        <v>201</v>
      </c>
      <c r="L1525" s="6" t="s">
        <v>67</v>
      </c>
      <c r="M1525" s="6" t="s">
        <v>61</v>
      </c>
      <c r="N1525" s="6" t="s">
        <v>21</v>
      </c>
    </row>
    <row r="1526" spans="1:14" x14ac:dyDescent="0.25">
      <c r="A1526" s="6" t="s">
        <v>2213</v>
      </c>
      <c r="B1526" s="4">
        <v>45793</v>
      </c>
      <c r="C1526" s="6" t="s">
        <v>2792</v>
      </c>
      <c r="D1526" s="7">
        <v>0.57638888888888884</v>
      </c>
      <c r="E1526" s="6" t="s">
        <v>16</v>
      </c>
      <c r="F1526" s="6" t="s">
        <v>659</v>
      </c>
      <c r="G1526" s="4">
        <v>35316</v>
      </c>
      <c r="H1526" s="6" t="s">
        <v>259</v>
      </c>
      <c r="I1526">
        <v>267</v>
      </c>
      <c r="J1526">
        <v>2</v>
      </c>
      <c r="K1526">
        <v>535</v>
      </c>
      <c r="L1526" s="6" t="s">
        <v>41</v>
      </c>
      <c r="M1526" s="6" t="s">
        <v>61</v>
      </c>
      <c r="N1526" s="6" t="s">
        <v>74</v>
      </c>
    </row>
    <row r="1527" spans="1:14" x14ac:dyDescent="0.25">
      <c r="A1527" s="6" t="s">
        <v>2214</v>
      </c>
      <c r="B1527" s="4">
        <v>45765</v>
      </c>
      <c r="C1527" s="6" t="s">
        <v>2801</v>
      </c>
      <c r="D1527" s="7">
        <v>0.87430555555555556</v>
      </c>
      <c r="E1527" s="6" t="s">
        <v>16</v>
      </c>
      <c r="F1527" s="6" t="s">
        <v>640</v>
      </c>
      <c r="G1527" s="4">
        <v>36406</v>
      </c>
      <c r="H1527" s="6" t="s">
        <v>141</v>
      </c>
      <c r="I1527">
        <v>139</v>
      </c>
      <c r="J1527">
        <v>1</v>
      </c>
      <c r="K1527">
        <v>139</v>
      </c>
      <c r="L1527" s="6" t="s">
        <v>41</v>
      </c>
      <c r="M1527" s="6" t="s">
        <v>89</v>
      </c>
      <c r="N1527" s="6" t="s">
        <v>105</v>
      </c>
    </row>
    <row r="1528" spans="1:14" x14ac:dyDescent="0.25">
      <c r="A1528" s="6" t="s">
        <v>2217</v>
      </c>
      <c r="B1528" s="4">
        <v>45630</v>
      </c>
      <c r="C1528" s="6" t="s">
        <v>2796</v>
      </c>
      <c r="D1528" s="7">
        <v>0.9604166666666667</v>
      </c>
      <c r="E1528" s="6" t="s">
        <v>16</v>
      </c>
      <c r="F1528" s="6" t="s">
        <v>640</v>
      </c>
      <c r="G1528" s="4">
        <v>27390</v>
      </c>
      <c r="H1528" s="6" t="s">
        <v>199</v>
      </c>
      <c r="I1528">
        <v>226</v>
      </c>
      <c r="J1528">
        <v>2</v>
      </c>
      <c r="K1528">
        <v>452</v>
      </c>
      <c r="L1528" s="6" t="s">
        <v>54</v>
      </c>
      <c r="M1528" s="6" t="s">
        <v>32</v>
      </c>
      <c r="N1528" s="6" t="s">
        <v>56</v>
      </c>
    </row>
    <row r="1529" spans="1:14" x14ac:dyDescent="0.25">
      <c r="A1529" s="6" t="s">
        <v>2218</v>
      </c>
      <c r="B1529" s="4">
        <v>45621</v>
      </c>
      <c r="C1529" s="6" t="s">
        <v>2802</v>
      </c>
      <c r="D1529" s="7">
        <v>0.89828703703703705</v>
      </c>
      <c r="E1529" s="6" t="s">
        <v>16</v>
      </c>
      <c r="F1529" s="6" t="s">
        <v>2219</v>
      </c>
      <c r="G1529" s="4">
        <v>35668</v>
      </c>
      <c r="H1529" s="6" t="s">
        <v>164</v>
      </c>
      <c r="I1529">
        <v>277</v>
      </c>
      <c r="J1529">
        <v>1</v>
      </c>
      <c r="K1529">
        <v>277</v>
      </c>
      <c r="L1529" s="6" t="s">
        <v>41</v>
      </c>
      <c r="M1529" s="6" t="s">
        <v>26</v>
      </c>
      <c r="N1529" s="6" t="s">
        <v>56</v>
      </c>
    </row>
    <row r="1530" spans="1:14" x14ac:dyDescent="0.25">
      <c r="A1530" s="6" t="s">
        <v>2221</v>
      </c>
      <c r="B1530" s="4">
        <v>45734</v>
      </c>
      <c r="C1530" s="6" t="s">
        <v>2798</v>
      </c>
      <c r="D1530" s="7">
        <v>0.47291666666666665</v>
      </c>
      <c r="E1530" s="6" t="s">
        <v>16</v>
      </c>
      <c r="F1530" s="6" t="s">
        <v>622</v>
      </c>
      <c r="G1530" s="4">
        <v>27887</v>
      </c>
      <c r="H1530" s="6" t="s">
        <v>202</v>
      </c>
      <c r="I1530">
        <v>44</v>
      </c>
      <c r="J1530">
        <v>1</v>
      </c>
      <c r="K1530">
        <v>44</v>
      </c>
      <c r="L1530" s="6" t="s">
        <v>41</v>
      </c>
      <c r="M1530" s="6" t="s">
        <v>47</v>
      </c>
      <c r="N1530" s="6" t="s">
        <v>56</v>
      </c>
    </row>
    <row r="1531" spans="1:14" x14ac:dyDescent="0.25">
      <c r="A1531" s="6" t="s">
        <v>2222</v>
      </c>
      <c r="B1531" s="4">
        <v>45655</v>
      </c>
      <c r="C1531" s="6" t="s">
        <v>2796</v>
      </c>
      <c r="D1531" s="7">
        <v>0.71458333333333335</v>
      </c>
      <c r="E1531" s="6" t="s">
        <v>16</v>
      </c>
      <c r="F1531" s="6" t="s">
        <v>512</v>
      </c>
      <c r="G1531" s="4">
        <v>29707</v>
      </c>
      <c r="H1531" s="6" t="s">
        <v>36</v>
      </c>
      <c r="I1531">
        <v>115</v>
      </c>
      <c r="J1531">
        <v>3</v>
      </c>
      <c r="K1531">
        <v>347</v>
      </c>
      <c r="L1531" s="6" t="s">
        <v>67</v>
      </c>
      <c r="M1531" s="6" t="s">
        <v>26</v>
      </c>
      <c r="N1531" s="6" t="s">
        <v>21</v>
      </c>
    </row>
    <row r="1532" spans="1:14" x14ac:dyDescent="0.25">
      <c r="A1532" s="6" t="s">
        <v>2223</v>
      </c>
      <c r="B1532" s="4">
        <v>45978</v>
      </c>
      <c r="C1532" s="6" t="s">
        <v>2802</v>
      </c>
      <c r="D1532" s="7">
        <v>0.45208333333333334</v>
      </c>
      <c r="E1532" s="6" t="s">
        <v>16</v>
      </c>
      <c r="F1532" s="6" t="s">
        <v>256</v>
      </c>
      <c r="G1532" s="4">
        <v>40048</v>
      </c>
      <c r="H1532" s="6" t="s">
        <v>145</v>
      </c>
      <c r="I1532">
        <v>112</v>
      </c>
      <c r="J1532">
        <v>2</v>
      </c>
      <c r="K1532">
        <v>225</v>
      </c>
      <c r="L1532" s="6" t="s">
        <v>19</v>
      </c>
      <c r="M1532" s="6" t="s">
        <v>55</v>
      </c>
      <c r="N1532" s="6" t="s">
        <v>27</v>
      </c>
    </row>
    <row r="1533" spans="1:14" x14ac:dyDescent="0.25">
      <c r="A1533" s="6" t="s">
        <v>2224</v>
      </c>
      <c r="B1533" s="4">
        <v>45824</v>
      </c>
      <c r="C1533" s="6" t="s">
        <v>2800</v>
      </c>
      <c r="D1533" s="7">
        <v>0.71875</v>
      </c>
      <c r="E1533" s="6" t="s">
        <v>16</v>
      </c>
      <c r="F1533" s="6" t="s">
        <v>107</v>
      </c>
      <c r="G1533" s="4">
        <v>32023</v>
      </c>
      <c r="H1533" s="6" t="s">
        <v>126</v>
      </c>
      <c r="I1533">
        <v>136</v>
      </c>
      <c r="J1533">
        <v>2</v>
      </c>
      <c r="K1533">
        <v>272</v>
      </c>
      <c r="L1533" s="6" t="s">
        <v>54</v>
      </c>
      <c r="M1533" s="6" t="s">
        <v>61</v>
      </c>
      <c r="N1533" s="6" t="s">
        <v>105</v>
      </c>
    </row>
    <row r="1534" spans="1:14" x14ac:dyDescent="0.25">
      <c r="A1534" s="6" t="s">
        <v>2225</v>
      </c>
      <c r="B1534" s="4">
        <v>45878</v>
      </c>
      <c r="C1534" s="6" t="s">
        <v>2793</v>
      </c>
      <c r="D1534" s="7">
        <v>0.5854166666666667</v>
      </c>
      <c r="E1534" s="6" t="s">
        <v>16</v>
      </c>
      <c r="F1534" s="6" t="s">
        <v>411</v>
      </c>
      <c r="G1534" s="4">
        <v>30796</v>
      </c>
      <c r="H1534" s="6" t="s">
        <v>36</v>
      </c>
      <c r="I1534">
        <v>310</v>
      </c>
      <c r="J1534">
        <v>1</v>
      </c>
      <c r="K1534">
        <v>311</v>
      </c>
      <c r="L1534" s="6" t="s">
        <v>19</v>
      </c>
      <c r="M1534" s="6" t="s">
        <v>37</v>
      </c>
      <c r="N1534" s="6" t="s">
        <v>74</v>
      </c>
    </row>
    <row r="1535" spans="1:14" x14ac:dyDescent="0.25">
      <c r="A1535" s="6" t="s">
        <v>2226</v>
      </c>
      <c r="B1535" s="4">
        <v>45946</v>
      </c>
      <c r="C1535" s="6" t="s">
        <v>2791</v>
      </c>
      <c r="D1535" s="7">
        <v>0.45555555555555555</v>
      </c>
      <c r="E1535" s="6" t="s">
        <v>16</v>
      </c>
      <c r="F1535" s="6" t="s">
        <v>107</v>
      </c>
      <c r="G1535" s="4">
        <v>27412</v>
      </c>
      <c r="H1535" s="6" t="s">
        <v>36</v>
      </c>
      <c r="I1535">
        <v>197</v>
      </c>
      <c r="J1535">
        <v>1</v>
      </c>
      <c r="K1535">
        <v>198</v>
      </c>
      <c r="L1535" s="6" t="s">
        <v>19</v>
      </c>
      <c r="M1535" s="6" t="s">
        <v>55</v>
      </c>
      <c r="N1535" s="6" t="s">
        <v>74</v>
      </c>
    </row>
    <row r="1536" spans="1:14" x14ac:dyDescent="0.25">
      <c r="A1536" s="6" t="s">
        <v>2227</v>
      </c>
      <c r="B1536" s="4">
        <v>45817</v>
      </c>
      <c r="C1536" s="6" t="s">
        <v>2800</v>
      </c>
      <c r="D1536" s="7">
        <v>0.66666666666666663</v>
      </c>
      <c r="E1536" s="6" t="s">
        <v>16</v>
      </c>
      <c r="F1536" s="6" t="s">
        <v>1384</v>
      </c>
      <c r="G1536" s="4">
        <v>26477</v>
      </c>
      <c r="H1536" s="6" t="s">
        <v>202</v>
      </c>
      <c r="I1536">
        <v>119</v>
      </c>
      <c r="J1536">
        <v>1</v>
      </c>
      <c r="K1536">
        <v>119</v>
      </c>
      <c r="L1536" s="6" t="s">
        <v>19</v>
      </c>
      <c r="M1536" s="6" t="s">
        <v>20</v>
      </c>
      <c r="N1536" s="6" t="s">
        <v>48</v>
      </c>
    </row>
    <row r="1537" spans="1:14" x14ac:dyDescent="0.25">
      <c r="A1537" s="6" t="s">
        <v>2229</v>
      </c>
      <c r="B1537" s="4">
        <v>45776</v>
      </c>
      <c r="C1537" s="6" t="s">
        <v>2801</v>
      </c>
      <c r="D1537" s="7">
        <v>0.9194444444444444</v>
      </c>
      <c r="E1537" s="6" t="s">
        <v>16</v>
      </c>
      <c r="F1537" s="6" t="s">
        <v>330</v>
      </c>
      <c r="G1537" s="4">
        <v>33992</v>
      </c>
      <c r="H1537" s="6" t="s">
        <v>243</v>
      </c>
      <c r="I1537">
        <v>131</v>
      </c>
      <c r="J1537">
        <v>3</v>
      </c>
      <c r="K1537">
        <v>396</v>
      </c>
      <c r="L1537" s="6" t="s">
        <v>2787</v>
      </c>
      <c r="M1537" s="6" t="s">
        <v>55</v>
      </c>
      <c r="N1537" s="6" t="s">
        <v>33</v>
      </c>
    </row>
    <row r="1538" spans="1:14" x14ac:dyDescent="0.25">
      <c r="A1538" s="6" t="s">
        <v>2230</v>
      </c>
      <c r="B1538" s="4">
        <v>45685</v>
      </c>
      <c r="C1538" s="6" t="s">
        <v>2794</v>
      </c>
      <c r="D1538" s="7">
        <v>0.72777777777777775</v>
      </c>
      <c r="E1538" s="6" t="s">
        <v>16</v>
      </c>
      <c r="F1538" s="6" t="s">
        <v>295</v>
      </c>
      <c r="G1538" s="4">
        <v>35653</v>
      </c>
      <c r="H1538" s="6" t="s">
        <v>30</v>
      </c>
      <c r="I1538">
        <v>301</v>
      </c>
      <c r="J1538">
        <v>1</v>
      </c>
      <c r="K1538">
        <v>302</v>
      </c>
      <c r="L1538" s="6" t="s">
        <v>54</v>
      </c>
      <c r="M1538" s="6" t="s">
        <v>47</v>
      </c>
      <c r="N1538" s="6" t="s">
        <v>33</v>
      </c>
    </row>
    <row r="1539" spans="1:14" x14ac:dyDescent="0.25">
      <c r="A1539" s="6" t="s">
        <v>2231</v>
      </c>
      <c r="B1539" s="4">
        <v>45818</v>
      </c>
      <c r="C1539" s="6" t="s">
        <v>2800</v>
      </c>
      <c r="D1539" s="7">
        <v>0.79390046296296302</v>
      </c>
      <c r="E1539" s="6" t="s">
        <v>16</v>
      </c>
      <c r="F1539" s="6" t="s">
        <v>562</v>
      </c>
      <c r="G1539" s="4">
        <v>34166</v>
      </c>
      <c r="H1539" s="6" t="s">
        <v>129</v>
      </c>
      <c r="I1539">
        <v>163</v>
      </c>
      <c r="J1539">
        <v>3</v>
      </c>
      <c r="K1539">
        <v>492</v>
      </c>
      <c r="L1539" s="6" t="s">
        <v>54</v>
      </c>
      <c r="M1539" s="6" t="s">
        <v>55</v>
      </c>
      <c r="N1539" s="6" t="s">
        <v>33</v>
      </c>
    </row>
    <row r="1540" spans="1:14" x14ac:dyDescent="0.25">
      <c r="A1540" s="6" t="s">
        <v>2232</v>
      </c>
      <c r="B1540" s="4">
        <v>45869</v>
      </c>
      <c r="C1540" s="6" t="s">
        <v>2795</v>
      </c>
      <c r="D1540" s="7">
        <v>0.45833333333333331</v>
      </c>
      <c r="E1540" s="6" t="s">
        <v>16</v>
      </c>
      <c r="F1540" s="6" t="s">
        <v>59</v>
      </c>
      <c r="G1540" s="4">
        <v>34166</v>
      </c>
      <c r="H1540" s="6" t="s">
        <v>36</v>
      </c>
      <c r="I1540">
        <v>109</v>
      </c>
      <c r="J1540">
        <v>2</v>
      </c>
      <c r="L1540" s="6" t="s">
        <v>41</v>
      </c>
      <c r="M1540" s="6" t="s">
        <v>89</v>
      </c>
      <c r="N1540" s="6" t="s">
        <v>48</v>
      </c>
    </row>
    <row r="1541" spans="1:14" x14ac:dyDescent="0.25">
      <c r="A1541" s="6" t="s">
        <v>2234</v>
      </c>
      <c r="B1541" s="4">
        <v>45753</v>
      </c>
      <c r="C1541" s="6" t="s">
        <v>2801</v>
      </c>
      <c r="D1541" s="7">
        <v>0.59305555555555556</v>
      </c>
      <c r="E1541" s="6" t="s">
        <v>16</v>
      </c>
      <c r="F1541" s="6" t="s">
        <v>125</v>
      </c>
      <c r="G1541" s="4">
        <v>28937</v>
      </c>
      <c r="H1541" s="6" t="s">
        <v>104</v>
      </c>
      <c r="I1541">
        <v>218</v>
      </c>
      <c r="J1541">
        <v>1</v>
      </c>
      <c r="K1541">
        <v>218</v>
      </c>
      <c r="L1541" s="6" t="s">
        <v>41</v>
      </c>
      <c r="M1541" s="6" t="s">
        <v>32</v>
      </c>
      <c r="N1541" s="6" t="s">
        <v>56</v>
      </c>
    </row>
    <row r="1542" spans="1:14" x14ac:dyDescent="0.25">
      <c r="A1542" s="6" t="s">
        <v>2235</v>
      </c>
      <c r="B1542" s="4">
        <v>45916</v>
      </c>
      <c r="C1542" s="6" t="s">
        <v>2797</v>
      </c>
      <c r="D1542" s="7">
        <v>0.89834490740740736</v>
      </c>
      <c r="E1542" s="6" t="s">
        <v>16</v>
      </c>
      <c r="F1542" s="6" t="s">
        <v>191</v>
      </c>
      <c r="G1542" s="4">
        <v>31704</v>
      </c>
      <c r="H1542" s="6" t="s">
        <v>40</v>
      </c>
      <c r="I1542">
        <v>169</v>
      </c>
      <c r="J1542">
        <v>1</v>
      </c>
      <c r="K1542">
        <v>169</v>
      </c>
      <c r="L1542" s="6" t="s">
        <v>2787</v>
      </c>
      <c r="M1542" s="6" t="s">
        <v>47</v>
      </c>
      <c r="N1542" s="6" t="s">
        <v>33</v>
      </c>
    </row>
    <row r="1543" spans="1:14" x14ac:dyDescent="0.25">
      <c r="A1543" s="6" t="s">
        <v>2236</v>
      </c>
      <c r="B1543" s="4">
        <v>45959</v>
      </c>
      <c r="C1543" s="6" t="s">
        <v>2791</v>
      </c>
      <c r="D1543" s="7">
        <v>0.55833333333333335</v>
      </c>
      <c r="E1543" s="6" t="s">
        <v>16</v>
      </c>
      <c r="F1543" s="6" t="s">
        <v>346</v>
      </c>
      <c r="G1543" s="4">
        <v>37422</v>
      </c>
      <c r="H1543" s="6" t="s">
        <v>85</v>
      </c>
      <c r="I1543">
        <v>228</v>
      </c>
      <c r="J1543">
        <v>1</v>
      </c>
      <c r="K1543">
        <v>100</v>
      </c>
      <c r="L1543" s="6" t="s">
        <v>2787</v>
      </c>
      <c r="M1543" s="6" t="s">
        <v>32</v>
      </c>
      <c r="N1543" s="6" t="s">
        <v>27</v>
      </c>
    </row>
    <row r="1544" spans="1:14" x14ac:dyDescent="0.25">
      <c r="A1544" s="6" t="s">
        <v>2237</v>
      </c>
      <c r="B1544" s="4">
        <v>45720</v>
      </c>
      <c r="C1544" s="6" t="s">
        <v>2798</v>
      </c>
      <c r="D1544" s="7">
        <v>0.62777777777777777</v>
      </c>
      <c r="E1544" s="6" t="s">
        <v>16</v>
      </c>
      <c r="F1544" s="6" t="s">
        <v>622</v>
      </c>
      <c r="G1544" s="4">
        <v>37422</v>
      </c>
      <c r="H1544" s="6" t="s">
        <v>73</v>
      </c>
      <c r="I1544">
        <v>53</v>
      </c>
      <c r="J1544">
        <v>2</v>
      </c>
      <c r="K1544">
        <v>107</v>
      </c>
      <c r="L1544" s="6" t="s">
        <v>67</v>
      </c>
      <c r="M1544" s="6" t="s">
        <v>32</v>
      </c>
      <c r="N1544" s="6" t="s">
        <v>48</v>
      </c>
    </row>
    <row r="1545" spans="1:14" x14ac:dyDescent="0.25">
      <c r="A1545" s="6" t="s">
        <v>2238</v>
      </c>
      <c r="B1545" s="4">
        <v>45976</v>
      </c>
      <c r="C1545" s="6" t="s">
        <v>2802</v>
      </c>
      <c r="D1545" s="7">
        <v>0.86250000000000004</v>
      </c>
      <c r="E1545" s="6" t="s">
        <v>16</v>
      </c>
      <c r="F1545" s="6" t="s">
        <v>871</v>
      </c>
      <c r="G1545" s="4">
        <v>38973</v>
      </c>
      <c r="H1545" s="6" t="s">
        <v>77</v>
      </c>
      <c r="I1545">
        <v>82</v>
      </c>
      <c r="J1545">
        <v>2</v>
      </c>
      <c r="K1545">
        <v>164</v>
      </c>
      <c r="L1545" s="6" t="s">
        <v>41</v>
      </c>
      <c r="M1545" s="6" t="s">
        <v>47</v>
      </c>
      <c r="N1545" s="6" t="s">
        <v>21</v>
      </c>
    </row>
    <row r="1546" spans="1:14" x14ac:dyDescent="0.25">
      <c r="A1546" s="6" t="s">
        <v>2239</v>
      </c>
      <c r="B1546" s="4">
        <v>45793</v>
      </c>
      <c r="C1546" s="6" t="s">
        <v>2792</v>
      </c>
      <c r="D1546" s="7">
        <v>0.43751157407407409</v>
      </c>
      <c r="E1546" s="6" t="s">
        <v>16</v>
      </c>
      <c r="F1546" s="6" t="s">
        <v>659</v>
      </c>
      <c r="G1546" s="4">
        <v>37971</v>
      </c>
      <c r="H1546" s="6" t="s">
        <v>18</v>
      </c>
      <c r="I1546">
        <v>109</v>
      </c>
      <c r="J1546">
        <v>2</v>
      </c>
      <c r="K1546">
        <v>218</v>
      </c>
      <c r="L1546" s="6" t="s">
        <v>67</v>
      </c>
      <c r="M1546" s="6" t="s">
        <v>47</v>
      </c>
      <c r="N1546" s="6" t="s">
        <v>21</v>
      </c>
    </row>
    <row r="1547" spans="1:14" x14ac:dyDescent="0.25">
      <c r="A1547" s="6" t="s">
        <v>2240</v>
      </c>
      <c r="B1547" s="4">
        <v>45903</v>
      </c>
      <c r="C1547" s="6" t="s">
        <v>2797</v>
      </c>
      <c r="D1547" s="7">
        <v>0.85486111111111107</v>
      </c>
      <c r="E1547" s="6" t="s">
        <v>16</v>
      </c>
      <c r="F1547" s="6" t="s">
        <v>365</v>
      </c>
      <c r="G1547" s="4">
        <v>32615</v>
      </c>
      <c r="H1547" s="6" t="s">
        <v>202</v>
      </c>
      <c r="I1547">
        <v>221</v>
      </c>
      <c r="J1547">
        <v>1</v>
      </c>
      <c r="K1547">
        <v>100</v>
      </c>
      <c r="L1547" s="6" t="s">
        <v>19</v>
      </c>
      <c r="M1547" s="6" t="s">
        <v>61</v>
      </c>
      <c r="N1547" s="6" t="s">
        <v>74</v>
      </c>
    </row>
    <row r="1548" spans="1:14" x14ac:dyDescent="0.25">
      <c r="A1548" s="6" t="s">
        <v>2241</v>
      </c>
      <c r="B1548" s="4">
        <v>45982</v>
      </c>
      <c r="C1548" s="6" t="s">
        <v>2802</v>
      </c>
      <c r="D1548" s="7">
        <v>0.70416666666666672</v>
      </c>
      <c r="E1548" s="6" t="s">
        <v>16</v>
      </c>
      <c r="F1548" s="6" t="s">
        <v>1627</v>
      </c>
      <c r="G1548" s="4">
        <v>31633</v>
      </c>
      <c r="H1548" s="6" t="s">
        <v>93</v>
      </c>
      <c r="I1548">
        <v>205</v>
      </c>
      <c r="J1548">
        <v>1</v>
      </c>
      <c r="K1548">
        <v>205</v>
      </c>
      <c r="L1548" s="6" t="s">
        <v>67</v>
      </c>
      <c r="M1548" s="6" t="s">
        <v>20</v>
      </c>
      <c r="N1548" s="6" t="s">
        <v>48</v>
      </c>
    </row>
    <row r="1549" spans="1:14" x14ac:dyDescent="0.25">
      <c r="A1549" s="6" t="s">
        <v>2242</v>
      </c>
      <c r="B1549" s="4">
        <v>45896</v>
      </c>
      <c r="C1549" s="6" t="s">
        <v>2793</v>
      </c>
      <c r="D1549" s="7">
        <v>0.75745370370370368</v>
      </c>
      <c r="E1549" s="6" t="s">
        <v>16</v>
      </c>
      <c r="F1549" s="6" t="s">
        <v>181</v>
      </c>
      <c r="G1549" s="4">
        <v>33584</v>
      </c>
      <c r="H1549" s="6" t="s">
        <v>116</v>
      </c>
      <c r="I1549">
        <v>205</v>
      </c>
      <c r="J1549">
        <v>3</v>
      </c>
      <c r="K1549">
        <v>205</v>
      </c>
      <c r="L1549" s="6" t="s">
        <v>41</v>
      </c>
      <c r="M1549" s="6" t="s">
        <v>32</v>
      </c>
      <c r="N1549" s="6" t="s">
        <v>74</v>
      </c>
    </row>
    <row r="1550" spans="1:14" x14ac:dyDescent="0.25">
      <c r="A1550" s="6" t="s">
        <v>2243</v>
      </c>
      <c r="B1550" s="4">
        <v>45963</v>
      </c>
      <c r="C1550" s="6" t="s">
        <v>2802</v>
      </c>
      <c r="D1550" s="7">
        <v>0.98819444444444449</v>
      </c>
      <c r="E1550" s="6" t="s">
        <v>16</v>
      </c>
      <c r="F1550" s="6" t="s">
        <v>144</v>
      </c>
      <c r="G1550" s="4">
        <v>31377</v>
      </c>
      <c r="H1550" s="6" t="s">
        <v>93</v>
      </c>
      <c r="I1550">
        <v>172</v>
      </c>
      <c r="J1550">
        <v>1</v>
      </c>
      <c r="K1550">
        <v>172</v>
      </c>
      <c r="L1550" s="6" t="s">
        <v>41</v>
      </c>
      <c r="M1550" s="6" t="s">
        <v>20</v>
      </c>
      <c r="N1550" s="6" t="s">
        <v>56</v>
      </c>
    </row>
    <row r="1551" spans="1:14" x14ac:dyDescent="0.25">
      <c r="A1551" s="6" t="s">
        <v>2244</v>
      </c>
      <c r="B1551" s="4">
        <v>45947</v>
      </c>
      <c r="C1551" s="6" t="s">
        <v>2791</v>
      </c>
      <c r="D1551" s="7">
        <v>0.52500000000000002</v>
      </c>
      <c r="E1551" s="6" t="s">
        <v>16</v>
      </c>
      <c r="F1551" s="6" t="s">
        <v>267</v>
      </c>
      <c r="G1551" s="4">
        <v>34100</v>
      </c>
      <c r="H1551" s="6" t="s">
        <v>77</v>
      </c>
      <c r="I1551">
        <v>86</v>
      </c>
      <c r="J1551">
        <v>3</v>
      </c>
      <c r="K1551">
        <v>259</v>
      </c>
      <c r="L1551" s="6" t="s">
        <v>2787</v>
      </c>
      <c r="M1551" s="6" t="s">
        <v>89</v>
      </c>
      <c r="N1551" s="6" t="s">
        <v>56</v>
      </c>
    </row>
    <row r="1552" spans="1:14" x14ac:dyDescent="0.25">
      <c r="A1552" s="6" t="s">
        <v>2245</v>
      </c>
      <c r="B1552" s="4">
        <v>45820</v>
      </c>
      <c r="C1552" s="6" t="s">
        <v>2800</v>
      </c>
      <c r="D1552" s="7">
        <v>0.8208333333333333</v>
      </c>
      <c r="E1552" s="6" t="s">
        <v>16</v>
      </c>
      <c r="F1552" s="6" t="s">
        <v>405</v>
      </c>
      <c r="G1552" s="4">
        <v>36366</v>
      </c>
      <c r="H1552" s="6" t="s">
        <v>145</v>
      </c>
      <c r="I1552">
        <v>106</v>
      </c>
      <c r="J1552">
        <v>3</v>
      </c>
      <c r="K1552">
        <v>320</v>
      </c>
      <c r="L1552" s="6" t="s">
        <v>2787</v>
      </c>
      <c r="M1552" s="6" t="s">
        <v>47</v>
      </c>
      <c r="N1552" s="6" t="s">
        <v>105</v>
      </c>
    </row>
    <row r="1553" spans="1:14" x14ac:dyDescent="0.25">
      <c r="A1553" s="6" t="s">
        <v>2246</v>
      </c>
      <c r="B1553" s="4">
        <v>45684</v>
      </c>
      <c r="C1553" s="6" t="s">
        <v>2794</v>
      </c>
      <c r="D1553" s="7">
        <v>0.88582175925925921</v>
      </c>
      <c r="E1553" s="6" t="s">
        <v>16</v>
      </c>
      <c r="F1553" s="6" t="s">
        <v>299</v>
      </c>
      <c r="G1553" s="4">
        <v>31782</v>
      </c>
      <c r="H1553" s="6" t="s">
        <v>141</v>
      </c>
      <c r="I1553">
        <v>149</v>
      </c>
      <c r="J1553">
        <v>3</v>
      </c>
      <c r="K1553">
        <v>491</v>
      </c>
      <c r="L1553" s="6" t="s">
        <v>67</v>
      </c>
      <c r="M1553" s="6" t="s">
        <v>89</v>
      </c>
      <c r="N1553" s="6" t="s">
        <v>27</v>
      </c>
    </row>
    <row r="1554" spans="1:14" x14ac:dyDescent="0.25">
      <c r="A1554" s="6" t="s">
        <v>2247</v>
      </c>
      <c r="B1554" s="4">
        <v>45866</v>
      </c>
      <c r="C1554" s="6" t="s">
        <v>2795</v>
      </c>
      <c r="D1554" s="7">
        <v>0.93680555555555556</v>
      </c>
      <c r="E1554" s="6" t="s">
        <v>16</v>
      </c>
      <c r="F1554" s="6" t="s">
        <v>451</v>
      </c>
      <c r="G1554" s="4">
        <v>38028</v>
      </c>
      <c r="H1554" s="6" t="s">
        <v>30</v>
      </c>
      <c r="I1554">
        <v>250</v>
      </c>
      <c r="J1554">
        <v>1</v>
      </c>
      <c r="K1554">
        <v>250</v>
      </c>
      <c r="L1554" s="6" t="s">
        <v>19</v>
      </c>
      <c r="M1554" s="6" t="s">
        <v>20</v>
      </c>
      <c r="N1554" s="6" t="s">
        <v>74</v>
      </c>
    </row>
    <row r="1555" spans="1:14" x14ac:dyDescent="0.25">
      <c r="A1555" s="6" t="s">
        <v>2249</v>
      </c>
      <c r="B1555" s="4">
        <v>45829</v>
      </c>
      <c r="C1555" s="6" t="s">
        <v>2800</v>
      </c>
      <c r="D1555" s="7">
        <v>0.67361111111111116</v>
      </c>
      <c r="E1555" s="6" t="s">
        <v>16</v>
      </c>
      <c r="F1555" s="6" t="s">
        <v>144</v>
      </c>
      <c r="G1555" s="4">
        <v>39045</v>
      </c>
      <c r="H1555" s="6" t="s">
        <v>145</v>
      </c>
      <c r="I1555">
        <v>257</v>
      </c>
      <c r="J1555">
        <v>3</v>
      </c>
      <c r="K1555">
        <v>772</v>
      </c>
      <c r="L1555" s="6" t="s">
        <v>19</v>
      </c>
      <c r="M1555" s="6" t="s">
        <v>26</v>
      </c>
      <c r="N1555" s="6" t="s">
        <v>74</v>
      </c>
    </row>
    <row r="1556" spans="1:14" x14ac:dyDescent="0.25">
      <c r="A1556" s="6" t="s">
        <v>2250</v>
      </c>
      <c r="B1556" s="4">
        <v>45843</v>
      </c>
      <c r="C1556" s="6" t="s">
        <v>2795</v>
      </c>
      <c r="D1556" s="7">
        <v>0.77958333333333329</v>
      </c>
      <c r="E1556" s="6" t="s">
        <v>16</v>
      </c>
      <c r="F1556" s="6" t="s">
        <v>387</v>
      </c>
      <c r="G1556" s="4">
        <v>34309</v>
      </c>
      <c r="H1556" s="6" t="s">
        <v>213</v>
      </c>
      <c r="I1556">
        <v>119</v>
      </c>
      <c r="J1556">
        <v>2</v>
      </c>
      <c r="K1556">
        <v>239</v>
      </c>
      <c r="L1556" s="6" t="s">
        <v>19</v>
      </c>
      <c r="M1556" s="6" t="s">
        <v>26</v>
      </c>
      <c r="N1556" s="6" t="s">
        <v>56</v>
      </c>
    </row>
    <row r="1557" spans="1:14" x14ac:dyDescent="0.25">
      <c r="A1557" s="6" t="s">
        <v>2251</v>
      </c>
      <c r="B1557" s="4">
        <v>45778</v>
      </c>
      <c r="C1557" s="6" t="s">
        <v>2792</v>
      </c>
      <c r="D1557" s="7">
        <v>0.96597222222222223</v>
      </c>
      <c r="E1557" s="6" t="s">
        <v>16</v>
      </c>
      <c r="F1557" s="6" t="s">
        <v>712</v>
      </c>
      <c r="G1557" s="4">
        <v>39462</v>
      </c>
      <c r="H1557" s="6" t="s">
        <v>104</v>
      </c>
      <c r="I1557">
        <v>241</v>
      </c>
      <c r="J1557">
        <v>2</v>
      </c>
      <c r="K1557">
        <v>482</v>
      </c>
      <c r="L1557" s="6" t="s">
        <v>54</v>
      </c>
      <c r="M1557" s="6" t="s">
        <v>47</v>
      </c>
      <c r="N1557" s="6" t="s">
        <v>56</v>
      </c>
    </row>
    <row r="1558" spans="1:14" x14ac:dyDescent="0.25">
      <c r="A1558" s="6" t="s">
        <v>2252</v>
      </c>
      <c r="B1558" s="4">
        <v>45742</v>
      </c>
      <c r="C1558" s="6" t="s">
        <v>2798</v>
      </c>
      <c r="D1558" s="7">
        <v>0.99027777777777781</v>
      </c>
      <c r="E1558" s="6" t="s">
        <v>16</v>
      </c>
      <c r="F1558" s="6" t="s">
        <v>229</v>
      </c>
      <c r="G1558" s="4">
        <v>34922</v>
      </c>
      <c r="H1558" s="6" t="s">
        <v>60</v>
      </c>
      <c r="I1558">
        <v>119</v>
      </c>
      <c r="J1558">
        <v>1</v>
      </c>
      <c r="K1558">
        <v>100</v>
      </c>
      <c r="L1558" s="6" t="s">
        <v>41</v>
      </c>
      <c r="M1558" s="6" t="s">
        <v>32</v>
      </c>
      <c r="N1558" s="6" t="s">
        <v>56</v>
      </c>
    </row>
    <row r="1559" spans="1:14" x14ac:dyDescent="0.25">
      <c r="A1559" s="6" t="s">
        <v>2253</v>
      </c>
      <c r="B1559" s="4">
        <v>45717</v>
      </c>
      <c r="C1559" s="6" t="s">
        <v>2798</v>
      </c>
      <c r="D1559" s="7">
        <v>0.61875000000000002</v>
      </c>
      <c r="E1559" s="6" t="s">
        <v>16</v>
      </c>
      <c r="F1559" s="6" t="s">
        <v>173</v>
      </c>
      <c r="G1559" s="4">
        <v>30160</v>
      </c>
      <c r="H1559" s="6" t="s">
        <v>73</v>
      </c>
      <c r="I1559">
        <v>46</v>
      </c>
      <c r="J1559">
        <v>3</v>
      </c>
      <c r="K1559">
        <v>138</v>
      </c>
      <c r="L1559" s="6" t="s">
        <v>41</v>
      </c>
      <c r="M1559" s="6" t="s">
        <v>47</v>
      </c>
      <c r="N1559" s="6" t="s">
        <v>27</v>
      </c>
    </row>
    <row r="1560" spans="1:14" x14ac:dyDescent="0.25">
      <c r="A1560" s="6" t="s">
        <v>2254</v>
      </c>
      <c r="B1560" s="4">
        <v>45828</v>
      </c>
      <c r="C1560" s="6" t="s">
        <v>2800</v>
      </c>
      <c r="D1560" s="7">
        <v>0.79722222222222228</v>
      </c>
      <c r="E1560" s="6" t="s">
        <v>16</v>
      </c>
      <c r="F1560" s="6" t="s">
        <v>594</v>
      </c>
      <c r="G1560" s="4">
        <v>39207</v>
      </c>
      <c r="H1560" s="6" t="s">
        <v>110</v>
      </c>
      <c r="I1560">
        <v>112</v>
      </c>
      <c r="J1560">
        <v>3</v>
      </c>
      <c r="K1560">
        <v>337</v>
      </c>
      <c r="L1560" s="6" t="s">
        <v>67</v>
      </c>
      <c r="M1560" s="6" t="s">
        <v>61</v>
      </c>
      <c r="N1560" s="6" t="s">
        <v>27</v>
      </c>
    </row>
    <row r="1561" spans="1:14" x14ac:dyDescent="0.25">
      <c r="A1561" s="6" t="s">
        <v>2255</v>
      </c>
      <c r="B1561" s="4">
        <v>45677</v>
      </c>
      <c r="C1561" s="6" t="s">
        <v>2794</v>
      </c>
      <c r="D1561" s="7">
        <v>0.56388888888888888</v>
      </c>
      <c r="E1561" s="6" t="s">
        <v>16</v>
      </c>
      <c r="F1561" s="6" t="s">
        <v>360</v>
      </c>
      <c r="G1561" s="4">
        <v>39207</v>
      </c>
      <c r="H1561" s="6" t="s">
        <v>36</v>
      </c>
      <c r="I1561">
        <v>111</v>
      </c>
      <c r="J1561">
        <v>1</v>
      </c>
      <c r="K1561">
        <v>111</v>
      </c>
      <c r="L1561" s="6" t="s">
        <v>54</v>
      </c>
      <c r="M1561" s="6" t="s">
        <v>47</v>
      </c>
      <c r="N1561" s="6" t="s">
        <v>105</v>
      </c>
    </row>
    <row r="1562" spans="1:14" x14ac:dyDescent="0.25">
      <c r="A1562" s="6" t="s">
        <v>2256</v>
      </c>
      <c r="B1562" s="4">
        <v>45775</v>
      </c>
      <c r="C1562" s="6" t="s">
        <v>2801</v>
      </c>
      <c r="D1562" s="7">
        <v>0.4548611111111111</v>
      </c>
      <c r="E1562" s="6" t="s">
        <v>16</v>
      </c>
      <c r="F1562" s="6" t="s">
        <v>76</v>
      </c>
      <c r="G1562" s="4">
        <v>27753</v>
      </c>
      <c r="H1562" s="6" t="s">
        <v>73</v>
      </c>
      <c r="I1562">
        <v>36</v>
      </c>
      <c r="J1562">
        <v>2</v>
      </c>
      <c r="K1562">
        <v>72</v>
      </c>
      <c r="L1562" s="6" t="s">
        <v>41</v>
      </c>
      <c r="M1562" s="6" t="s">
        <v>26</v>
      </c>
      <c r="N1562" s="6" t="s">
        <v>105</v>
      </c>
    </row>
    <row r="1563" spans="1:14" x14ac:dyDescent="0.25">
      <c r="A1563" s="6" t="s">
        <v>2257</v>
      </c>
      <c r="B1563" s="4">
        <v>45921</v>
      </c>
      <c r="C1563" s="6" t="s">
        <v>2797</v>
      </c>
      <c r="D1563" s="7">
        <v>0.80833333333333335</v>
      </c>
      <c r="E1563" s="6" t="s">
        <v>16</v>
      </c>
      <c r="F1563" s="6" t="s">
        <v>346</v>
      </c>
      <c r="G1563" s="4">
        <v>34457</v>
      </c>
      <c r="H1563" s="6" t="s">
        <v>40</v>
      </c>
      <c r="I1563">
        <v>236</v>
      </c>
      <c r="J1563">
        <v>1</v>
      </c>
      <c r="K1563">
        <v>236</v>
      </c>
      <c r="L1563" s="6" t="s">
        <v>19</v>
      </c>
      <c r="M1563" s="6" t="s">
        <v>26</v>
      </c>
      <c r="N1563" s="6" t="s">
        <v>56</v>
      </c>
    </row>
    <row r="1564" spans="1:14" x14ac:dyDescent="0.25">
      <c r="A1564" s="6" t="s">
        <v>2258</v>
      </c>
      <c r="B1564" s="4">
        <v>45955</v>
      </c>
      <c r="C1564" s="6" t="s">
        <v>2791</v>
      </c>
      <c r="D1564" s="7">
        <v>0.4440277777777778</v>
      </c>
      <c r="E1564" s="6" t="s">
        <v>16</v>
      </c>
      <c r="F1564" s="6" t="s">
        <v>699</v>
      </c>
      <c r="G1564" s="4">
        <v>34457</v>
      </c>
      <c r="H1564" s="6" t="s">
        <v>60</v>
      </c>
      <c r="I1564">
        <v>210</v>
      </c>
      <c r="J1564">
        <v>1</v>
      </c>
      <c r="K1564">
        <v>211</v>
      </c>
      <c r="L1564" s="6" t="s">
        <v>41</v>
      </c>
      <c r="M1564" s="6" t="s">
        <v>37</v>
      </c>
      <c r="N1564" s="6" t="s">
        <v>48</v>
      </c>
    </row>
    <row r="1565" spans="1:14" x14ac:dyDescent="0.25">
      <c r="A1565" s="6" t="s">
        <v>2260</v>
      </c>
      <c r="B1565" s="4">
        <v>45963</v>
      </c>
      <c r="C1565" s="6" t="s">
        <v>2802</v>
      </c>
      <c r="D1565" s="7">
        <v>0.99375000000000002</v>
      </c>
      <c r="E1565" s="6" t="s">
        <v>16</v>
      </c>
      <c r="F1565" s="6" t="s">
        <v>88</v>
      </c>
      <c r="G1565" s="4">
        <v>33401</v>
      </c>
      <c r="H1565" s="6" t="s">
        <v>126</v>
      </c>
      <c r="I1565">
        <v>155</v>
      </c>
      <c r="J1565">
        <v>1</v>
      </c>
      <c r="K1565">
        <v>156</v>
      </c>
      <c r="L1565" s="6" t="s">
        <v>67</v>
      </c>
      <c r="M1565" s="6" t="s">
        <v>32</v>
      </c>
      <c r="N1565" s="6" t="s">
        <v>33</v>
      </c>
    </row>
    <row r="1566" spans="1:14" x14ac:dyDescent="0.25">
      <c r="A1566" s="6" t="s">
        <v>2261</v>
      </c>
      <c r="B1566" s="4">
        <v>45907</v>
      </c>
      <c r="C1566" s="6" t="s">
        <v>2797</v>
      </c>
      <c r="D1566" s="7">
        <v>0.56388888888888888</v>
      </c>
      <c r="E1566" s="6" t="s">
        <v>16</v>
      </c>
      <c r="F1566" s="6" t="s">
        <v>622</v>
      </c>
      <c r="G1566" s="4">
        <v>36100</v>
      </c>
      <c r="H1566" s="6" t="s">
        <v>36</v>
      </c>
      <c r="I1566">
        <v>132</v>
      </c>
      <c r="J1566">
        <v>3</v>
      </c>
      <c r="K1566">
        <v>413</v>
      </c>
      <c r="L1566" s="6" t="s">
        <v>41</v>
      </c>
      <c r="M1566" s="6" t="s">
        <v>32</v>
      </c>
      <c r="N1566" s="6" t="s">
        <v>33</v>
      </c>
    </row>
    <row r="1567" spans="1:14" x14ac:dyDescent="0.25">
      <c r="A1567" s="6" t="s">
        <v>2262</v>
      </c>
      <c r="B1567" s="4">
        <v>45941</v>
      </c>
      <c r="C1567" s="6" t="s">
        <v>2791</v>
      </c>
      <c r="D1567" s="7">
        <v>0.82291666666666663</v>
      </c>
      <c r="E1567" s="6" t="s">
        <v>16</v>
      </c>
      <c r="F1567" s="6" t="s">
        <v>252</v>
      </c>
      <c r="G1567" s="4">
        <v>36641</v>
      </c>
      <c r="H1567" s="6" t="s">
        <v>60</v>
      </c>
      <c r="I1567">
        <v>199</v>
      </c>
      <c r="J1567">
        <v>1</v>
      </c>
      <c r="L1567" s="6" t="s">
        <v>19</v>
      </c>
      <c r="M1567" s="6" t="s">
        <v>26</v>
      </c>
      <c r="N1567" s="6" t="s">
        <v>48</v>
      </c>
    </row>
    <row r="1568" spans="1:14" x14ac:dyDescent="0.25">
      <c r="A1568" s="6" t="s">
        <v>2264</v>
      </c>
      <c r="B1568" s="4">
        <v>45624</v>
      </c>
      <c r="C1568" s="6" t="s">
        <v>2802</v>
      </c>
      <c r="D1568" s="7">
        <v>0.75416666666666665</v>
      </c>
      <c r="E1568" s="6" t="s">
        <v>16</v>
      </c>
      <c r="F1568" s="6" t="s">
        <v>131</v>
      </c>
      <c r="G1568" s="4">
        <v>25577</v>
      </c>
      <c r="H1568" s="6" t="s">
        <v>36</v>
      </c>
      <c r="I1568">
        <v>295</v>
      </c>
      <c r="J1568">
        <v>2</v>
      </c>
      <c r="K1568">
        <v>592</v>
      </c>
      <c r="L1568" s="6" t="s">
        <v>41</v>
      </c>
      <c r="M1568" s="6" t="s">
        <v>37</v>
      </c>
      <c r="N1568" s="6" t="s">
        <v>56</v>
      </c>
    </row>
    <row r="1569" spans="1:14" x14ac:dyDescent="0.25">
      <c r="A1569" s="6" t="s">
        <v>2265</v>
      </c>
      <c r="B1569" s="4">
        <v>45801</v>
      </c>
      <c r="C1569" s="6" t="s">
        <v>2792</v>
      </c>
      <c r="D1569" s="7">
        <v>0.58750000000000002</v>
      </c>
      <c r="E1569" s="6" t="s">
        <v>16</v>
      </c>
      <c r="F1569" s="6" t="s">
        <v>79</v>
      </c>
      <c r="G1569" s="4">
        <v>26944</v>
      </c>
      <c r="H1569" s="6" t="s">
        <v>213</v>
      </c>
      <c r="I1569">
        <v>219</v>
      </c>
      <c r="J1569">
        <v>3</v>
      </c>
      <c r="K1569">
        <v>659</v>
      </c>
      <c r="L1569" s="6" t="s">
        <v>41</v>
      </c>
      <c r="M1569" s="6" t="s">
        <v>20</v>
      </c>
      <c r="N1569" s="6" t="s">
        <v>21</v>
      </c>
    </row>
    <row r="1570" spans="1:14" x14ac:dyDescent="0.25">
      <c r="A1570" s="6" t="s">
        <v>2266</v>
      </c>
      <c r="B1570" s="4">
        <v>45684</v>
      </c>
      <c r="C1570" s="6" t="s">
        <v>2794</v>
      </c>
      <c r="D1570" s="7">
        <v>0.9</v>
      </c>
      <c r="E1570" s="6" t="s">
        <v>16</v>
      </c>
      <c r="F1570" s="6" t="s">
        <v>664</v>
      </c>
      <c r="G1570" s="4">
        <v>26944</v>
      </c>
      <c r="H1570" s="6" t="s">
        <v>73</v>
      </c>
      <c r="I1570">
        <v>45</v>
      </c>
      <c r="J1570">
        <v>1</v>
      </c>
      <c r="K1570">
        <v>45</v>
      </c>
      <c r="L1570" s="6" t="s">
        <v>67</v>
      </c>
      <c r="M1570" s="6" t="s">
        <v>20</v>
      </c>
      <c r="N1570" s="6" t="s">
        <v>21</v>
      </c>
    </row>
    <row r="1571" spans="1:14" x14ac:dyDescent="0.25">
      <c r="A1571" s="6" t="s">
        <v>2267</v>
      </c>
      <c r="B1571" s="4">
        <v>45774</v>
      </c>
      <c r="C1571" s="6" t="s">
        <v>2801</v>
      </c>
      <c r="D1571" s="7">
        <v>0.59583333333333333</v>
      </c>
      <c r="E1571" s="6" t="s">
        <v>16</v>
      </c>
      <c r="F1571" s="6" t="s">
        <v>2268</v>
      </c>
      <c r="G1571" s="4">
        <v>39754</v>
      </c>
      <c r="H1571" s="6" t="s">
        <v>129</v>
      </c>
      <c r="I1571">
        <v>202</v>
      </c>
      <c r="J1571">
        <v>1</v>
      </c>
      <c r="K1571">
        <v>202</v>
      </c>
      <c r="L1571" s="6" t="s">
        <v>41</v>
      </c>
      <c r="M1571" s="6" t="s">
        <v>32</v>
      </c>
      <c r="N1571" s="6" t="s">
        <v>21</v>
      </c>
    </row>
    <row r="1572" spans="1:14" x14ac:dyDescent="0.25">
      <c r="A1572" s="6" t="s">
        <v>2269</v>
      </c>
      <c r="B1572" s="4">
        <v>45868</v>
      </c>
      <c r="C1572" s="6" t="s">
        <v>2795</v>
      </c>
      <c r="D1572" s="7">
        <v>0.89722222222222225</v>
      </c>
      <c r="E1572" s="6" t="s">
        <v>16</v>
      </c>
      <c r="F1572" s="6" t="s">
        <v>562</v>
      </c>
      <c r="G1572" s="4">
        <v>26834</v>
      </c>
      <c r="H1572" s="6" t="s">
        <v>40</v>
      </c>
      <c r="I1572">
        <v>181</v>
      </c>
      <c r="J1572">
        <v>2</v>
      </c>
      <c r="K1572">
        <v>364</v>
      </c>
      <c r="L1572" s="6" t="s">
        <v>41</v>
      </c>
      <c r="M1572" s="6" t="s">
        <v>26</v>
      </c>
      <c r="N1572" s="6" t="s">
        <v>21</v>
      </c>
    </row>
    <row r="1573" spans="1:14" x14ac:dyDescent="0.25">
      <c r="A1573" s="6" t="s">
        <v>2270</v>
      </c>
      <c r="B1573" s="4">
        <v>45718</v>
      </c>
      <c r="C1573" s="6" t="s">
        <v>2798</v>
      </c>
      <c r="D1573" s="7">
        <v>0.51111111111111107</v>
      </c>
      <c r="E1573" s="6" t="s">
        <v>16</v>
      </c>
      <c r="F1573" s="6" t="s">
        <v>82</v>
      </c>
      <c r="G1573" s="4">
        <v>29225</v>
      </c>
      <c r="H1573" s="6" t="s">
        <v>85</v>
      </c>
      <c r="I1573">
        <v>257</v>
      </c>
      <c r="J1573">
        <v>1</v>
      </c>
      <c r="K1573">
        <v>258</v>
      </c>
      <c r="L1573" s="6" t="s">
        <v>2787</v>
      </c>
      <c r="M1573" s="6" t="s">
        <v>32</v>
      </c>
      <c r="N1573" s="6" t="s">
        <v>74</v>
      </c>
    </row>
    <row r="1574" spans="1:14" x14ac:dyDescent="0.25">
      <c r="A1574" s="6" t="s">
        <v>2271</v>
      </c>
      <c r="B1574" s="4">
        <v>45687</v>
      </c>
      <c r="C1574" s="6" t="s">
        <v>2794</v>
      </c>
      <c r="D1574" s="7">
        <v>0.42569444444444443</v>
      </c>
      <c r="E1574" s="6" t="s">
        <v>16</v>
      </c>
      <c r="F1574" s="6" t="s">
        <v>2272</v>
      </c>
      <c r="G1574" s="4">
        <v>28218</v>
      </c>
      <c r="H1574" s="6" t="s">
        <v>243</v>
      </c>
      <c r="I1574">
        <v>257</v>
      </c>
      <c r="J1574">
        <v>3</v>
      </c>
      <c r="K1574">
        <v>258</v>
      </c>
      <c r="L1574" s="6" t="s">
        <v>41</v>
      </c>
      <c r="M1574" s="6" t="s">
        <v>37</v>
      </c>
      <c r="N1574" s="6" t="s">
        <v>74</v>
      </c>
    </row>
    <row r="1575" spans="1:14" x14ac:dyDescent="0.25">
      <c r="A1575" s="6" t="s">
        <v>2273</v>
      </c>
      <c r="B1575" s="4">
        <v>45687</v>
      </c>
      <c r="C1575" s="6" t="s">
        <v>2794</v>
      </c>
      <c r="D1575" s="7">
        <v>0.83888888888888891</v>
      </c>
      <c r="E1575" s="6" t="s">
        <v>16</v>
      </c>
      <c r="F1575" s="6" t="s">
        <v>76</v>
      </c>
      <c r="G1575" s="4">
        <v>36818</v>
      </c>
      <c r="H1575" s="6" t="s">
        <v>36</v>
      </c>
      <c r="I1575">
        <v>134</v>
      </c>
      <c r="J1575">
        <v>2</v>
      </c>
      <c r="K1575">
        <v>268</v>
      </c>
      <c r="L1575" s="6" t="s">
        <v>41</v>
      </c>
      <c r="M1575" s="6" t="s">
        <v>61</v>
      </c>
      <c r="N1575" s="6" t="s">
        <v>74</v>
      </c>
    </row>
    <row r="1576" spans="1:14" x14ac:dyDescent="0.25">
      <c r="A1576" s="6" t="s">
        <v>2275</v>
      </c>
      <c r="B1576" s="4">
        <v>45714</v>
      </c>
      <c r="C1576" s="6" t="s">
        <v>2799</v>
      </c>
      <c r="D1576" s="7">
        <v>0.75071759259259263</v>
      </c>
      <c r="E1576" s="6" t="s">
        <v>16</v>
      </c>
      <c r="F1576" s="6" t="s">
        <v>246</v>
      </c>
      <c r="G1576" s="4">
        <v>32895</v>
      </c>
      <c r="H1576" s="6" t="s">
        <v>93</v>
      </c>
      <c r="I1576">
        <v>228</v>
      </c>
      <c r="J1576">
        <v>2</v>
      </c>
      <c r="K1576">
        <v>456</v>
      </c>
      <c r="L1576" s="6" t="s">
        <v>67</v>
      </c>
      <c r="M1576" s="6" t="s">
        <v>37</v>
      </c>
      <c r="N1576" s="6" t="s">
        <v>33</v>
      </c>
    </row>
    <row r="1577" spans="1:14" x14ac:dyDescent="0.25">
      <c r="A1577" s="6" t="s">
        <v>2277</v>
      </c>
      <c r="B1577" s="4">
        <v>45899</v>
      </c>
      <c r="C1577" s="6" t="s">
        <v>2793</v>
      </c>
      <c r="D1577" s="7">
        <v>0.55077546296296298</v>
      </c>
      <c r="E1577" s="6" t="s">
        <v>16</v>
      </c>
      <c r="F1577" s="6" t="s">
        <v>622</v>
      </c>
      <c r="G1577" s="4">
        <v>40133</v>
      </c>
      <c r="H1577" s="6" t="s">
        <v>116</v>
      </c>
      <c r="I1577">
        <v>200</v>
      </c>
      <c r="J1577">
        <v>2</v>
      </c>
      <c r="K1577">
        <v>402</v>
      </c>
      <c r="L1577" s="6" t="s">
        <v>67</v>
      </c>
      <c r="M1577" s="6" t="s">
        <v>55</v>
      </c>
      <c r="N1577" s="6" t="s">
        <v>33</v>
      </c>
    </row>
    <row r="1578" spans="1:14" x14ac:dyDescent="0.25">
      <c r="A1578" s="6" t="s">
        <v>2278</v>
      </c>
      <c r="B1578" s="4">
        <v>45870</v>
      </c>
      <c r="C1578" s="6" t="s">
        <v>2793</v>
      </c>
      <c r="D1578" s="7">
        <v>0.76736111111111116</v>
      </c>
      <c r="E1578" s="6" t="s">
        <v>16</v>
      </c>
      <c r="F1578" s="6" t="s">
        <v>232</v>
      </c>
      <c r="G1578" s="4">
        <v>29947</v>
      </c>
      <c r="H1578" s="6" t="s">
        <v>259</v>
      </c>
      <c r="I1578">
        <v>159</v>
      </c>
      <c r="J1578">
        <v>1</v>
      </c>
      <c r="K1578">
        <v>159</v>
      </c>
      <c r="L1578" s="6" t="s">
        <v>19</v>
      </c>
      <c r="M1578" s="6" t="s">
        <v>26</v>
      </c>
      <c r="N1578" s="6" t="s">
        <v>33</v>
      </c>
    </row>
    <row r="1579" spans="1:14" x14ac:dyDescent="0.25">
      <c r="A1579" s="6" t="s">
        <v>2279</v>
      </c>
      <c r="B1579" s="4">
        <v>45887</v>
      </c>
      <c r="C1579" s="6" t="s">
        <v>2793</v>
      </c>
      <c r="D1579" s="7">
        <v>0.5854166666666667</v>
      </c>
      <c r="E1579" s="6" t="s">
        <v>16</v>
      </c>
      <c r="F1579" s="6" t="s">
        <v>101</v>
      </c>
      <c r="G1579" s="4">
        <v>39574</v>
      </c>
      <c r="H1579" s="6" t="s">
        <v>53</v>
      </c>
      <c r="I1579">
        <v>100</v>
      </c>
      <c r="J1579">
        <v>3</v>
      </c>
      <c r="K1579">
        <v>301</v>
      </c>
      <c r="L1579" s="6" t="s">
        <v>41</v>
      </c>
      <c r="M1579" s="6" t="s">
        <v>61</v>
      </c>
      <c r="N1579" s="6" t="s">
        <v>33</v>
      </c>
    </row>
    <row r="1580" spans="1:14" x14ac:dyDescent="0.25">
      <c r="A1580" s="6" t="s">
        <v>2280</v>
      </c>
      <c r="B1580" s="4">
        <v>45947</v>
      </c>
      <c r="C1580" s="6" t="s">
        <v>2791</v>
      </c>
      <c r="D1580" s="7">
        <v>0.7212615740740741</v>
      </c>
      <c r="E1580" s="6" t="s">
        <v>16</v>
      </c>
      <c r="F1580" s="6" t="s">
        <v>240</v>
      </c>
      <c r="G1580" s="4">
        <v>28710</v>
      </c>
      <c r="H1580" s="6" t="s">
        <v>129</v>
      </c>
      <c r="I1580">
        <v>177</v>
      </c>
      <c r="J1580">
        <v>2</v>
      </c>
      <c r="K1580">
        <v>354</v>
      </c>
      <c r="L1580" s="6" t="s">
        <v>41</v>
      </c>
      <c r="M1580" s="6" t="s">
        <v>55</v>
      </c>
      <c r="N1580" s="6" t="s">
        <v>33</v>
      </c>
    </row>
    <row r="1581" spans="1:14" x14ac:dyDescent="0.25">
      <c r="A1581" s="6" t="s">
        <v>2281</v>
      </c>
      <c r="B1581" s="4">
        <v>45924</v>
      </c>
      <c r="C1581" s="6" t="s">
        <v>2797</v>
      </c>
      <c r="D1581" s="7">
        <v>0.74791666666666667</v>
      </c>
      <c r="E1581" s="6" t="s">
        <v>16</v>
      </c>
      <c r="F1581" s="6" t="s">
        <v>351</v>
      </c>
      <c r="G1581" s="4">
        <v>30317</v>
      </c>
      <c r="H1581" s="6" t="s">
        <v>116</v>
      </c>
      <c r="I1581">
        <v>359</v>
      </c>
      <c r="J1581">
        <v>1</v>
      </c>
      <c r="K1581">
        <v>359</v>
      </c>
      <c r="L1581" s="6" t="s">
        <v>19</v>
      </c>
      <c r="M1581" s="6" t="s">
        <v>37</v>
      </c>
      <c r="N1581" s="6" t="s">
        <v>56</v>
      </c>
    </row>
    <row r="1582" spans="1:14" x14ac:dyDescent="0.25">
      <c r="A1582" s="6" t="s">
        <v>2282</v>
      </c>
      <c r="B1582" s="4">
        <v>45670</v>
      </c>
      <c r="C1582" s="6" t="s">
        <v>2794</v>
      </c>
      <c r="D1582" s="7">
        <v>0.85719907407407403</v>
      </c>
      <c r="E1582" s="6" t="s">
        <v>16</v>
      </c>
      <c r="F1582" s="6" t="s">
        <v>475</v>
      </c>
      <c r="G1582" s="4">
        <v>29198</v>
      </c>
      <c r="H1582" s="6" t="s">
        <v>199</v>
      </c>
      <c r="I1582">
        <v>178</v>
      </c>
      <c r="J1582">
        <v>2</v>
      </c>
      <c r="K1582">
        <v>357</v>
      </c>
      <c r="L1582" s="6" t="s">
        <v>19</v>
      </c>
      <c r="M1582" s="6" t="s">
        <v>89</v>
      </c>
      <c r="N1582" s="6" t="s">
        <v>56</v>
      </c>
    </row>
    <row r="1583" spans="1:14" x14ac:dyDescent="0.25">
      <c r="A1583" s="6" t="s">
        <v>2283</v>
      </c>
      <c r="B1583" s="4">
        <v>45853</v>
      </c>
      <c r="C1583" s="6" t="s">
        <v>2795</v>
      </c>
      <c r="D1583" s="7">
        <v>0.71805555555555556</v>
      </c>
      <c r="E1583" s="6" t="s">
        <v>16</v>
      </c>
      <c r="F1583" s="6" t="s">
        <v>919</v>
      </c>
      <c r="G1583" s="4">
        <v>29275</v>
      </c>
      <c r="H1583" s="6" t="s">
        <v>24</v>
      </c>
      <c r="I1583">
        <v>228</v>
      </c>
      <c r="J1583">
        <v>3</v>
      </c>
      <c r="K1583">
        <v>685</v>
      </c>
      <c r="L1583" s="6" t="s">
        <v>19</v>
      </c>
      <c r="M1583" s="6" t="s">
        <v>89</v>
      </c>
      <c r="N1583" s="6" t="s">
        <v>48</v>
      </c>
    </row>
    <row r="1584" spans="1:14" x14ac:dyDescent="0.25">
      <c r="A1584" s="6" t="s">
        <v>2286</v>
      </c>
      <c r="B1584" s="4">
        <v>45959</v>
      </c>
      <c r="C1584" s="6" t="s">
        <v>2791</v>
      </c>
      <c r="D1584" s="7">
        <v>0.67820601851851847</v>
      </c>
      <c r="E1584" s="6" t="s">
        <v>16</v>
      </c>
      <c r="F1584" s="6" t="s">
        <v>540</v>
      </c>
      <c r="G1584" s="4">
        <v>26609</v>
      </c>
      <c r="H1584" s="6" t="s">
        <v>24</v>
      </c>
      <c r="I1584">
        <v>288</v>
      </c>
      <c r="J1584">
        <v>2</v>
      </c>
      <c r="K1584">
        <v>577</v>
      </c>
      <c r="L1584" s="6" t="s">
        <v>19</v>
      </c>
      <c r="M1584" s="6" t="s">
        <v>37</v>
      </c>
      <c r="N1584" s="6" t="s">
        <v>74</v>
      </c>
    </row>
    <row r="1585" spans="1:14" x14ac:dyDescent="0.25">
      <c r="A1585" s="6" t="s">
        <v>2287</v>
      </c>
      <c r="B1585" s="4">
        <v>45631</v>
      </c>
      <c r="C1585" s="6" t="s">
        <v>2796</v>
      </c>
      <c r="D1585" s="7">
        <v>0.6347800925925926</v>
      </c>
      <c r="E1585" s="6" t="s">
        <v>16</v>
      </c>
      <c r="F1585" s="6" t="s">
        <v>109</v>
      </c>
      <c r="G1585" s="4">
        <v>26538</v>
      </c>
      <c r="H1585" s="6" t="s">
        <v>243</v>
      </c>
      <c r="I1585">
        <v>118</v>
      </c>
      <c r="J1585">
        <v>3</v>
      </c>
      <c r="K1585">
        <v>354</v>
      </c>
      <c r="L1585" s="6" t="s">
        <v>2787</v>
      </c>
      <c r="M1585" s="6" t="s">
        <v>37</v>
      </c>
      <c r="N1585" s="6" t="s">
        <v>74</v>
      </c>
    </row>
    <row r="1586" spans="1:14" x14ac:dyDescent="0.25">
      <c r="A1586" s="6" t="s">
        <v>2289</v>
      </c>
      <c r="B1586" s="4">
        <v>45820</v>
      </c>
      <c r="C1586" s="6" t="s">
        <v>2800</v>
      </c>
      <c r="D1586" s="7">
        <v>0.93402777777777779</v>
      </c>
      <c r="E1586" s="6" t="s">
        <v>16</v>
      </c>
      <c r="F1586" s="6" t="s">
        <v>1427</v>
      </c>
      <c r="G1586" s="4">
        <v>30584</v>
      </c>
      <c r="H1586" s="6" t="s">
        <v>202</v>
      </c>
      <c r="I1586">
        <v>246</v>
      </c>
      <c r="J1586">
        <v>1</v>
      </c>
      <c r="K1586">
        <v>247</v>
      </c>
      <c r="L1586" s="6" t="s">
        <v>2787</v>
      </c>
      <c r="M1586" s="6" t="s">
        <v>89</v>
      </c>
      <c r="N1586" s="6" t="s">
        <v>74</v>
      </c>
    </row>
    <row r="1587" spans="1:14" x14ac:dyDescent="0.25">
      <c r="A1587" s="6" t="s">
        <v>2290</v>
      </c>
      <c r="B1587" s="4">
        <v>45632</v>
      </c>
      <c r="C1587" s="6" t="s">
        <v>2796</v>
      </c>
      <c r="D1587" s="7">
        <v>0.84115740740740741</v>
      </c>
      <c r="E1587" s="6" t="s">
        <v>16</v>
      </c>
      <c r="F1587" s="6" t="s">
        <v>169</v>
      </c>
      <c r="G1587" s="4">
        <v>26447</v>
      </c>
      <c r="H1587" s="6" t="s">
        <v>129</v>
      </c>
      <c r="I1587">
        <v>194</v>
      </c>
      <c r="J1587">
        <v>2</v>
      </c>
      <c r="K1587">
        <v>389</v>
      </c>
      <c r="L1587" s="6" t="s">
        <v>41</v>
      </c>
      <c r="M1587" s="6" t="s">
        <v>55</v>
      </c>
      <c r="N1587" s="6" t="s">
        <v>48</v>
      </c>
    </row>
    <row r="1588" spans="1:14" x14ac:dyDescent="0.25">
      <c r="A1588" s="6" t="s">
        <v>2291</v>
      </c>
      <c r="B1588" s="4">
        <v>45859</v>
      </c>
      <c r="C1588" s="6" t="s">
        <v>2795</v>
      </c>
      <c r="D1588" s="7">
        <v>0.42336805555555557</v>
      </c>
      <c r="E1588" s="6" t="s">
        <v>16</v>
      </c>
      <c r="F1588" s="6" t="s">
        <v>181</v>
      </c>
      <c r="G1588" s="4">
        <v>26426</v>
      </c>
      <c r="H1588" s="6" t="s">
        <v>24</v>
      </c>
      <c r="I1588">
        <v>223</v>
      </c>
      <c r="J1588">
        <v>2</v>
      </c>
      <c r="K1588">
        <v>447</v>
      </c>
      <c r="L1588" s="6" t="s">
        <v>19</v>
      </c>
      <c r="M1588" s="6" t="s">
        <v>20</v>
      </c>
      <c r="N1588" s="6" t="s">
        <v>105</v>
      </c>
    </row>
    <row r="1589" spans="1:14" x14ac:dyDescent="0.25">
      <c r="A1589" s="6" t="s">
        <v>2292</v>
      </c>
      <c r="B1589" s="4">
        <v>45767</v>
      </c>
      <c r="C1589" s="6" t="s">
        <v>2801</v>
      </c>
      <c r="D1589" s="7">
        <v>0.96180555555555558</v>
      </c>
      <c r="E1589" s="6" t="s">
        <v>16</v>
      </c>
      <c r="F1589" s="6" t="s">
        <v>154</v>
      </c>
      <c r="G1589" s="4">
        <v>35041</v>
      </c>
      <c r="H1589" s="6" t="s">
        <v>164</v>
      </c>
      <c r="I1589">
        <v>339</v>
      </c>
      <c r="J1589">
        <v>3</v>
      </c>
      <c r="K1589">
        <v>1020</v>
      </c>
      <c r="L1589" s="6" t="s">
        <v>41</v>
      </c>
      <c r="M1589" s="6" t="s">
        <v>37</v>
      </c>
      <c r="N1589" s="6" t="s">
        <v>27</v>
      </c>
    </row>
    <row r="1590" spans="1:14" x14ac:dyDescent="0.25">
      <c r="A1590" s="6" t="s">
        <v>2293</v>
      </c>
      <c r="B1590" s="4">
        <v>45927</v>
      </c>
      <c r="C1590" s="6" t="s">
        <v>2797</v>
      </c>
      <c r="D1590" s="7">
        <v>0.56527777777777777</v>
      </c>
      <c r="E1590" s="6" t="s">
        <v>16</v>
      </c>
      <c r="F1590" s="6" t="s">
        <v>189</v>
      </c>
      <c r="G1590" s="4">
        <v>34381</v>
      </c>
      <c r="H1590" s="6" t="s">
        <v>145</v>
      </c>
      <c r="I1590">
        <v>157</v>
      </c>
      <c r="J1590">
        <v>2</v>
      </c>
      <c r="K1590">
        <v>289</v>
      </c>
      <c r="L1590" s="6" t="s">
        <v>67</v>
      </c>
      <c r="M1590" s="6" t="s">
        <v>61</v>
      </c>
      <c r="N1590" s="6" t="s">
        <v>27</v>
      </c>
    </row>
    <row r="1591" spans="1:14" x14ac:dyDescent="0.25">
      <c r="A1591" s="6" t="s">
        <v>2295</v>
      </c>
      <c r="B1591" s="4">
        <v>45728</v>
      </c>
      <c r="C1591" s="6" t="s">
        <v>2798</v>
      </c>
      <c r="D1591" s="7">
        <v>0.66180555555555554</v>
      </c>
      <c r="E1591" s="6" t="s">
        <v>16</v>
      </c>
      <c r="F1591" s="6" t="s">
        <v>328</v>
      </c>
      <c r="G1591" s="4">
        <v>37639</v>
      </c>
      <c r="H1591" s="6" t="s">
        <v>199</v>
      </c>
      <c r="I1591">
        <v>166</v>
      </c>
      <c r="J1591">
        <v>1</v>
      </c>
      <c r="K1591">
        <v>166</v>
      </c>
      <c r="L1591" s="6" t="s">
        <v>41</v>
      </c>
      <c r="M1591" s="6" t="s">
        <v>55</v>
      </c>
      <c r="N1591" s="6" t="s">
        <v>33</v>
      </c>
    </row>
    <row r="1592" spans="1:14" x14ac:dyDescent="0.25">
      <c r="A1592" s="6" t="s">
        <v>2296</v>
      </c>
      <c r="B1592" s="4">
        <v>45730</v>
      </c>
      <c r="C1592" s="6" t="s">
        <v>2798</v>
      </c>
      <c r="D1592" s="7">
        <v>0.58958333333333335</v>
      </c>
      <c r="E1592" s="6" t="s">
        <v>16</v>
      </c>
      <c r="F1592" s="6" t="s">
        <v>425</v>
      </c>
      <c r="G1592" s="4">
        <v>37172</v>
      </c>
      <c r="H1592" s="6" t="s">
        <v>60</v>
      </c>
      <c r="I1592">
        <v>257</v>
      </c>
      <c r="J1592">
        <v>2</v>
      </c>
      <c r="K1592">
        <v>515</v>
      </c>
      <c r="L1592" s="6" t="s">
        <v>67</v>
      </c>
      <c r="M1592" s="6" t="s">
        <v>37</v>
      </c>
      <c r="N1592" s="6" t="s">
        <v>48</v>
      </c>
    </row>
    <row r="1593" spans="1:14" x14ac:dyDescent="0.25">
      <c r="A1593" s="6" t="s">
        <v>2297</v>
      </c>
      <c r="B1593" s="4">
        <v>45632</v>
      </c>
      <c r="C1593" s="6" t="s">
        <v>2796</v>
      </c>
      <c r="D1593" s="7">
        <v>0.95694444444444449</v>
      </c>
      <c r="E1593" s="6" t="s">
        <v>16</v>
      </c>
      <c r="F1593" s="6" t="s">
        <v>332</v>
      </c>
      <c r="G1593" s="4">
        <v>35117</v>
      </c>
      <c r="H1593" s="6" t="s">
        <v>110</v>
      </c>
      <c r="I1593">
        <v>90</v>
      </c>
      <c r="J1593">
        <v>1</v>
      </c>
      <c r="K1593">
        <v>91</v>
      </c>
      <c r="L1593" s="6" t="s">
        <v>2787</v>
      </c>
      <c r="M1593" s="6" t="s">
        <v>37</v>
      </c>
      <c r="N1593" s="6" t="s">
        <v>74</v>
      </c>
    </row>
    <row r="1594" spans="1:14" x14ac:dyDescent="0.25">
      <c r="A1594" s="6" t="s">
        <v>2298</v>
      </c>
      <c r="B1594" s="4">
        <v>45867</v>
      </c>
      <c r="C1594" s="6" t="s">
        <v>2795</v>
      </c>
      <c r="D1594" s="7">
        <v>0.90625</v>
      </c>
      <c r="E1594" s="6" t="s">
        <v>16</v>
      </c>
      <c r="F1594" s="6" t="s">
        <v>82</v>
      </c>
      <c r="G1594" s="4">
        <v>33032</v>
      </c>
      <c r="H1594" s="6" t="s">
        <v>85</v>
      </c>
      <c r="I1594">
        <v>39</v>
      </c>
      <c r="J1594">
        <v>1</v>
      </c>
      <c r="K1594">
        <v>40</v>
      </c>
      <c r="L1594" s="6" t="s">
        <v>41</v>
      </c>
      <c r="M1594" s="6" t="s">
        <v>89</v>
      </c>
      <c r="N1594" s="6" t="s">
        <v>56</v>
      </c>
    </row>
    <row r="1595" spans="1:14" x14ac:dyDescent="0.25">
      <c r="A1595" s="6" t="s">
        <v>2299</v>
      </c>
      <c r="B1595" s="4">
        <v>45671</v>
      </c>
      <c r="C1595" s="6" t="s">
        <v>2794</v>
      </c>
      <c r="D1595" s="7">
        <v>0.70277777777777772</v>
      </c>
      <c r="E1595" s="6" t="s">
        <v>16</v>
      </c>
      <c r="F1595" s="6" t="s">
        <v>151</v>
      </c>
      <c r="G1595" s="4">
        <v>29178</v>
      </c>
      <c r="H1595" s="6" t="s">
        <v>145</v>
      </c>
      <c r="I1595">
        <v>211</v>
      </c>
      <c r="J1595">
        <v>1</v>
      </c>
      <c r="K1595">
        <v>211</v>
      </c>
      <c r="L1595" s="6" t="s">
        <v>19</v>
      </c>
      <c r="M1595" s="6" t="s">
        <v>32</v>
      </c>
      <c r="N1595" s="6" t="s">
        <v>105</v>
      </c>
    </row>
    <row r="1596" spans="1:14" x14ac:dyDescent="0.25">
      <c r="A1596" s="6" t="s">
        <v>2300</v>
      </c>
      <c r="B1596" s="4">
        <v>45827</v>
      </c>
      <c r="C1596" s="6" t="s">
        <v>2800</v>
      </c>
      <c r="D1596" s="7">
        <v>0.82222222222222219</v>
      </c>
      <c r="E1596" s="6" t="s">
        <v>16</v>
      </c>
      <c r="F1596" s="6" t="s">
        <v>147</v>
      </c>
      <c r="G1596" s="4">
        <v>35397</v>
      </c>
      <c r="H1596" s="6" t="s">
        <v>73</v>
      </c>
      <c r="I1596">
        <v>47</v>
      </c>
      <c r="J1596">
        <v>3</v>
      </c>
      <c r="K1596">
        <v>143</v>
      </c>
      <c r="L1596" s="6" t="s">
        <v>19</v>
      </c>
      <c r="M1596" s="6" t="s">
        <v>89</v>
      </c>
      <c r="N1596" s="6" t="s">
        <v>33</v>
      </c>
    </row>
    <row r="1597" spans="1:14" x14ac:dyDescent="0.25">
      <c r="A1597" s="6" t="s">
        <v>2302</v>
      </c>
      <c r="B1597" s="4">
        <v>45847</v>
      </c>
      <c r="C1597" s="6" t="s">
        <v>2795</v>
      </c>
      <c r="D1597" s="7">
        <v>0.58105324074074072</v>
      </c>
      <c r="E1597" s="6" t="s">
        <v>16</v>
      </c>
      <c r="F1597" s="6" t="s">
        <v>471</v>
      </c>
      <c r="G1597" s="4">
        <v>29043</v>
      </c>
      <c r="H1597" s="6" t="s">
        <v>93</v>
      </c>
      <c r="I1597">
        <v>168</v>
      </c>
      <c r="J1597">
        <v>3</v>
      </c>
      <c r="K1597">
        <v>505</v>
      </c>
      <c r="L1597" s="6" t="s">
        <v>19</v>
      </c>
      <c r="M1597" s="6" t="s">
        <v>55</v>
      </c>
      <c r="N1597" s="6" t="s">
        <v>33</v>
      </c>
    </row>
    <row r="1598" spans="1:14" x14ac:dyDescent="0.25">
      <c r="A1598" s="6" t="s">
        <v>2303</v>
      </c>
      <c r="B1598" s="4">
        <v>45748</v>
      </c>
      <c r="C1598" s="6" t="s">
        <v>2801</v>
      </c>
      <c r="D1598" s="7">
        <v>0.72222222222222221</v>
      </c>
      <c r="E1598" s="6" t="s">
        <v>16</v>
      </c>
      <c r="F1598" s="6" t="s">
        <v>128</v>
      </c>
      <c r="G1598" s="4">
        <v>31399</v>
      </c>
      <c r="H1598" s="6" t="s">
        <v>199</v>
      </c>
      <c r="I1598">
        <v>188</v>
      </c>
      <c r="J1598">
        <v>2</v>
      </c>
      <c r="K1598">
        <v>378</v>
      </c>
      <c r="L1598" s="6" t="s">
        <v>19</v>
      </c>
      <c r="M1598" s="6" t="s">
        <v>26</v>
      </c>
      <c r="N1598" s="6" t="s">
        <v>21</v>
      </c>
    </row>
    <row r="1599" spans="1:14" x14ac:dyDescent="0.25">
      <c r="A1599" s="6" t="s">
        <v>2304</v>
      </c>
      <c r="B1599" s="4">
        <v>45811</v>
      </c>
      <c r="C1599" s="6" t="s">
        <v>2800</v>
      </c>
      <c r="D1599" s="7">
        <v>0.93212962962962964</v>
      </c>
      <c r="E1599" s="6" t="s">
        <v>16</v>
      </c>
      <c r="F1599" s="6" t="s">
        <v>494</v>
      </c>
      <c r="G1599" s="4">
        <v>30427</v>
      </c>
      <c r="H1599" s="6" t="s">
        <v>213</v>
      </c>
      <c r="I1599">
        <v>269</v>
      </c>
      <c r="J1599">
        <v>3</v>
      </c>
      <c r="K1599">
        <v>809</v>
      </c>
      <c r="L1599" s="6" t="s">
        <v>54</v>
      </c>
      <c r="M1599" s="6" t="s">
        <v>37</v>
      </c>
      <c r="N1599" s="6" t="s">
        <v>21</v>
      </c>
    </row>
    <row r="1600" spans="1:14" x14ac:dyDescent="0.25">
      <c r="A1600" s="6" t="s">
        <v>2305</v>
      </c>
      <c r="B1600" s="4">
        <v>45772</v>
      </c>
      <c r="C1600" s="6" t="s">
        <v>2801</v>
      </c>
      <c r="D1600" s="7">
        <v>0.85763888888888884</v>
      </c>
      <c r="E1600" s="6" t="s">
        <v>16</v>
      </c>
      <c r="F1600" s="6" t="s">
        <v>494</v>
      </c>
      <c r="G1600" s="4">
        <v>37301</v>
      </c>
      <c r="H1600" s="6" t="s">
        <v>141</v>
      </c>
      <c r="I1600">
        <v>127</v>
      </c>
      <c r="J1600">
        <v>1</v>
      </c>
      <c r="K1600">
        <v>127</v>
      </c>
      <c r="L1600" s="6" t="s">
        <v>41</v>
      </c>
      <c r="M1600" s="6" t="s">
        <v>26</v>
      </c>
      <c r="N1600" s="6" t="s">
        <v>74</v>
      </c>
    </row>
    <row r="1601" spans="1:14" x14ac:dyDescent="0.25">
      <c r="A1601" s="6" t="s">
        <v>2306</v>
      </c>
      <c r="B1601" s="4">
        <v>45668</v>
      </c>
      <c r="C1601" s="6" t="s">
        <v>2794</v>
      </c>
      <c r="D1601" s="7">
        <v>0.63680555555555551</v>
      </c>
      <c r="E1601" s="6" t="s">
        <v>16</v>
      </c>
      <c r="F1601" s="6" t="s">
        <v>88</v>
      </c>
      <c r="G1601" s="4">
        <v>37301</v>
      </c>
      <c r="H1601" s="6" t="s">
        <v>77</v>
      </c>
      <c r="I1601">
        <v>122</v>
      </c>
      <c r="J1601">
        <v>3</v>
      </c>
      <c r="L1601" s="6" t="s">
        <v>41</v>
      </c>
      <c r="M1601" s="6" t="s">
        <v>61</v>
      </c>
      <c r="N1601" s="6" t="s">
        <v>27</v>
      </c>
    </row>
    <row r="1602" spans="1:14" x14ac:dyDescent="0.25">
      <c r="A1602" s="6" t="s">
        <v>2308</v>
      </c>
      <c r="B1602" s="4">
        <v>45921</v>
      </c>
      <c r="C1602" s="6" t="s">
        <v>2797</v>
      </c>
      <c r="D1602" s="7">
        <v>0.9604166666666667</v>
      </c>
      <c r="E1602" s="6" t="s">
        <v>16</v>
      </c>
      <c r="F1602" s="6" t="s">
        <v>338</v>
      </c>
      <c r="G1602" s="4">
        <v>39865</v>
      </c>
      <c r="H1602" s="6" t="s">
        <v>259</v>
      </c>
      <c r="I1602">
        <v>232</v>
      </c>
      <c r="J1602">
        <v>1</v>
      </c>
      <c r="K1602">
        <v>233</v>
      </c>
      <c r="L1602" s="6" t="s">
        <v>19</v>
      </c>
      <c r="M1602" s="6" t="s">
        <v>61</v>
      </c>
      <c r="N1602" s="6" t="s">
        <v>56</v>
      </c>
    </row>
    <row r="1603" spans="1:14" x14ac:dyDescent="0.25">
      <c r="A1603" s="6" t="s">
        <v>2310</v>
      </c>
      <c r="B1603" s="4">
        <v>45784</v>
      </c>
      <c r="C1603" s="6" t="s">
        <v>2792</v>
      </c>
      <c r="D1603" s="7">
        <v>0.70354166666666662</v>
      </c>
      <c r="E1603" s="6" t="s">
        <v>16</v>
      </c>
      <c r="F1603" s="6" t="s">
        <v>420</v>
      </c>
      <c r="G1603" s="4">
        <v>31785</v>
      </c>
      <c r="H1603" s="6" t="s">
        <v>40</v>
      </c>
      <c r="I1603">
        <v>190</v>
      </c>
      <c r="J1603">
        <v>1</v>
      </c>
      <c r="K1603">
        <v>190</v>
      </c>
      <c r="L1603" s="6" t="s">
        <v>41</v>
      </c>
      <c r="M1603" s="6" t="s">
        <v>55</v>
      </c>
      <c r="N1603" s="6" t="s">
        <v>33</v>
      </c>
    </row>
    <row r="1604" spans="1:14" x14ac:dyDescent="0.25">
      <c r="A1604" s="6" t="s">
        <v>2311</v>
      </c>
      <c r="B1604" s="4">
        <v>45877</v>
      </c>
      <c r="C1604" s="6" t="s">
        <v>2793</v>
      </c>
      <c r="D1604" s="7">
        <v>0.52222222222222225</v>
      </c>
      <c r="E1604" s="6" t="s">
        <v>16</v>
      </c>
      <c r="F1604" s="6" t="s">
        <v>492</v>
      </c>
      <c r="G1604" s="4">
        <v>40100</v>
      </c>
      <c r="H1604" s="6" t="s">
        <v>45</v>
      </c>
      <c r="I1604">
        <v>211</v>
      </c>
      <c r="J1604">
        <v>3</v>
      </c>
      <c r="K1604">
        <v>633</v>
      </c>
      <c r="L1604" s="6" t="s">
        <v>41</v>
      </c>
      <c r="M1604" s="6" t="s">
        <v>37</v>
      </c>
      <c r="N1604" s="6" t="s">
        <v>56</v>
      </c>
    </row>
    <row r="1605" spans="1:14" x14ac:dyDescent="0.25">
      <c r="A1605" s="6" t="s">
        <v>2312</v>
      </c>
      <c r="B1605" s="4">
        <v>45981</v>
      </c>
      <c r="C1605" s="6" t="s">
        <v>2802</v>
      </c>
      <c r="D1605" s="7">
        <v>0.56370370370370371</v>
      </c>
      <c r="E1605" s="6" t="s">
        <v>16</v>
      </c>
      <c r="F1605" s="6" t="s">
        <v>84</v>
      </c>
      <c r="G1605" s="4">
        <v>27805</v>
      </c>
      <c r="H1605" s="6" t="s">
        <v>77</v>
      </c>
      <c r="I1605">
        <v>95</v>
      </c>
      <c r="J1605">
        <v>3</v>
      </c>
      <c r="K1605">
        <v>288</v>
      </c>
      <c r="L1605" s="6" t="s">
        <v>41</v>
      </c>
      <c r="M1605" s="6" t="s">
        <v>89</v>
      </c>
      <c r="N1605" s="6" t="s">
        <v>56</v>
      </c>
    </row>
    <row r="1606" spans="1:14" x14ac:dyDescent="0.25">
      <c r="A1606" s="6" t="s">
        <v>2313</v>
      </c>
      <c r="B1606" s="4">
        <v>45828</v>
      </c>
      <c r="C1606" s="6" t="s">
        <v>2800</v>
      </c>
      <c r="D1606" s="7">
        <v>0.81719907407407411</v>
      </c>
      <c r="E1606" s="6" t="s">
        <v>16</v>
      </c>
      <c r="F1606" s="6" t="s">
        <v>279</v>
      </c>
      <c r="G1606" s="4">
        <v>40302</v>
      </c>
      <c r="H1606" s="6" t="s">
        <v>164</v>
      </c>
      <c r="I1606">
        <v>274</v>
      </c>
      <c r="J1606">
        <v>1</v>
      </c>
      <c r="K1606">
        <v>275</v>
      </c>
      <c r="L1606" s="6" t="s">
        <v>41</v>
      </c>
      <c r="M1606" s="6" t="s">
        <v>37</v>
      </c>
      <c r="N1606" s="6" t="s">
        <v>48</v>
      </c>
    </row>
    <row r="1607" spans="1:14" x14ac:dyDescent="0.25">
      <c r="A1607" s="6" t="s">
        <v>2314</v>
      </c>
      <c r="B1607" s="4">
        <v>45690</v>
      </c>
      <c r="C1607" s="6" t="s">
        <v>2799</v>
      </c>
      <c r="D1607" s="7">
        <v>0.71946759259259263</v>
      </c>
      <c r="E1607" s="6" t="s">
        <v>16</v>
      </c>
      <c r="F1607" s="6" t="s">
        <v>776</v>
      </c>
      <c r="G1607" s="4">
        <v>33584</v>
      </c>
      <c r="H1607" s="6" t="s">
        <v>40</v>
      </c>
      <c r="I1607">
        <v>174</v>
      </c>
      <c r="J1607">
        <v>2</v>
      </c>
      <c r="K1607">
        <v>349</v>
      </c>
      <c r="L1607" s="6" t="s">
        <v>19</v>
      </c>
      <c r="M1607" s="6" t="s">
        <v>26</v>
      </c>
      <c r="N1607" s="6" t="s">
        <v>105</v>
      </c>
    </row>
    <row r="1608" spans="1:14" x14ac:dyDescent="0.25">
      <c r="A1608" s="6" t="s">
        <v>2315</v>
      </c>
      <c r="B1608" s="4">
        <v>45690</v>
      </c>
      <c r="C1608" s="6" t="s">
        <v>2799</v>
      </c>
      <c r="D1608" s="7">
        <v>0.90347222222222223</v>
      </c>
      <c r="E1608" s="6" t="s">
        <v>16</v>
      </c>
      <c r="F1608" s="6" t="s">
        <v>1010</v>
      </c>
      <c r="G1608" s="4">
        <v>30828</v>
      </c>
      <c r="H1608" s="6" t="s">
        <v>116</v>
      </c>
      <c r="I1608">
        <v>208</v>
      </c>
      <c r="J1608">
        <v>3</v>
      </c>
      <c r="K1608">
        <v>597</v>
      </c>
      <c r="L1608" s="6" t="s">
        <v>19</v>
      </c>
      <c r="M1608" s="6" t="s">
        <v>55</v>
      </c>
      <c r="N1608" s="6" t="s">
        <v>21</v>
      </c>
    </row>
    <row r="1609" spans="1:14" x14ac:dyDescent="0.25">
      <c r="A1609" s="6" t="s">
        <v>2316</v>
      </c>
      <c r="B1609" s="4">
        <v>45664</v>
      </c>
      <c r="C1609" s="6" t="s">
        <v>2794</v>
      </c>
      <c r="D1609" s="7">
        <v>0.87076388888888889</v>
      </c>
      <c r="E1609" s="6" t="s">
        <v>16</v>
      </c>
      <c r="F1609" s="6" t="s">
        <v>770</v>
      </c>
      <c r="G1609" s="4">
        <v>30828</v>
      </c>
      <c r="H1609" s="6" t="s">
        <v>77</v>
      </c>
      <c r="I1609">
        <v>137</v>
      </c>
      <c r="J1609">
        <v>2</v>
      </c>
      <c r="K1609">
        <v>275</v>
      </c>
      <c r="L1609" s="6" t="s">
        <v>67</v>
      </c>
      <c r="M1609" s="6" t="s">
        <v>89</v>
      </c>
      <c r="N1609" s="6" t="s">
        <v>74</v>
      </c>
    </row>
    <row r="1610" spans="1:14" x14ac:dyDescent="0.25">
      <c r="A1610" s="6" t="s">
        <v>2317</v>
      </c>
      <c r="B1610" s="4">
        <v>45792</v>
      </c>
      <c r="C1610" s="6" t="s">
        <v>2792</v>
      </c>
      <c r="D1610" s="7">
        <v>0.57291666666666663</v>
      </c>
      <c r="E1610" s="6" t="s">
        <v>16</v>
      </c>
      <c r="F1610" s="6" t="s">
        <v>855</v>
      </c>
      <c r="G1610" s="4">
        <v>30320</v>
      </c>
      <c r="H1610" s="6" t="s">
        <v>213</v>
      </c>
      <c r="I1610">
        <v>110</v>
      </c>
      <c r="J1610">
        <v>2</v>
      </c>
      <c r="K1610">
        <v>221</v>
      </c>
      <c r="L1610" s="6" t="s">
        <v>67</v>
      </c>
      <c r="M1610" s="6" t="s">
        <v>47</v>
      </c>
      <c r="N1610" s="6" t="s">
        <v>48</v>
      </c>
    </row>
    <row r="1611" spans="1:14" x14ac:dyDescent="0.25">
      <c r="A1611" s="6" t="s">
        <v>2318</v>
      </c>
      <c r="B1611" s="4">
        <v>45968</v>
      </c>
      <c r="C1611" s="6" t="s">
        <v>2802</v>
      </c>
      <c r="D1611" s="7">
        <v>0.94853009259259258</v>
      </c>
      <c r="E1611" s="6" t="s">
        <v>16</v>
      </c>
      <c r="F1611" s="6" t="s">
        <v>17</v>
      </c>
      <c r="G1611" s="4">
        <v>30320</v>
      </c>
      <c r="H1611" s="6" t="s">
        <v>73</v>
      </c>
      <c r="I1611">
        <v>49</v>
      </c>
      <c r="J1611">
        <v>3</v>
      </c>
      <c r="K1611">
        <v>148</v>
      </c>
      <c r="L1611" s="6" t="s">
        <v>54</v>
      </c>
      <c r="M1611" s="6" t="s">
        <v>55</v>
      </c>
      <c r="N1611" s="6" t="s">
        <v>27</v>
      </c>
    </row>
    <row r="1612" spans="1:14" x14ac:dyDescent="0.25">
      <c r="A1612" s="6" t="s">
        <v>2319</v>
      </c>
      <c r="B1612" s="4">
        <v>45737</v>
      </c>
      <c r="C1612" s="6" t="s">
        <v>2798</v>
      </c>
      <c r="D1612" s="7">
        <v>0.69216435185185188</v>
      </c>
      <c r="E1612" s="6" t="s">
        <v>16</v>
      </c>
      <c r="F1612" s="6" t="s">
        <v>582</v>
      </c>
      <c r="G1612" s="4">
        <v>33836</v>
      </c>
      <c r="H1612" s="6" t="s">
        <v>164</v>
      </c>
      <c r="I1612">
        <v>312</v>
      </c>
      <c r="J1612">
        <v>3</v>
      </c>
      <c r="K1612">
        <v>938</v>
      </c>
      <c r="L1612" s="6" t="s">
        <v>41</v>
      </c>
      <c r="M1612" s="6" t="s">
        <v>89</v>
      </c>
      <c r="N1612" s="6" t="s">
        <v>105</v>
      </c>
    </row>
    <row r="1613" spans="1:14" x14ac:dyDescent="0.25">
      <c r="A1613" s="6" t="s">
        <v>2320</v>
      </c>
      <c r="B1613" s="4">
        <v>45956</v>
      </c>
      <c r="C1613" s="6" t="s">
        <v>2791</v>
      </c>
      <c r="D1613" s="7">
        <v>0.79791666666666672</v>
      </c>
      <c r="E1613" s="6" t="s">
        <v>16</v>
      </c>
      <c r="F1613" s="6" t="s">
        <v>123</v>
      </c>
      <c r="G1613" s="4">
        <v>33584</v>
      </c>
      <c r="H1613" s="6" t="s">
        <v>30</v>
      </c>
      <c r="I1613">
        <v>278</v>
      </c>
      <c r="J1613">
        <v>3</v>
      </c>
      <c r="K1613">
        <v>836</v>
      </c>
      <c r="L1613" s="6" t="s">
        <v>19</v>
      </c>
      <c r="M1613" s="6" t="s">
        <v>55</v>
      </c>
      <c r="N1613" s="6" t="s">
        <v>74</v>
      </c>
    </row>
    <row r="1614" spans="1:14" x14ac:dyDescent="0.25">
      <c r="A1614" s="6" t="s">
        <v>2321</v>
      </c>
      <c r="B1614" s="4">
        <v>45863</v>
      </c>
      <c r="C1614" s="6" t="s">
        <v>2795</v>
      </c>
      <c r="D1614" s="7">
        <v>0.75796296296296295</v>
      </c>
      <c r="E1614" s="6" t="s">
        <v>16</v>
      </c>
      <c r="F1614" s="6" t="s">
        <v>92</v>
      </c>
      <c r="G1614" s="4">
        <v>26746</v>
      </c>
      <c r="H1614" s="6" t="s">
        <v>18</v>
      </c>
      <c r="I1614">
        <v>110</v>
      </c>
      <c r="J1614">
        <v>1</v>
      </c>
      <c r="K1614">
        <v>111</v>
      </c>
      <c r="L1614" s="6" t="s">
        <v>19</v>
      </c>
      <c r="M1614" s="6" t="s">
        <v>89</v>
      </c>
      <c r="N1614" s="6" t="s">
        <v>48</v>
      </c>
    </row>
    <row r="1615" spans="1:14" x14ac:dyDescent="0.25">
      <c r="A1615" s="6" t="s">
        <v>2322</v>
      </c>
      <c r="B1615" s="4">
        <v>45774</v>
      </c>
      <c r="C1615" s="6" t="s">
        <v>2801</v>
      </c>
      <c r="D1615" s="7">
        <v>0.73472222222222228</v>
      </c>
      <c r="E1615" s="6" t="s">
        <v>16</v>
      </c>
      <c r="F1615" s="6" t="s">
        <v>1474</v>
      </c>
      <c r="G1615" s="4">
        <v>38565</v>
      </c>
      <c r="H1615" s="6" t="s">
        <v>243</v>
      </c>
      <c r="I1615">
        <v>127</v>
      </c>
      <c r="J1615">
        <v>3</v>
      </c>
      <c r="K1615">
        <v>383</v>
      </c>
      <c r="L1615" s="6" t="s">
        <v>67</v>
      </c>
      <c r="M1615" s="6" t="s">
        <v>37</v>
      </c>
      <c r="N1615" s="6" t="s">
        <v>105</v>
      </c>
    </row>
    <row r="1616" spans="1:14" x14ac:dyDescent="0.25">
      <c r="A1616" s="6" t="s">
        <v>2323</v>
      </c>
      <c r="B1616" s="4">
        <v>45970</v>
      </c>
      <c r="C1616" s="6" t="s">
        <v>2802</v>
      </c>
      <c r="D1616" s="7">
        <v>0.56944444444444442</v>
      </c>
      <c r="E1616" s="6" t="s">
        <v>16</v>
      </c>
      <c r="F1616" s="6" t="s">
        <v>2324</v>
      </c>
      <c r="G1616" s="4">
        <v>39666</v>
      </c>
      <c r="H1616" s="6" t="s">
        <v>93</v>
      </c>
      <c r="I1616">
        <v>189</v>
      </c>
      <c r="J1616">
        <v>1</v>
      </c>
      <c r="L1616" s="6" t="s">
        <v>41</v>
      </c>
      <c r="M1616" s="6" t="s">
        <v>37</v>
      </c>
      <c r="N1616" s="6" t="s">
        <v>56</v>
      </c>
    </row>
    <row r="1617" spans="1:14" x14ac:dyDescent="0.25">
      <c r="A1617" s="6" t="s">
        <v>2326</v>
      </c>
      <c r="B1617" s="4">
        <v>45669</v>
      </c>
      <c r="C1617" s="6" t="s">
        <v>2794</v>
      </c>
      <c r="D1617" s="7">
        <v>0.70347222222222228</v>
      </c>
      <c r="E1617" s="6" t="s">
        <v>16</v>
      </c>
      <c r="F1617" s="6" t="s">
        <v>161</v>
      </c>
      <c r="G1617" s="4">
        <v>32330</v>
      </c>
      <c r="H1617" s="6" t="s">
        <v>45</v>
      </c>
      <c r="I1617">
        <v>317</v>
      </c>
      <c r="J1617">
        <v>3</v>
      </c>
      <c r="K1617">
        <v>951</v>
      </c>
      <c r="L1617" s="6" t="s">
        <v>54</v>
      </c>
      <c r="M1617" s="6" t="s">
        <v>89</v>
      </c>
      <c r="N1617" s="6" t="s">
        <v>48</v>
      </c>
    </row>
    <row r="1618" spans="1:14" x14ac:dyDescent="0.25">
      <c r="A1618" s="6" t="s">
        <v>2328</v>
      </c>
      <c r="B1618" s="4">
        <v>45655</v>
      </c>
      <c r="C1618" s="6" t="s">
        <v>2796</v>
      </c>
      <c r="D1618" s="7">
        <v>0.6654282407407407</v>
      </c>
      <c r="E1618" s="6" t="s">
        <v>16</v>
      </c>
      <c r="F1618" s="6" t="s">
        <v>95</v>
      </c>
      <c r="G1618" s="4">
        <v>29751</v>
      </c>
      <c r="H1618" s="6" t="s">
        <v>116</v>
      </c>
      <c r="I1618">
        <v>255</v>
      </c>
      <c r="J1618">
        <v>1</v>
      </c>
      <c r="K1618">
        <v>100</v>
      </c>
      <c r="L1618" s="6" t="s">
        <v>19</v>
      </c>
      <c r="M1618" s="6" t="s">
        <v>55</v>
      </c>
      <c r="N1618" s="6" t="s">
        <v>74</v>
      </c>
    </row>
    <row r="1619" spans="1:14" x14ac:dyDescent="0.25">
      <c r="A1619" s="6" t="s">
        <v>2329</v>
      </c>
      <c r="B1619" s="4">
        <v>45854</v>
      </c>
      <c r="C1619" s="6" t="s">
        <v>2795</v>
      </c>
      <c r="D1619" s="7">
        <v>0.62152777777777779</v>
      </c>
      <c r="E1619" s="6" t="s">
        <v>16</v>
      </c>
      <c r="F1619" s="6" t="s">
        <v>690</v>
      </c>
      <c r="G1619" s="4">
        <v>29751</v>
      </c>
      <c r="H1619" s="6" t="s">
        <v>178</v>
      </c>
      <c r="I1619">
        <v>278</v>
      </c>
      <c r="J1619">
        <v>2</v>
      </c>
      <c r="K1619">
        <v>556</v>
      </c>
      <c r="L1619" s="6" t="s">
        <v>54</v>
      </c>
      <c r="M1619" s="6" t="s">
        <v>20</v>
      </c>
      <c r="N1619" s="6" t="s">
        <v>33</v>
      </c>
    </row>
    <row r="1620" spans="1:14" x14ac:dyDescent="0.25">
      <c r="A1620" s="6" t="s">
        <v>2330</v>
      </c>
      <c r="B1620" s="4">
        <v>45876</v>
      </c>
      <c r="C1620" s="6" t="s">
        <v>2793</v>
      </c>
      <c r="D1620" s="7">
        <v>0.76597222222222228</v>
      </c>
      <c r="E1620" s="6" t="s">
        <v>16</v>
      </c>
      <c r="F1620" s="6" t="s">
        <v>528</v>
      </c>
      <c r="G1620" s="4">
        <v>33584</v>
      </c>
      <c r="H1620" s="6" t="s">
        <v>77</v>
      </c>
      <c r="I1620">
        <v>257</v>
      </c>
      <c r="J1620">
        <v>1</v>
      </c>
      <c r="K1620">
        <v>100</v>
      </c>
      <c r="L1620" s="6" t="s">
        <v>2787</v>
      </c>
      <c r="M1620" s="6" t="s">
        <v>89</v>
      </c>
      <c r="N1620" s="6" t="s">
        <v>74</v>
      </c>
    </row>
    <row r="1621" spans="1:14" x14ac:dyDescent="0.25">
      <c r="A1621" s="6" t="s">
        <v>2331</v>
      </c>
      <c r="B1621" s="4">
        <v>45685</v>
      </c>
      <c r="C1621" s="6" t="s">
        <v>2794</v>
      </c>
      <c r="D1621" s="7">
        <v>0.55555555555555558</v>
      </c>
      <c r="E1621" s="6" t="s">
        <v>16</v>
      </c>
      <c r="F1621" s="6" t="s">
        <v>158</v>
      </c>
      <c r="G1621" s="4">
        <v>36833</v>
      </c>
      <c r="H1621" s="6" t="s">
        <v>40</v>
      </c>
      <c r="I1621">
        <v>217</v>
      </c>
      <c r="J1621">
        <v>1</v>
      </c>
      <c r="K1621">
        <v>217</v>
      </c>
      <c r="L1621" s="6" t="s">
        <v>2787</v>
      </c>
      <c r="M1621" s="6" t="s">
        <v>26</v>
      </c>
      <c r="N1621" s="6" t="s">
        <v>74</v>
      </c>
    </row>
    <row r="1622" spans="1:14" x14ac:dyDescent="0.25">
      <c r="A1622" s="6" t="s">
        <v>2333</v>
      </c>
      <c r="B1622" s="4">
        <v>45919</v>
      </c>
      <c r="C1622" s="6" t="s">
        <v>2797</v>
      </c>
      <c r="D1622" s="7">
        <v>0.94513888888888886</v>
      </c>
      <c r="E1622" s="6" t="s">
        <v>16</v>
      </c>
      <c r="F1622" s="6" t="s">
        <v>151</v>
      </c>
      <c r="G1622" s="4">
        <v>33584</v>
      </c>
      <c r="H1622" s="6" t="s">
        <v>126</v>
      </c>
      <c r="I1622">
        <v>167</v>
      </c>
      <c r="J1622">
        <v>2</v>
      </c>
      <c r="K1622">
        <v>336</v>
      </c>
      <c r="L1622" s="6" t="s">
        <v>67</v>
      </c>
      <c r="M1622" s="6" t="s">
        <v>20</v>
      </c>
      <c r="N1622" s="6" t="s">
        <v>105</v>
      </c>
    </row>
    <row r="1623" spans="1:14" x14ac:dyDescent="0.25">
      <c r="A1623" s="6" t="s">
        <v>2334</v>
      </c>
      <c r="B1623" s="4">
        <v>45906</v>
      </c>
      <c r="C1623" s="6" t="s">
        <v>2797</v>
      </c>
      <c r="D1623" s="7">
        <v>0.9604166666666667</v>
      </c>
      <c r="E1623" s="6" t="s">
        <v>16</v>
      </c>
      <c r="F1623" s="6" t="s">
        <v>351</v>
      </c>
      <c r="G1623" s="4">
        <v>39650</v>
      </c>
      <c r="H1623" s="6" t="s">
        <v>24</v>
      </c>
      <c r="I1623">
        <v>191</v>
      </c>
      <c r="J1623">
        <v>2</v>
      </c>
      <c r="K1623">
        <v>384</v>
      </c>
      <c r="L1623" s="6" t="s">
        <v>41</v>
      </c>
      <c r="M1623" s="6" t="s">
        <v>26</v>
      </c>
      <c r="N1623" s="6" t="s">
        <v>105</v>
      </c>
    </row>
    <row r="1624" spans="1:14" x14ac:dyDescent="0.25">
      <c r="A1624" s="6" t="s">
        <v>2335</v>
      </c>
      <c r="B1624" s="4">
        <v>45770</v>
      </c>
      <c r="C1624" s="6" t="s">
        <v>2801</v>
      </c>
      <c r="D1624" s="7">
        <v>0.96180555555555558</v>
      </c>
      <c r="E1624" s="6" t="s">
        <v>16</v>
      </c>
      <c r="F1624" s="6" t="s">
        <v>397</v>
      </c>
      <c r="G1624" s="4">
        <v>33012</v>
      </c>
      <c r="H1624" s="6" t="s">
        <v>126</v>
      </c>
      <c r="I1624">
        <v>263</v>
      </c>
      <c r="J1624">
        <v>2</v>
      </c>
      <c r="K1624">
        <v>528</v>
      </c>
      <c r="L1624" s="6" t="s">
        <v>41</v>
      </c>
      <c r="M1624" s="6" t="s">
        <v>20</v>
      </c>
      <c r="N1624" s="6" t="s">
        <v>105</v>
      </c>
    </row>
    <row r="1625" spans="1:14" x14ac:dyDescent="0.25">
      <c r="A1625" s="6" t="s">
        <v>2336</v>
      </c>
      <c r="B1625" s="4">
        <v>45966</v>
      </c>
      <c r="C1625" s="6" t="s">
        <v>2802</v>
      </c>
      <c r="D1625" s="7">
        <v>0.80347222222222225</v>
      </c>
      <c r="E1625" s="6" t="s">
        <v>16</v>
      </c>
      <c r="F1625" s="6" t="s">
        <v>147</v>
      </c>
      <c r="G1625" s="4">
        <v>38455</v>
      </c>
      <c r="H1625" s="6" t="s">
        <v>45</v>
      </c>
      <c r="I1625">
        <v>296</v>
      </c>
      <c r="J1625">
        <v>1</v>
      </c>
      <c r="K1625">
        <v>297</v>
      </c>
      <c r="L1625" s="6" t="s">
        <v>2787</v>
      </c>
      <c r="M1625" s="6" t="s">
        <v>55</v>
      </c>
      <c r="N1625" s="6" t="s">
        <v>74</v>
      </c>
    </row>
    <row r="1626" spans="1:14" x14ac:dyDescent="0.25">
      <c r="A1626" s="6" t="s">
        <v>2338</v>
      </c>
      <c r="B1626" s="4">
        <v>45627</v>
      </c>
      <c r="C1626" s="6" t="s">
        <v>2796</v>
      </c>
      <c r="D1626" s="7">
        <v>0.7270833333333333</v>
      </c>
      <c r="E1626" s="6" t="s">
        <v>16</v>
      </c>
      <c r="F1626" s="6" t="s">
        <v>582</v>
      </c>
      <c r="G1626" s="4">
        <v>38455</v>
      </c>
      <c r="H1626" s="6" t="s">
        <v>77</v>
      </c>
      <c r="I1626">
        <v>120</v>
      </c>
      <c r="J1626">
        <v>1</v>
      </c>
      <c r="K1626">
        <v>120</v>
      </c>
      <c r="L1626" s="6" t="s">
        <v>67</v>
      </c>
      <c r="M1626" s="6" t="s">
        <v>32</v>
      </c>
      <c r="N1626" s="6" t="s">
        <v>74</v>
      </c>
    </row>
    <row r="1627" spans="1:14" x14ac:dyDescent="0.25">
      <c r="A1627" s="6" t="s">
        <v>2339</v>
      </c>
      <c r="B1627" s="4">
        <v>45719</v>
      </c>
      <c r="C1627" s="6" t="s">
        <v>2798</v>
      </c>
      <c r="D1627" s="7">
        <v>0.82986111111111116</v>
      </c>
      <c r="E1627" s="6" t="s">
        <v>16</v>
      </c>
      <c r="F1627" s="6" t="s">
        <v>76</v>
      </c>
      <c r="G1627" s="4">
        <v>38337</v>
      </c>
      <c r="H1627" s="6" t="s">
        <v>202</v>
      </c>
      <c r="I1627">
        <v>110</v>
      </c>
      <c r="J1627">
        <v>1</v>
      </c>
      <c r="K1627">
        <v>111</v>
      </c>
      <c r="L1627" s="6" t="s">
        <v>67</v>
      </c>
      <c r="M1627" s="6" t="s">
        <v>37</v>
      </c>
      <c r="N1627" s="6" t="s">
        <v>48</v>
      </c>
    </row>
    <row r="1628" spans="1:14" x14ac:dyDescent="0.25">
      <c r="A1628" s="6" t="s">
        <v>2340</v>
      </c>
      <c r="B1628" s="4">
        <v>45658</v>
      </c>
      <c r="C1628" s="6" t="s">
        <v>2794</v>
      </c>
      <c r="D1628" s="7">
        <v>0.44583333333333336</v>
      </c>
      <c r="E1628" s="6" t="s">
        <v>16</v>
      </c>
      <c r="F1628" s="6" t="s">
        <v>358</v>
      </c>
      <c r="G1628" s="4">
        <v>35163</v>
      </c>
      <c r="H1628" s="6" t="s">
        <v>30</v>
      </c>
      <c r="I1628">
        <v>284</v>
      </c>
      <c r="J1628">
        <v>2</v>
      </c>
      <c r="K1628">
        <v>569</v>
      </c>
      <c r="L1628" s="6" t="s">
        <v>67</v>
      </c>
      <c r="M1628" s="6" t="s">
        <v>32</v>
      </c>
      <c r="N1628" s="6" t="s">
        <v>21</v>
      </c>
    </row>
    <row r="1629" spans="1:14" x14ac:dyDescent="0.25">
      <c r="A1629" s="6" t="s">
        <v>2341</v>
      </c>
      <c r="B1629" s="4">
        <v>45926</v>
      </c>
      <c r="C1629" s="6" t="s">
        <v>2797</v>
      </c>
      <c r="D1629" s="7">
        <v>0.7055555555555556</v>
      </c>
      <c r="E1629" s="6" t="s">
        <v>16</v>
      </c>
      <c r="F1629" s="6" t="s">
        <v>451</v>
      </c>
      <c r="G1629" s="4">
        <v>35163</v>
      </c>
      <c r="H1629" s="6" t="s">
        <v>213</v>
      </c>
      <c r="I1629">
        <v>48</v>
      </c>
      <c r="J1629">
        <v>1</v>
      </c>
      <c r="K1629">
        <v>49</v>
      </c>
      <c r="L1629" s="6" t="s">
        <v>67</v>
      </c>
      <c r="M1629" s="6" t="s">
        <v>61</v>
      </c>
      <c r="N1629" s="6" t="s">
        <v>21</v>
      </c>
    </row>
    <row r="1630" spans="1:14" x14ac:dyDescent="0.25">
      <c r="A1630" s="6" t="s">
        <v>2342</v>
      </c>
      <c r="B1630" s="4">
        <v>45963</v>
      </c>
      <c r="C1630" s="6" t="s">
        <v>2802</v>
      </c>
      <c r="D1630" s="7">
        <v>0.42638888888888887</v>
      </c>
      <c r="E1630" s="6" t="s">
        <v>16</v>
      </c>
      <c r="F1630" s="6" t="s">
        <v>451</v>
      </c>
      <c r="G1630" s="4">
        <v>40225</v>
      </c>
      <c r="H1630" s="6" t="s">
        <v>145</v>
      </c>
      <c r="I1630">
        <v>332</v>
      </c>
      <c r="J1630">
        <v>1</v>
      </c>
      <c r="K1630">
        <v>333</v>
      </c>
      <c r="L1630" s="6" t="s">
        <v>67</v>
      </c>
      <c r="M1630" s="6" t="s">
        <v>20</v>
      </c>
      <c r="N1630" s="6" t="s">
        <v>21</v>
      </c>
    </row>
    <row r="1631" spans="1:14" x14ac:dyDescent="0.25">
      <c r="A1631" s="6" t="s">
        <v>2344</v>
      </c>
      <c r="B1631" s="4">
        <v>45805</v>
      </c>
      <c r="C1631" s="6" t="s">
        <v>2792</v>
      </c>
      <c r="D1631" s="7">
        <v>0.50353009259259263</v>
      </c>
      <c r="E1631" s="6" t="s">
        <v>16</v>
      </c>
      <c r="F1631" s="6" t="s">
        <v>88</v>
      </c>
      <c r="G1631" s="4">
        <v>26547</v>
      </c>
      <c r="H1631" s="6" t="s">
        <v>73</v>
      </c>
      <c r="I1631">
        <v>41</v>
      </c>
      <c r="J1631">
        <v>1</v>
      </c>
      <c r="K1631">
        <v>42</v>
      </c>
      <c r="L1631" s="6" t="s">
        <v>19</v>
      </c>
      <c r="M1631" s="6" t="s">
        <v>26</v>
      </c>
      <c r="N1631" s="6" t="s">
        <v>33</v>
      </c>
    </row>
    <row r="1632" spans="1:14" x14ac:dyDescent="0.25">
      <c r="A1632" s="6" t="s">
        <v>2346</v>
      </c>
      <c r="B1632" s="4">
        <v>45755</v>
      </c>
      <c r="C1632" s="6" t="s">
        <v>2801</v>
      </c>
      <c r="D1632" s="7">
        <v>0.79027777777777775</v>
      </c>
      <c r="E1632" s="6" t="s">
        <v>16</v>
      </c>
      <c r="F1632" s="6" t="s">
        <v>473</v>
      </c>
      <c r="G1632" s="4">
        <v>27647</v>
      </c>
      <c r="H1632" s="6" t="s">
        <v>259</v>
      </c>
      <c r="I1632">
        <v>134</v>
      </c>
      <c r="J1632">
        <v>2</v>
      </c>
      <c r="K1632">
        <v>269</v>
      </c>
      <c r="L1632" s="6" t="s">
        <v>19</v>
      </c>
      <c r="M1632" s="6" t="s">
        <v>32</v>
      </c>
      <c r="N1632" s="6" t="s">
        <v>74</v>
      </c>
    </row>
    <row r="1633" spans="1:14" x14ac:dyDescent="0.25">
      <c r="A1633" s="6" t="s">
        <v>2348</v>
      </c>
      <c r="B1633" s="4">
        <v>45735</v>
      </c>
      <c r="C1633" s="6" t="s">
        <v>2798</v>
      </c>
      <c r="D1633" s="7">
        <v>0.61972222222222217</v>
      </c>
      <c r="E1633" s="6" t="s">
        <v>16</v>
      </c>
      <c r="F1633" s="6" t="s">
        <v>420</v>
      </c>
      <c r="G1633" s="4">
        <v>34191</v>
      </c>
      <c r="H1633" s="6" t="s">
        <v>126</v>
      </c>
      <c r="I1633">
        <v>138</v>
      </c>
      <c r="J1633">
        <v>3</v>
      </c>
      <c r="L1633" s="6" t="s">
        <v>67</v>
      </c>
      <c r="M1633" s="6" t="s">
        <v>26</v>
      </c>
      <c r="N1633" s="6" t="s">
        <v>74</v>
      </c>
    </row>
    <row r="1634" spans="1:14" x14ac:dyDescent="0.25">
      <c r="A1634" s="6" t="s">
        <v>2350</v>
      </c>
      <c r="B1634" s="4">
        <v>45902</v>
      </c>
      <c r="C1634" s="6" t="s">
        <v>2797</v>
      </c>
      <c r="D1634" s="7">
        <v>0.56805555555555554</v>
      </c>
      <c r="E1634" s="6" t="s">
        <v>16</v>
      </c>
      <c r="F1634" s="6" t="s">
        <v>107</v>
      </c>
      <c r="G1634" s="4">
        <v>31663</v>
      </c>
      <c r="H1634" s="6" t="s">
        <v>259</v>
      </c>
      <c r="I1634">
        <v>293</v>
      </c>
      <c r="J1634">
        <v>1</v>
      </c>
      <c r="K1634">
        <v>294</v>
      </c>
      <c r="L1634" s="6" t="s">
        <v>67</v>
      </c>
      <c r="M1634" s="6" t="s">
        <v>89</v>
      </c>
      <c r="N1634" s="6" t="s">
        <v>21</v>
      </c>
    </row>
    <row r="1635" spans="1:14" x14ac:dyDescent="0.25">
      <c r="A1635" s="6" t="s">
        <v>2351</v>
      </c>
      <c r="B1635" s="4">
        <v>45712</v>
      </c>
      <c r="C1635" s="6" t="s">
        <v>2799</v>
      </c>
      <c r="D1635" s="7">
        <v>0.51035879629629632</v>
      </c>
      <c r="E1635" s="6" t="s">
        <v>16</v>
      </c>
      <c r="F1635" s="6" t="s">
        <v>59</v>
      </c>
      <c r="G1635" s="4">
        <v>39672</v>
      </c>
      <c r="H1635" s="6" t="s">
        <v>18</v>
      </c>
      <c r="I1635">
        <v>78</v>
      </c>
      <c r="J1635">
        <v>1</v>
      </c>
      <c r="K1635">
        <v>78</v>
      </c>
      <c r="L1635" s="6" t="s">
        <v>19</v>
      </c>
      <c r="M1635" s="6" t="s">
        <v>55</v>
      </c>
      <c r="N1635" s="6" t="s">
        <v>21</v>
      </c>
    </row>
    <row r="1636" spans="1:14" x14ac:dyDescent="0.25">
      <c r="A1636" s="6" t="s">
        <v>2352</v>
      </c>
      <c r="B1636" s="4">
        <v>45791</v>
      </c>
      <c r="C1636" s="6" t="s">
        <v>2792</v>
      </c>
      <c r="D1636" s="7">
        <v>0.85373842592592597</v>
      </c>
      <c r="E1636" s="6" t="s">
        <v>16</v>
      </c>
      <c r="F1636" s="6" t="s">
        <v>256</v>
      </c>
      <c r="G1636" s="4">
        <v>35161</v>
      </c>
      <c r="H1636" s="6" t="s">
        <v>104</v>
      </c>
      <c r="I1636">
        <v>303</v>
      </c>
      <c r="J1636">
        <v>1</v>
      </c>
      <c r="K1636">
        <v>303</v>
      </c>
      <c r="L1636" s="6" t="s">
        <v>2787</v>
      </c>
      <c r="M1636" s="6" t="s">
        <v>37</v>
      </c>
      <c r="N1636" s="6" t="s">
        <v>21</v>
      </c>
    </row>
    <row r="1637" spans="1:14" x14ac:dyDescent="0.25">
      <c r="A1637" s="6" t="s">
        <v>2353</v>
      </c>
      <c r="B1637" s="4">
        <v>45678</v>
      </c>
      <c r="C1637" s="6" t="s">
        <v>2794</v>
      </c>
      <c r="D1637" s="7">
        <v>0.58888888888888891</v>
      </c>
      <c r="E1637" s="6" t="s">
        <v>16</v>
      </c>
      <c r="F1637" s="6" t="s">
        <v>201</v>
      </c>
      <c r="G1637" s="4">
        <v>39437</v>
      </c>
      <c r="H1637" s="6" t="s">
        <v>141</v>
      </c>
      <c r="I1637">
        <v>141</v>
      </c>
      <c r="J1637">
        <v>1</v>
      </c>
      <c r="K1637">
        <v>22</v>
      </c>
      <c r="L1637" s="6" t="s">
        <v>67</v>
      </c>
      <c r="M1637" s="6" t="s">
        <v>37</v>
      </c>
      <c r="N1637" s="6" t="s">
        <v>48</v>
      </c>
    </row>
    <row r="1638" spans="1:14" x14ac:dyDescent="0.25">
      <c r="A1638" s="6" t="s">
        <v>2354</v>
      </c>
      <c r="B1638" s="4">
        <v>45692</v>
      </c>
      <c r="C1638" s="6" t="s">
        <v>2799</v>
      </c>
      <c r="D1638" s="7">
        <v>0.98611111111111116</v>
      </c>
      <c r="E1638" s="6" t="s">
        <v>16</v>
      </c>
      <c r="F1638" s="6" t="s">
        <v>334</v>
      </c>
      <c r="G1638" s="4">
        <v>36254</v>
      </c>
      <c r="H1638" s="6" t="s">
        <v>85</v>
      </c>
      <c r="I1638">
        <v>273</v>
      </c>
      <c r="J1638">
        <v>1</v>
      </c>
      <c r="K1638">
        <v>274</v>
      </c>
      <c r="L1638" s="6" t="s">
        <v>67</v>
      </c>
      <c r="M1638" s="6" t="s">
        <v>20</v>
      </c>
      <c r="N1638" s="6" t="s">
        <v>21</v>
      </c>
    </row>
    <row r="1639" spans="1:14" x14ac:dyDescent="0.25">
      <c r="A1639" s="6" t="s">
        <v>2355</v>
      </c>
      <c r="B1639" s="4">
        <v>45642</v>
      </c>
      <c r="C1639" s="6" t="s">
        <v>2796</v>
      </c>
      <c r="D1639" s="7">
        <v>0.81388888888888888</v>
      </c>
      <c r="E1639" s="6" t="s">
        <v>16</v>
      </c>
      <c r="F1639" s="6" t="s">
        <v>358</v>
      </c>
      <c r="G1639" s="4">
        <v>32467</v>
      </c>
      <c r="H1639" s="6" t="s">
        <v>40</v>
      </c>
      <c r="I1639">
        <v>165</v>
      </c>
      <c r="J1639">
        <v>2</v>
      </c>
      <c r="K1639">
        <v>330</v>
      </c>
      <c r="L1639" s="6" t="s">
        <v>54</v>
      </c>
      <c r="M1639" s="6" t="s">
        <v>26</v>
      </c>
      <c r="N1639" s="6" t="s">
        <v>21</v>
      </c>
    </row>
    <row r="1640" spans="1:14" x14ac:dyDescent="0.25">
      <c r="A1640" s="6" t="s">
        <v>2356</v>
      </c>
      <c r="B1640" s="4">
        <v>45641</v>
      </c>
      <c r="C1640" s="6" t="s">
        <v>2796</v>
      </c>
      <c r="D1640" s="7">
        <v>0.58402777777777781</v>
      </c>
      <c r="E1640" s="6" t="s">
        <v>16</v>
      </c>
      <c r="F1640" s="6" t="s">
        <v>98</v>
      </c>
      <c r="G1640" s="4">
        <v>28584</v>
      </c>
      <c r="H1640" s="6" t="s">
        <v>199</v>
      </c>
      <c r="I1640">
        <v>181</v>
      </c>
      <c r="J1640">
        <v>2</v>
      </c>
      <c r="K1640">
        <v>363</v>
      </c>
      <c r="L1640" s="6" t="s">
        <v>2787</v>
      </c>
      <c r="M1640" s="6" t="s">
        <v>61</v>
      </c>
      <c r="N1640" s="6" t="s">
        <v>21</v>
      </c>
    </row>
    <row r="1641" spans="1:14" x14ac:dyDescent="0.25">
      <c r="A1641" s="6" t="s">
        <v>2357</v>
      </c>
      <c r="B1641" s="4">
        <v>45971</v>
      </c>
      <c r="C1641" s="6" t="s">
        <v>2802</v>
      </c>
      <c r="D1641" s="7">
        <v>0.7534143518518519</v>
      </c>
      <c r="E1641" s="6" t="s">
        <v>16</v>
      </c>
      <c r="F1641" s="6" t="s">
        <v>855</v>
      </c>
      <c r="G1641" s="4">
        <v>39131</v>
      </c>
      <c r="H1641" s="6" t="s">
        <v>129</v>
      </c>
      <c r="I1641">
        <v>210</v>
      </c>
      <c r="J1641">
        <v>1</v>
      </c>
      <c r="K1641">
        <v>208</v>
      </c>
      <c r="L1641" s="6" t="s">
        <v>2787</v>
      </c>
      <c r="M1641" s="6" t="s">
        <v>55</v>
      </c>
      <c r="N1641" s="6" t="s">
        <v>56</v>
      </c>
    </row>
    <row r="1642" spans="1:14" x14ac:dyDescent="0.25">
      <c r="A1642" s="6" t="s">
        <v>2358</v>
      </c>
      <c r="B1642" s="4">
        <v>45635</v>
      </c>
      <c r="C1642" s="6" t="s">
        <v>2796</v>
      </c>
      <c r="D1642" s="7">
        <v>0.84583333333333333</v>
      </c>
      <c r="E1642" s="6" t="s">
        <v>16</v>
      </c>
      <c r="F1642" s="6" t="s">
        <v>764</v>
      </c>
      <c r="G1642" s="4">
        <v>38787</v>
      </c>
      <c r="H1642" s="6" t="s">
        <v>116</v>
      </c>
      <c r="I1642">
        <v>232</v>
      </c>
      <c r="J1642">
        <v>1</v>
      </c>
      <c r="K1642">
        <v>233</v>
      </c>
      <c r="L1642" s="6" t="s">
        <v>2787</v>
      </c>
      <c r="M1642" s="6" t="s">
        <v>37</v>
      </c>
      <c r="N1642" s="6" t="s">
        <v>33</v>
      </c>
    </row>
    <row r="1643" spans="1:14" x14ac:dyDescent="0.25">
      <c r="A1643" s="6" t="s">
        <v>2359</v>
      </c>
      <c r="B1643" s="4">
        <v>45842</v>
      </c>
      <c r="C1643" s="6" t="s">
        <v>2795</v>
      </c>
      <c r="D1643" s="7">
        <v>0.68574074074074076</v>
      </c>
      <c r="E1643" s="6" t="s">
        <v>16</v>
      </c>
      <c r="F1643" s="6" t="s">
        <v>279</v>
      </c>
      <c r="G1643" s="4">
        <v>36710</v>
      </c>
      <c r="H1643" s="6" t="s">
        <v>85</v>
      </c>
      <c r="I1643">
        <v>342</v>
      </c>
      <c r="J1643">
        <v>2</v>
      </c>
      <c r="K1643">
        <v>685</v>
      </c>
      <c r="L1643" s="6" t="s">
        <v>2787</v>
      </c>
      <c r="M1643" s="6" t="s">
        <v>61</v>
      </c>
      <c r="N1643" s="6" t="s">
        <v>33</v>
      </c>
    </row>
    <row r="1644" spans="1:14" x14ac:dyDescent="0.25">
      <c r="A1644" s="6" t="s">
        <v>2360</v>
      </c>
      <c r="B1644" s="4">
        <v>45643</v>
      </c>
      <c r="C1644" s="6" t="s">
        <v>2796</v>
      </c>
      <c r="D1644" s="7">
        <v>0.71180555555555558</v>
      </c>
      <c r="E1644" s="6" t="s">
        <v>16</v>
      </c>
      <c r="F1644" s="6" t="s">
        <v>594</v>
      </c>
      <c r="G1644" s="4">
        <v>37545</v>
      </c>
      <c r="H1644" s="6" t="s">
        <v>53</v>
      </c>
      <c r="I1644">
        <v>119</v>
      </c>
      <c r="J1644">
        <v>2</v>
      </c>
      <c r="K1644">
        <v>238</v>
      </c>
      <c r="L1644" s="6" t="s">
        <v>54</v>
      </c>
      <c r="M1644" s="6" t="s">
        <v>26</v>
      </c>
      <c r="N1644" s="6" t="s">
        <v>56</v>
      </c>
    </row>
    <row r="1645" spans="1:14" x14ac:dyDescent="0.25">
      <c r="A1645" s="6" t="s">
        <v>2361</v>
      </c>
      <c r="B1645" s="4">
        <v>45628</v>
      </c>
      <c r="C1645" s="6" t="s">
        <v>2796</v>
      </c>
      <c r="D1645" s="7">
        <v>0.57893518518518516</v>
      </c>
      <c r="E1645" s="6" t="s">
        <v>16</v>
      </c>
      <c r="F1645" s="6" t="s">
        <v>154</v>
      </c>
      <c r="G1645" s="4">
        <v>38369</v>
      </c>
      <c r="H1645" s="6" t="s">
        <v>145</v>
      </c>
      <c r="I1645">
        <v>219</v>
      </c>
      <c r="J1645">
        <v>3</v>
      </c>
      <c r="K1645">
        <v>659</v>
      </c>
      <c r="L1645" s="6" t="s">
        <v>54</v>
      </c>
      <c r="M1645" s="6" t="s">
        <v>89</v>
      </c>
      <c r="N1645" s="6" t="s">
        <v>27</v>
      </c>
    </row>
    <row r="1646" spans="1:14" x14ac:dyDescent="0.25">
      <c r="A1646" s="6" t="s">
        <v>2362</v>
      </c>
      <c r="B1646" s="4">
        <v>45795</v>
      </c>
      <c r="C1646" s="6" t="s">
        <v>2792</v>
      </c>
      <c r="D1646" s="7">
        <v>0.85902777777777772</v>
      </c>
      <c r="E1646" s="6" t="s">
        <v>16</v>
      </c>
      <c r="F1646" s="6" t="s">
        <v>76</v>
      </c>
      <c r="G1646" s="4">
        <v>36690</v>
      </c>
      <c r="H1646" s="6" t="s">
        <v>24</v>
      </c>
      <c r="I1646">
        <v>273</v>
      </c>
      <c r="J1646">
        <v>1</v>
      </c>
      <c r="K1646">
        <v>274</v>
      </c>
      <c r="L1646" s="6" t="s">
        <v>19</v>
      </c>
      <c r="M1646" s="6" t="s">
        <v>32</v>
      </c>
      <c r="N1646" s="6" t="s">
        <v>27</v>
      </c>
    </row>
    <row r="1647" spans="1:14" x14ac:dyDescent="0.25">
      <c r="A1647" s="6" t="s">
        <v>2363</v>
      </c>
      <c r="B1647" s="4">
        <v>45619</v>
      </c>
      <c r="C1647" s="6" t="s">
        <v>2802</v>
      </c>
      <c r="D1647" s="7">
        <v>0.73124999999999996</v>
      </c>
      <c r="E1647" s="6" t="s">
        <v>16</v>
      </c>
      <c r="F1647" s="6" t="s">
        <v>264</v>
      </c>
      <c r="G1647" s="4">
        <v>39560</v>
      </c>
      <c r="H1647" s="6" t="s">
        <v>243</v>
      </c>
      <c r="I1647">
        <v>273</v>
      </c>
      <c r="J1647">
        <v>1</v>
      </c>
      <c r="K1647">
        <v>274</v>
      </c>
      <c r="L1647" s="6" t="s">
        <v>41</v>
      </c>
      <c r="M1647" s="6" t="s">
        <v>32</v>
      </c>
      <c r="N1647" s="6" t="s">
        <v>74</v>
      </c>
    </row>
    <row r="1648" spans="1:14" x14ac:dyDescent="0.25">
      <c r="A1648" s="6" t="s">
        <v>2364</v>
      </c>
      <c r="B1648" s="4">
        <v>45714</v>
      </c>
      <c r="C1648" s="6" t="s">
        <v>2799</v>
      </c>
      <c r="D1648" s="7">
        <v>0.64447916666666671</v>
      </c>
      <c r="E1648" s="6" t="s">
        <v>16</v>
      </c>
      <c r="F1648" s="6" t="s">
        <v>692</v>
      </c>
      <c r="G1648" s="4">
        <v>39560</v>
      </c>
      <c r="H1648" s="6" t="s">
        <v>141</v>
      </c>
      <c r="I1648">
        <v>126</v>
      </c>
      <c r="J1648">
        <v>2</v>
      </c>
      <c r="K1648">
        <v>253</v>
      </c>
      <c r="L1648" s="6" t="s">
        <v>41</v>
      </c>
      <c r="M1648" s="6" t="s">
        <v>61</v>
      </c>
      <c r="N1648" s="6" t="s">
        <v>56</v>
      </c>
    </row>
    <row r="1649" spans="1:14" x14ac:dyDescent="0.25">
      <c r="A1649" s="6" t="s">
        <v>2365</v>
      </c>
      <c r="B1649" s="4">
        <v>45888</v>
      </c>
      <c r="C1649" s="6" t="s">
        <v>2793</v>
      </c>
      <c r="D1649" s="7">
        <v>0.8256944444444444</v>
      </c>
      <c r="E1649" s="6" t="s">
        <v>16</v>
      </c>
      <c r="F1649" s="6" t="s">
        <v>397</v>
      </c>
      <c r="G1649" s="4">
        <v>27075</v>
      </c>
      <c r="H1649" s="6" t="s">
        <v>199</v>
      </c>
      <c r="I1649">
        <v>217</v>
      </c>
      <c r="J1649">
        <v>1</v>
      </c>
      <c r="K1649">
        <v>218</v>
      </c>
      <c r="L1649" s="6" t="s">
        <v>19</v>
      </c>
      <c r="M1649" s="6" t="s">
        <v>20</v>
      </c>
      <c r="N1649" s="6" t="s">
        <v>27</v>
      </c>
    </row>
    <row r="1650" spans="1:14" x14ac:dyDescent="0.25">
      <c r="A1650" s="6" t="s">
        <v>2367</v>
      </c>
      <c r="B1650" s="4">
        <v>45846</v>
      </c>
      <c r="C1650" s="6" t="s">
        <v>2795</v>
      </c>
      <c r="D1650" s="7">
        <v>0.72152777777777777</v>
      </c>
      <c r="E1650" s="6" t="s">
        <v>16</v>
      </c>
      <c r="F1650" s="6" t="s">
        <v>664</v>
      </c>
      <c r="G1650" s="4">
        <v>33584</v>
      </c>
      <c r="H1650" s="6" t="s">
        <v>126</v>
      </c>
      <c r="I1650">
        <v>74</v>
      </c>
      <c r="J1650">
        <v>1</v>
      </c>
      <c r="K1650">
        <v>74</v>
      </c>
      <c r="L1650" s="6" t="s">
        <v>54</v>
      </c>
      <c r="M1650" s="6" t="s">
        <v>32</v>
      </c>
      <c r="N1650" s="6" t="s">
        <v>33</v>
      </c>
    </row>
    <row r="1651" spans="1:14" x14ac:dyDescent="0.25">
      <c r="A1651" s="6" t="s">
        <v>2368</v>
      </c>
      <c r="B1651" s="4">
        <v>45849</v>
      </c>
      <c r="C1651" s="6" t="s">
        <v>2795</v>
      </c>
      <c r="D1651" s="7">
        <v>0.45347222222222222</v>
      </c>
      <c r="E1651" s="6" t="s">
        <v>16</v>
      </c>
      <c r="F1651" s="6" t="s">
        <v>582</v>
      </c>
      <c r="G1651" s="4">
        <v>28207</v>
      </c>
      <c r="H1651" s="6" t="s">
        <v>129</v>
      </c>
      <c r="I1651">
        <v>151</v>
      </c>
      <c r="J1651">
        <v>1</v>
      </c>
      <c r="K1651">
        <v>152</v>
      </c>
      <c r="L1651" s="6" t="s">
        <v>2787</v>
      </c>
      <c r="M1651" s="6" t="s">
        <v>26</v>
      </c>
      <c r="N1651" s="6" t="s">
        <v>105</v>
      </c>
    </row>
    <row r="1652" spans="1:14" x14ac:dyDescent="0.25">
      <c r="A1652" s="6" t="s">
        <v>2370</v>
      </c>
      <c r="B1652" s="4">
        <v>45812</v>
      </c>
      <c r="C1652" s="6" t="s">
        <v>2800</v>
      </c>
      <c r="D1652" s="7">
        <v>0.81524305555555554</v>
      </c>
      <c r="E1652" s="6" t="s">
        <v>16</v>
      </c>
      <c r="F1652" s="6" t="s">
        <v>211</v>
      </c>
      <c r="G1652" s="4">
        <v>39936</v>
      </c>
      <c r="H1652" s="6" t="s">
        <v>45</v>
      </c>
      <c r="I1652">
        <v>330</v>
      </c>
      <c r="J1652">
        <v>2</v>
      </c>
      <c r="K1652">
        <v>661</v>
      </c>
      <c r="L1652" s="6" t="s">
        <v>41</v>
      </c>
      <c r="M1652" s="6" t="s">
        <v>61</v>
      </c>
      <c r="N1652" s="6" t="s">
        <v>27</v>
      </c>
    </row>
    <row r="1653" spans="1:14" x14ac:dyDescent="0.25">
      <c r="A1653" s="6" t="s">
        <v>2371</v>
      </c>
      <c r="B1653" s="4">
        <v>45672</v>
      </c>
      <c r="C1653" s="6" t="s">
        <v>2794</v>
      </c>
      <c r="D1653" s="7">
        <v>0.4548611111111111</v>
      </c>
      <c r="E1653" s="6" t="s">
        <v>16</v>
      </c>
      <c r="F1653" s="6" t="s">
        <v>173</v>
      </c>
      <c r="G1653" s="4">
        <v>39640</v>
      </c>
      <c r="H1653" s="6" t="s">
        <v>126</v>
      </c>
      <c r="I1653">
        <v>277</v>
      </c>
      <c r="J1653">
        <v>2</v>
      </c>
      <c r="K1653">
        <v>555</v>
      </c>
      <c r="L1653" s="6" t="s">
        <v>19</v>
      </c>
      <c r="M1653" s="6" t="s">
        <v>55</v>
      </c>
      <c r="N1653" s="6" t="s">
        <v>27</v>
      </c>
    </row>
    <row r="1654" spans="1:14" x14ac:dyDescent="0.25">
      <c r="A1654" s="6" t="s">
        <v>2372</v>
      </c>
      <c r="B1654" s="4">
        <v>45767</v>
      </c>
      <c r="C1654" s="6" t="s">
        <v>2801</v>
      </c>
      <c r="D1654" s="7">
        <v>0.86745370370370367</v>
      </c>
      <c r="E1654" s="6" t="s">
        <v>16</v>
      </c>
      <c r="F1654" s="6" t="s">
        <v>628</v>
      </c>
      <c r="G1654" s="4">
        <v>28444</v>
      </c>
      <c r="H1654" s="6" t="s">
        <v>93</v>
      </c>
      <c r="I1654">
        <v>153</v>
      </c>
      <c r="J1654">
        <v>1</v>
      </c>
      <c r="K1654">
        <v>116</v>
      </c>
      <c r="L1654" s="6" t="s">
        <v>41</v>
      </c>
      <c r="M1654" s="6" t="s">
        <v>61</v>
      </c>
      <c r="N1654" s="6" t="s">
        <v>74</v>
      </c>
    </row>
    <row r="1655" spans="1:14" x14ac:dyDescent="0.25">
      <c r="A1655" s="6" t="s">
        <v>2374</v>
      </c>
      <c r="B1655" s="4">
        <v>45853</v>
      </c>
      <c r="C1655" s="6" t="s">
        <v>2795</v>
      </c>
      <c r="D1655" s="7">
        <v>0.52276620370370375</v>
      </c>
      <c r="E1655" s="6" t="s">
        <v>16</v>
      </c>
      <c r="F1655" s="6" t="s">
        <v>140</v>
      </c>
      <c r="G1655" s="4">
        <v>26691</v>
      </c>
      <c r="H1655" s="6" t="s">
        <v>73</v>
      </c>
      <c r="I1655">
        <v>43</v>
      </c>
      <c r="J1655">
        <v>3</v>
      </c>
      <c r="K1655">
        <v>131</v>
      </c>
      <c r="L1655" s="6" t="s">
        <v>2787</v>
      </c>
      <c r="M1655" s="6" t="s">
        <v>26</v>
      </c>
      <c r="N1655" s="6" t="s">
        <v>105</v>
      </c>
    </row>
    <row r="1656" spans="1:14" x14ac:dyDescent="0.25">
      <c r="A1656" s="6" t="s">
        <v>2375</v>
      </c>
      <c r="B1656" s="4">
        <v>45748</v>
      </c>
      <c r="C1656" s="6" t="s">
        <v>2801</v>
      </c>
      <c r="D1656" s="7">
        <v>0.47638888888888886</v>
      </c>
      <c r="E1656" s="6" t="s">
        <v>16</v>
      </c>
      <c r="F1656" s="6" t="s">
        <v>173</v>
      </c>
      <c r="G1656" s="4">
        <v>40449</v>
      </c>
      <c r="H1656" s="6" t="s">
        <v>18</v>
      </c>
      <c r="I1656">
        <v>99</v>
      </c>
      <c r="J1656">
        <v>1</v>
      </c>
      <c r="K1656">
        <v>100</v>
      </c>
      <c r="L1656" s="6" t="s">
        <v>2787</v>
      </c>
      <c r="M1656" s="6" t="s">
        <v>47</v>
      </c>
      <c r="N1656" s="6" t="s">
        <v>27</v>
      </c>
    </row>
    <row r="1657" spans="1:14" x14ac:dyDescent="0.25">
      <c r="A1657" s="6" t="s">
        <v>2376</v>
      </c>
      <c r="B1657" s="4">
        <v>45705</v>
      </c>
      <c r="C1657" s="6" t="s">
        <v>2799</v>
      </c>
      <c r="D1657" s="7">
        <v>0.68055555555555558</v>
      </c>
      <c r="E1657" s="6" t="s">
        <v>16</v>
      </c>
      <c r="F1657" s="6" t="s">
        <v>548</v>
      </c>
      <c r="G1657" s="4">
        <v>39582</v>
      </c>
      <c r="H1657" s="6" t="s">
        <v>259</v>
      </c>
      <c r="I1657">
        <v>175</v>
      </c>
      <c r="J1657">
        <v>2</v>
      </c>
      <c r="K1657">
        <v>352</v>
      </c>
      <c r="L1657" s="6" t="s">
        <v>41</v>
      </c>
      <c r="M1657" s="6" t="s">
        <v>47</v>
      </c>
      <c r="N1657" s="6" t="s">
        <v>27</v>
      </c>
    </row>
    <row r="1658" spans="1:14" x14ac:dyDescent="0.25">
      <c r="A1658" s="6" t="s">
        <v>2377</v>
      </c>
      <c r="B1658" s="4">
        <v>45744</v>
      </c>
      <c r="C1658" s="6" t="s">
        <v>2798</v>
      </c>
      <c r="D1658" s="7">
        <v>0.88556712962962958</v>
      </c>
      <c r="E1658" s="6" t="s">
        <v>16</v>
      </c>
      <c r="F1658" s="6" t="s">
        <v>204</v>
      </c>
      <c r="G1658" s="4">
        <v>28753</v>
      </c>
      <c r="H1658" s="6" t="s">
        <v>141</v>
      </c>
      <c r="I1658">
        <v>144</v>
      </c>
      <c r="J1658">
        <v>1</v>
      </c>
      <c r="K1658">
        <v>144</v>
      </c>
      <c r="L1658" s="6" t="s">
        <v>41</v>
      </c>
      <c r="M1658" s="6" t="s">
        <v>20</v>
      </c>
      <c r="N1658" s="6" t="s">
        <v>21</v>
      </c>
    </row>
    <row r="1659" spans="1:14" x14ac:dyDescent="0.25">
      <c r="A1659" s="6" t="s">
        <v>2378</v>
      </c>
      <c r="B1659" s="4">
        <v>45930</v>
      </c>
      <c r="C1659" s="6" t="s">
        <v>2797</v>
      </c>
      <c r="D1659" s="7">
        <v>0.85347222222222219</v>
      </c>
      <c r="E1659" s="6" t="s">
        <v>16</v>
      </c>
      <c r="F1659" s="6" t="s">
        <v>420</v>
      </c>
      <c r="G1659" s="4">
        <v>27569</v>
      </c>
      <c r="H1659" s="6" t="s">
        <v>40</v>
      </c>
      <c r="I1659">
        <v>173</v>
      </c>
      <c r="J1659">
        <v>2</v>
      </c>
      <c r="K1659">
        <v>396</v>
      </c>
      <c r="L1659" s="6" t="s">
        <v>67</v>
      </c>
      <c r="M1659" s="6" t="s">
        <v>61</v>
      </c>
      <c r="N1659" s="6" t="s">
        <v>56</v>
      </c>
    </row>
    <row r="1660" spans="1:14" x14ac:dyDescent="0.25">
      <c r="A1660" s="6" t="s">
        <v>2379</v>
      </c>
      <c r="B1660" s="4">
        <v>45628</v>
      </c>
      <c r="C1660" s="6" t="s">
        <v>2796</v>
      </c>
      <c r="D1660" s="7">
        <v>0.99097222222222225</v>
      </c>
      <c r="E1660" s="6" t="s">
        <v>16</v>
      </c>
      <c r="F1660" s="6" t="s">
        <v>1617</v>
      </c>
      <c r="G1660" s="4">
        <v>39718</v>
      </c>
      <c r="H1660" s="6" t="s">
        <v>199</v>
      </c>
      <c r="I1660">
        <v>165</v>
      </c>
      <c r="J1660">
        <v>1</v>
      </c>
      <c r="K1660">
        <v>165</v>
      </c>
      <c r="L1660" s="6" t="s">
        <v>67</v>
      </c>
      <c r="M1660" s="6" t="s">
        <v>55</v>
      </c>
      <c r="N1660" s="6" t="s">
        <v>56</v>
      </c>
    </row>
    <row r="1661" spans="1:14" x14ac:dyDescent="0.25">
      <c r="A1661" s="6" t="s">
        <v>2381</v>
      </c>
      <c r="B1661" s="4">
        <v>45705</v>
      </c>
      <c r="C1661" s="6" t="s">
        <v>2799</v>
      </c>
      <c r="D1661" s="7">
        <v>0.53848379629629628</v>
      </c>
      <c r="E1661" s="6" t="s">
        <v>16</v>
      </c>
      <c r="F1661" s="6" t="s">
        <v>95</v>
      </c>
      <c r="G1661" s="4">
        <v>32601</v>
      </c>
      <c r="H1661" s="6" t="s">
        <v>164</v>
      </c>
      <c r="I1661">
        <v>269</v>
      </c>
      <c r="J1661">
        <v>1</v>
      </c>
      <c r="K1661">
        <v>270</v>
      </c>
      <c r="L1661" s="6" t="s">
        <v>2787</v>
      </c>
      <c r="M1661" s="6" t="s">
        <v>20</v>
      </c>
      <c r="N1661" s="6" t="s">
        <v>21</v>
      </c>
    </row>
    <row r="1662" spans="1:14" x14ac:dyDescent="0.25">
      <c r="A1662" s="6" t="s">
        <v>2382</v>
      </c>
      <c r="B1662" s="4">
        <v>45761</v>
      </c>
      <c r="C1662" s="6" t="s">
        <v>2801</v>
      </c>
      <c r="D1662" s="7">
        <v>0.99791666666666667</v>
      </c>
      <c r="E1662" s="6" t="s">
        <v>16</v>
      </c>
      <c r="F1662" s="6" t="s">
        <v>295</v>
      </c>
      <c r="G1662" s="4">
        <v>28842</v>
      </c>
      <c r="H1662" s="6" t="s">
        <v>45</v>
      </c>
      <c r="I1662">
        <v>208</v>
      </c>
      <c r="J1662">
        <v>3</v>
      </c>
      <c r="K1662">
        <v>626</v>
      </c>
      <c r="L1662" s="6" t="s">
        <v>2787</v>
      </c>
      <c r="M1662" s="6" t="s">
        <v>32</v>
      </c>
      <c r="N1662" s="6" t="s">
        <v>21</v>
      </c>
    </row>
    <row r="1663" spans="1:14" x14ac:dyDescent="0.25">
      <c r="A1663" s="6" t="s">
        <v>2383</v>
      </c>
      <c r="B1663" s="4">
        <v>45905</v>
      </c>
      <c r="C1663" s="6" t="s">
        <v>2797</v>
      </c>
      <c r="D1663" s="7">
        <v>0.54156249999999995</v>
      </c>
      <c r="E1663" s="6" t="s">
        <v>16</v>
      </c>
      <c r="F1663" s="6" t="s">
        <v>2384</v>
      </c>
      <c r="G1663" s="4">
        <v>28842</v>
      </c>
      <c r="H1663" s="6" t="s">
        <v>104</v>
      </c>
      <c r="I1663">
        <v>252</v>
      </c>
      <c r="J1663">
        <v>2</v>
      </c>
      <c r="K1663">
        <v>504</v>
      </c>
      <c r="L1663" s="6" t="s">
        <v>54</v>
      </c>
      <c r="M1663" s="6" t="s">
        <v>32</v>
      </c>
      <c r="N1663" s="6" t="s">
        <v>21</v>
      </c>
    </row>
    <row r="1664" spans="1:14" x14ac:dyDescent="0.25">
      <c r="A1664" s="6" t="s">
        <v>2385</v>
      </c>
      <c r="B1664" s="4">
        <v>45977</v>
      </c>
      <c r="C1664" s="6" t="s">
        <v>2802</v>
      </c>
      <c r="D1664" s="7">
        <v>0.70763888888888893</v>
      </c>
      <c r="E1664" s="6" t="s">
        <v>16</v>
      </c>
      <c r="F1664" s="6" t="s">
        <v>107</v>
      </c>
      <c r="G1664" s="4">
        <v>28842</v>
      </c>
      <c r="H1664" s="6" t="s">
        <v>259</v>
      </c>
      <c r="I1664">
        <v>194</v>
      </c>
      <c r="J1664">
        <v>2</v>
      </c>
      <c r="K1664">
        <v>389</v>
      </c>
      <c r="L1664" s="6" t="s">
        <v>54</v>
      </c>
      <c r="M1664" s="6" t="s">
        <v>47</v>
      </c>
      <c r="N1664" s="6" t="s">
        <v>21</v>
      </c>
    </row>
    <row r="1665" spans="1:14" x14ac:dyDescent="0.25">
      <c r="A1665" s="6" t="s">
        <v>2386</v>
      </c>
      <c r="B1665" s="4">
        <v>45706</v>
      </c>
      <c r="C1665" s="6" t="s">
        <v>2799</v>
      </c>
      <c r="D1665" s="7">
        <v>0.59930555555555554</v>
      </c>
      <c r="E1665" s="6" t="s">
        <v>16</v>
      </c>
      <c r="F1665" s="6" t="s">
        <v>88</v>
      </c>
      <c r="G1665" s="4">
        <v>28171</v>
      </c>
      <c r="H1665" s="6" t="s">
        <v>73</v>
      </c>
      <c r="I1665">
        <v>38</v>
      </c>
      <c r="J1665">
        <v>2</v>
      </c>
      <c r="K1665">
        <v>78</v>
      </c>
      <c r="L1665" s="6" t="s">
        <v>54</v>
      </c>
      <c r="M1665" s="6" t="s">
        <v>26</v>
      </c>
      <c r="N1665" s="6" t="s">
        <v>21</v>
      </c>
    </row>
    <row r="1666" spans="1:14" x14ac:dyDescent="0.25">
      <c r="A1666" s="6" t="s">
        <v>2387</v>
      </c>
      <c r="B1666" s="4">
        <v>45652</v>
      </c>
      <c r="C1666" s="6" t="s">
        <v>2796</v>
      </c>
      <c r="D1666" s="7">
        <v>0.6645833333333333</v>
      </c>
      <c r="E1666" s="6" t="s">
        <v>16</v>
      </c>
      <c r="F1666" s="6" t="s">
        <v>169</v>
      </c>
      <c r="G1666" s="4">
        <v>33742</v>
      </c>
      <c r="H1666" s="6" t="s">
        <v>30</v>
      </c>
      <c r="I1666">
        <v>277</v>
      </c>
      <c r="J1666">
        <v>1</v>
      </c>
      <c r="K1666">
        <v>277</v>
      </c>
      <c r="L1666" s="6" t="s">
        <v>41</v>
      </c>
      <c r="M1666" s="6" t="s">
        <v>61</v>
      </c>
      <c r="N1666" s="6" t="s">
        <v>21</v>
      </c>
    </row>
    <row r="1667" spans="1:14" x14ac:dyDescent="0.25">
      <c r="A1667" s="6" t="s">
        <v>2388</v>
      </c>
      <c r="B1667" s="4">
        <v>45767</v>
      </c>
      <c r="C1667" s="6" t="s">
        <v>2801</v>
      </c>
      <c r="D1667" s="7">
        <v>0.72298611111111111</v>
      </c>
      <c r="E1667" s="6" t="s">
        <v>16</v>
      </c>
      <c r="F1667" s="6" t="s">
        <v>84</v>
      </c>
      <c r="G1667" s="4">
        <v>27017</v>
      </c>
      <c r="H1667" s="6" t="s">
        <v>53</v>
      </c>
      <c r="I1667">
        <v>108</v>
      </c>
      <c r="J1667">
        <v>2</v>
      </c>
      <c r="K1667">
        <v>217</v>
      </c>
      <c r="L1667" s="6" t="s">
        <v>2787</v>
      </c>
      <c r="M1667" s="6" t="s">
        <v>89</v>
      </c>
      <c r="N1667" s="6" t="s">
        <v>21</v>
      </c>
    </row>
    <row r="1668" spans="1:14" x14ac:dyDescent="0.25">
      <c r="A1668" s="6" t="s">
        <v>2389</v>
      </c>
      <c r="B1668" s="4">
        <v>45832</v>
      </c>
      <c r="C1668" s="6" t="s">
        <v>2800</v>
      </c>
      <c r="D1668" s="7">
        <v>0.54583333333333328</v>
      </c>
      <c r="E1668" s="6" t="s">
        <v>16</v>
      </c>
      <c r="F1668" s="6" t="s">
        <v>324</v>
      </c>
      <c r="G1668" s="4">
        <v>38148</v>
      </c>
      <c r="H1668" s="6" t="s">
        <v>53</v>
      </c>
      <c r="I1668">
        <v>113</v>
      </c>
      <c r="J1668">
        <v>1</v>
      </c>
      <c r="K1668">
        <v>113</v>
      </c>
      <c r="L1668" s="6" t="s">
        <v>19</v>
      </c>
      <c r="M1668" s="6" t="s">
        <v>32</v>
      </c>
      <c r="N1668" s="6" t="s">
        <v>27</v>
      </c>
    </row>
    <row r="1669" spans="1:14" x14ac:dyDescent="0.25">
      <c r="A1669" s="6" t="s">
        <v>2390</v>
      </c>
      <c r="B1669" s="4">
        <v>45691</v>
      </c>
      <c r="C1669" s="6" t="s">
        <v>2799</v>
      </c>
      <c r="D1669" s="7">
        <v>0.70303240740740736</v>
      </c>
      <c r="E1669" s="6" t="s">
        <v>16</v>
      </c>
      <c r="F1669" s="6" t="s">
        <v>52</v>
      </c>
      <c r="G1669" s="4">
        <v>36155</v>
      </c>
      <c r="H1669" s="6" t="s">
        <v>145</v>
      </c>
      <c r="I1669">
        <v>210</v>
      </c>
      <c r="J1669">
        <v>2</v>
      </c>
      <c r="K1669">
        <v>422</v>
      </c>
      <c r="L1669" s="6" t="s">
        <v>19</v>
      </c>
      <c r="M1669" s="6" t="s">
        <v>61</v>
      </c>
      <c r="N1669" s="6" t="s">
        <v>27</v>
      </c>
    </row>
    <row r="1670" spans="1:14" x14ac:dyDescent="0.25">
      <c r="A1670" s="6" t="s">
        <v>2391</v>
      </c>
      <c r="B1670" s="4">
        <v>45765</v>
      </c>
      <c r="C1670" s="6" t="s">
        <v>2801</v>
      </c>
      <c r="D1670" s="7">
        <v>0.70277777777777772</v>
      </c>
      <c r="E1670" s="6" t="s">
        <v>16</v>
      </c>
      <c r="F1670" s="6" t="s">
        <v>147</v>
      </c>
      <c r="G1670" s="4">
        <v>31162</v>
      </c>
      <c r="H1670" s="6" t="s">
        <v>126</v>
      </c>
      <c r="I1670">
        <v>229</v>
      </c>
      <c r="J1670">
        <v>2</v>
      </c>
      <c r="K1670">
        <v>459</v>
      </c>
      <c r="L1670" s="6" t="s">
        <v>19</v>
      </c>
      <c r="M1670" s="6" t="s">
        <v>55</v>
      </c>
      <c r="N1670" s="6" t="s">
        <v>27</v>
      </c>
    </row>
    <row r="1671" spans="1:14" x14ac:dyDescent="0.25">
      <c r="A1671" s="6" t="s">
        <v>2392</v>
      </c>
      <c r="B1671" s="4">
        <v>45812</v>
      </c>
      <c r="C1671" s="6" t="s">
        <v>2800</v>
      </c>
      <c r="D1671" s="7">
        <v>0.69166666666666665</v>
      </c>
      <c r="E1671" s="6" t="s">
        <v>16</v>
      </c>
      <c r="F1671" s="6" t="s">
        <v>473</v>
      </c>
      <c r="G1671" s="4">
        <v>29039</v>
      </c>
      <c r="H1671" s="6" t="s">
        <v>93</v>
      </c>
      <c r="I1671">
        <v>185</v>
      </c>
      <c r="J1671">
        <v>2</v>
      </c>
      <c r="K1671">
        <v>418</v>
      </c>
      <c r="L1671" s="6" t="s">
        <v>67</v>
      </c>
      <c r="M1671" s="6" t="s">
        <v>20</v>
      </c>
      <c r="N1671" s="6" t="s">
        <v>27</v>
      </c>
    </row>
    <row r="1672" spans="1:14" x14ac:dyDescent="0.25">
      <c r="A1672" s="6" t="s">
        <v>2393</v>
      </c>
      <c r="B1672" s="4">
        <v>45762</v>
      </c>
      <c r="C1672" s="6" t="s">
        <v>2801</v>
      </c>
      <c r="D1672" s="7">
        <v>0.65127314814814818</v>
      </c>
      <c r="E1672" s="6" t="s">
        <v>16</v>
      </c>
      <c r="F1672" s="6" t="s">
        <v>2095</v>
      </c>
      <c r="G1672" s="4">
        <v>28872</v>
      </c>
      <c r="H1672" s="6" t="s">
        <v>60</v>
      </c>
      <c r="I1672">
        <v>301</v>
      </c>
      <c r="J1672">
        <v>1</v>
      </c>
      <c r="K1672">
        <v>301</v>
      </c>
      <c r="L1672" s="6" t="s">
        <v>67</v>
      </c>
      <c r="M1672" s="6" t="s">
        <v>37</v>
      </c>
      <c r="N1672" s="6" t="s">
        <v>21</v>
      </c>
    </row>
    <row r="1673" spans="1:14" x14ac:dyDescent="0.25">
      <c r="A1673" s="6" t="s">
        <v>2394</v>
      </c>
      <c r="B1673" s="4">
        <v>45828</v>
      </c>
      <c r="C1673" s="6" t="s">
        <v>2800</v>
      </c>
      <c r="D1673" s="7">
        <v>0.98129629629629633</v>
      </c>
      <c r="E1673" s="6" t="s">
        <v>16</v>
      </c>
      <c r="F1673" s="6" t="s">
        <v>151</v>
      </c>
      <c r="G1673" s="4">
        <v>28005</v>
      </c>
      <c r="H1673" s="6" t="s">
        <v>93</v>
      </c>
      <c r="I1673">
        <v>187</v>
      </c>
      <c r="J1673">
        <v>1</v>
      </c>
      <c r="K1673">
        <v>188</v>
      </c>
      <c r="L1673" s="6" t="s">
        <v>41</v>
      </c>
      <c r="M1673" s="6" t="s">
        <v>20</v>
      </c>
      <c r="N1673" s="6" t="s">
        <v>56</v>
      </c>
    </row>
    <row r="1674" spans="1:14" x14ac:dyDescent="0.25">
      <c r="A1674" s="6" t="s">
        <v>2395</v>
      </c>
      <c r="B1674" s="4">
        <v>45658</v>
      </c>
      <c r="C1674" s="6" t="s">
        <v>2794</v>
      </c>
      <c r="D1674" s="7">
        <v>0.5444444444444444</v>
      </c>
      <c r="E1674" s="6" t="s">
        <v>16</v>
      </c>
      <c r="F1674" s="6" t="s">
        <v>50</v>
      </c>
      <c r="G1674" s="4">
        <v>28226</v>
      </c>
      <c r="H1674" s="6" t="s">
        <v>213</v>
      </c>
      <c r="I1674">
        <v>335</v>
      </c>
      <c r="J1674">
        <v>3</v>
      </c>
      <c r="K1674">
        <v>1008</v>
      </c>
      <c r="L1674" s="6" t="s">
        <v>41</v>
      </c>
      <c r="M1674" s="6" t="s">
        <v>32</v>
      </c>
      <c r="N1674" s="6" t="s">
        <v>21</v>
      </c>
    </row>
    <row r="1675" spans="1:14" x14ac:dyDescent="0.25">
      <c r="A1675" s="6" t="s">
        <v>2396</v>
      </c>
      <c r="B1675" s="4">
        <v>45813</v>
      </c>
      <c r="C1675" s="6" t="s">
        <v>2800</v>
      </c>
      <c r="D1675" s="7">
        <v>0.71527777777777779</v>
      </c>
      <c r="E1675" s="6" t="s">
        <v>16</v>
      </c>
      <c r="F1675" s="6" t="s">
        <v>173</v>
      </c>
      <c r="G1675" s="4">
        <v>29832</v>
      </c>
      <c r="H1675" s="6" t="s">
        <v>199</v>
      </c>
      <c r="I1675">
        <v>178</v>
      </c>
      <c r="J1675">
        <v>2</v>
      </c>
      <c r="K1675">
        <v>358</v>
      </c>
      <c r="L1675" s="6" t="s">
        <v>41</v>
      </c>
      <c r="M1675" s="6" t="s">
        <v>32</v>
      </c>
      <c r="N1675" s="6" t="s">
        <v>21</v>
      </c>
    </row>
    <row r="1676" spans="1:14" x14ac:dyDescent="0.25">
      <c r="A1676" s="6" t="s">
        <v>2397</v>
      </c>
      <c r="B1676" s="4">
        <v>45771</v>
      </c>
      <c r="C1676" s="6" t="s">
        <v>2801</v>
      </c>
      <c r="D1676" s="7">
        <v>0.69745370370370374</v>
      </c>
      <c r="E1676" s="6" t="s">
        <v>16</v>
      </c>
      <c r="F1676" s="6" t="s">
        <v>76</v>
      </c>
      <c r="G1676" s="4">
        <v>37001</v>
      </c>
      <c r="H1676" s="6" t="s">
        <v>129</v>
      </c>
      <c r="I1676">
        <v>184</v>
      </c>
      <c r="J1676">
        <v>1</v>
      </c>
      <c r="K1676">
        <v>185</v>
      </c>
      <c r="L1676" s="6" t="s">
        <v>41</v>
      </c>
      <c r="M1676" s="6" t="s">
        <v>32</v>
      </c>
      <c r="N1676" s="6" t="s">
        <v>105</v>
      </c>
    </row>
    <row r="1677" spans="1:14" x14ac:dyDescent="0.25">
      <c r="A1677" s="6" t="s">
        <v>2398</v>
      </c>
      <c r="B1677" s="4">
        <v>45896</v>
      </c>
      <c r="C1677" s="6" t="s">
        <v>2793</v>
      </c>
      <c r="D1677" s="7">
        <v>0.65555555555555556</v>
      </c>
      <c r="E1677" s="6" t="s">
        <v>16</v>
      </c>
      <c r="F1677" s="6" t="s">
        <v>227</v>
      </c>
      <c r="G1677" s="4">
        <v>37021</v>
      </c>
      <c r="H1677" s="6" t="s">
        <v>259</v>
      </c>
      <c r="I1677">
        <v>292</v>
      </c>
      <c r="J1677">
        <v>1</v>
      </c>
      <c r="K1677">
        <v>293</v>
      </c>
      <c r="L1677" s="6" t="s">
        <v>41</v>
      </c>
      <c r="M1677" s="6" t="s">
        <v>61</v>
      </c>
      <c r="N1677" s="6" t="s">
        <v>74</v>
      </c>
    </row>
    <row r="1678" spans="1:14" x14ac:dyDescent="0.25">
      <c r="A1678" s="6" t="s">
        <v>2399</v>
      </c>
      <c r="B1678" s="4">
        <v>45812</v>
      </c>
      <c r="C1678" s="6" t="s">
        <v>2800</v>
      </c>
      <c r="D1678" s="7">
        <v>0.90905092592592596</v>
      </c>
      <c r="E1678" s="6" t="s">
        <v>16</v>
      </c>
      <c r="F1678" s="6" t="s">
        <v>88</v>
      </c>
      <c r="G1678" s="4">
        <v>30785</v>
      </c>
      <c r="H1678" s="6" t="s">
        <v>24</v>
      </c>
      <c r="I1678">
        <v>279</v>
      </c>
      <c r="J1678">
        <v>1</v>
      </c>
      <c r="K1678">
        <v>280</v>
      </c>
      <c r="L1678" s="6" t="s">
        <v>54</v>
      </c>
      <c r="M1678" s="6" t="s">
        <v>55</v>
      </c>
      <c r="N1678" s="6" t="s">
        <v>33</v>
      </c>
    </row>
    <row r="1679" spans="1:14" x14ac:dyDescent="0.25">
      <c r="A1679" s="6" t="s">
        <v>2400</v>
      </c>
      <c r="B1679" s="4">
        <v>45960</v>
      </c>
      <c r="C1679" s="6" t="s">
        <v>2791</v>
      </c>
      <c r="D1679" s="7">
        <v>0.44374999999999998</v>
      </c>
      <c r="E1679" s="6" t="s">
        <v>16</v>
      </c>
      <c r="F1679" s="6" t="s">
        <v>379</v>
      </c>
      <c r="G1679" s="4">
        <v>28344</v>
      </c>
      <c r="H1679" s="6" t="s">
        <v>164</v>
      </c>
      <c r="I1679">
        <v>320</v>
      </c>
      <c r="J1679">
        <v>2</v>
      </c>
      <c r="K1679">
        <v>641</v>
      </c>
      <c r="L1679" s="6" t="s">
        <v>54</v>
      </c>
      <c r="M1679" s="6" t="s">
        <v>61</v>
      </c>
      <c r="N1679" s="6" t="s">
        <v>33</v>
      </c>
    </row>
    <row r="1680" spans="1:14" x14ac:dyDescent="0.25">
      <c r="A1680" s="6" t="s">
        <v>2401</v>
      </c>
      <c r="B1680" s="4">
        <v>45898</v>
      </c>
      <c r="C1680" s="6" t="s">
        <v>2793</v>
      </c>
      <c r="D1680" s="7">
        <v>0.66249999999999998</v>
      </c>
      <c r="E1680" s="6" t="s">
        <v>16</v>
      </c>
      <c r="F1680" s="6" t="s">
        <v>101</v>
      </c>
      <c r="G1680" s="4">
        <v>36513</v>
      </c>
      <c r="H1680" s="6" t="s">
        <v>73</v>
      </c>
      <c r="I1680">
        <v>37</v>
      </c>
      <c r="J1680">
        <v>3</v>
      </c>
      <c r="K1680">
        <v>112</v>
      </c>
      <c r="L1680" s="6" t="s">
        <v>67</v>
      </c>
      <c r="M1680" s="6" t="s">
        <v>37</v>
      </c>
      <c r="N1680" s="6" t="s">
        <v>33</v>
      </c>
    </row>
    <row r="1681" spans="1:14" x14ac:dyDescent="0.25">
      <c r="A1681" s="6" t="s">
        <v>2402</v>
      </c>
      <c r="B1681" s="4">
        <v>45960</v>
      </c>
      <c r="C1681" s="6" t="s">
        <v>2791</v>
      </c>
      <c r="D1681" s="7">
        <v>0.69020833333333331</v>
      </c>
      <c r="E1681" s="6" t="s">
        <v>16</v>
      </c>
      <c r="F1681" s="6" t="s">
        <v>169</v>
      </c>
      <c r="G1681" s="4">
        <v>25941</v>
      </c>
      <c r="H1681" s="6" t="s">
        <v>24</v>
      </c>
      <c r="I1681">
        <v>281</v>
      </c>
      <c r="J1681">
        <v>2</v>
      </c>
      <c r="K1681">
        <v>562</v>
      </c>
      <c r="L1681" s="6" t="s">
        <v>67</v>
      </c>
      <c r="M1681" s="6" t="s">
        <v>47</v>
      </c>
      <c r="N1681" s="6" t="s">
        <v>56</v>
      </c>
    </row>
    <row r="1682" spans="1:14" x14ac:dyDescent="0.25">
      <c r="A1682" s="6" t="s">
        <v>2404</v>
      </c>
      <c r="B1682" s="4">
        <v>45708</v>
      </c>
      <c r="C1682" s="6" t="s">
        <v>2799</v>
      </c>
      <c r="D1682" s="7">
        <v>0.80798611111111107</v>
      </c>
      <c r="E1682" s="6" t="s">
        <v>16</v>
      </c>
      <c r="F1682" s="6" t="s">
        <v>252</v>
      </c>
      <c r="G1682" s="4">
        <v>38926</v>
      </c>
      <c r="H1682" s="6" t="s">
        <v>85</v>
      </c>
      <c r="I1682">
        <v>203</v>
      </c>
      <c r="J1682">
        <v>1</v>
      </c>
      <c r="K1682">
        <v>203</v>
      </c>
      <c r="L1682" s="6" t="s">
        <v>41</v>
      </c>
      <c r="M1682" s="6" t="s">
        <v>61</v>
      </c>
      <c r="N1682" s="6" t="s">
        <v>74</v>
      </c>
    </row>
    <row r="1683" spans="1:14" x14ac:dyDescent="0.25">
      <c r="A1683" s="6" t="s">
        <v>2405</v>
      </c>
      <c r="B1683" s="4">
        <v>45694</v>
      </c>
      <c r="C1683" s="6" t="s">
        <v>2799</v>
      </c>
      <c r="D1683" s="7">
        <v>0.6386574074074074</v>
      </c>
      <c r="E1683" s="6" t="s">
        <v>16</v>
      </c>
      <c r="F1683" s="6" t="s">
        <v>882</v>
      </c>
      <c r="G1683" s="4">
        <v>28300</v>
      </c>
      <c r="H1683" s="6" t="s">
        <v>45</v>
      </c>
      <c r="I1683">
        <v>52</v>
      </c>
      <c r="J1683">
        <v>1</v>
      </c>
      <c r="K1683">
        <v>101</v>
      </c>
      <c r="L1683" s="6" t="s">
        <v>54</v>
      </c>
      <c r="M1683" s="6" t="s">
        <v>89</v>
      </c>
      <c r="N1683" s="6" t="s">
        <v>105</v>
      </c>
    </row>
    <row r="1684" spans="1:14" x14ac:dyDescent="0.25">
      <c r="A1684" s="6" t="s">
        <v>2406</v>
      </c>
      <c r="B1684" s="4">
        <v>45632</v>
      </c>
      <c r="C1684" s="6" t="s">
        <v>2796</v>
      </c>
      <c r="D1684" s="7">
        <v>0.48819444444444443</v>
      </c>
      <c r="E1684" s="6" t="s">
        <v>16</v>
      </c>
      <c r="F1684" s="6" t="s">
        <v>84</v>
      </c>
      <c r="G1684" s="4">
        <v>31283</v>
      </c>
      <c r="H1684" s="6" t="s">
        <v>164</v>
      </c>
      <c r="I1684">
        <v>272</v>
      </c>
      <c r="J1684">
        <v>1</v>
      </c>
      <c r="K1684">
        <v>272</v>
      </c>
      <c r="L1684" s="6" t="s">
        <v>54</v>
      </c>
      <c r="M1684" s="6" t="s">
        <v>89</v>
      </c>
      <c r="N1684" s="6" t="s">
        <v>27</v>
      </c>
    </row>
    <row r="1685" spans="1:14" x14ac:dyDescent="0.25">
      <c r="A1685" s="6" t="s">
        <v>2407</v>
      </c>
      <c r="B1685" s="4">
        <v>45945</v>
      </c>
      <c r="C1685" s="6" t="s">
        <v>2791</v>
      </c>
      <c r="D1685" s="7">
        <v>0.45284722222222223</v>
      </c>
      <c r="E1685" s="6" t="s">
        <v>16</v>
      </c>
      <c r="F1685" s="6" t="s">
        <v>358</v>
      </c>
      <c r="G1685" s="4">
        <v>28544</v>
      </c>
      <c r="H1685" s="6" t="s">
        <v>259</v>
      </c>
      <c r="I1685">
        <v>137</v>
      </c>
      <c r="J1685">
        <v>2</v>
      </c>
      <c r="K1685">
        <v>275</v>
      </c>
      <c r="L1685" s="6" t="s">
        <v>41</v>
      </c>
      <c r="M1685" s="6" t="s">
        <v>32</v>
      </c>
      <c r="N1685" s="6" t="s">
        <v>21</v>
      </c>
    </row>
    <row r="1686" spans="1:14" x14ac:dyDescent="0.25">
      <c r="A1686" s="6" t="s">
        <v>2408</v>
      </c>
      <c r="B1686" s="4">
        <v>45929</v>
      </c>
      <c r="C1686" s="6" t="s">
        <v>2797</v>
      </c>
      <c r="D1686" s="7">
        <v>0.7120023148148148</v>
      </c>
      <c r="E1686" s="6" t="s">
        <v>16</v>
      </c>
      <c r="F1686" s="6" t="s">
        <v>88</v>
      </c>
      <c r="G1686" s="4">
        <v>38335</v>
      </c>
      <c r="H1686" s="6" t="s">
        <v>243</v>
      </c>
      <c r="I1686">
        <v>138</v>
      </c>
      <c r="J1686">
        <v>3</v>
      </c>
      <c r="K1686">
        <v>416</v>
      </c>
      <c r="L1686" s="6" t="s">
        <v>19</v>
      </c>
      <c r="M1686" s="6" t="s">
        <v>61</v>
      </c>
      <c r="N1686" s="6" t="s">
        <v>74</v>
      </c>
    </row>
    <row r="1687" spans="1:14" x14ac:dyDescent="0.25">
      <c r="A1687" s="6" t="s">
        <v>2409</v>
      </c>
      <c r="B1687" s="4">
        <v>45929</v>
      </c>
      <c r="C1687" s="6" t="s">
        <v>2797</v>
      </c>
      <c r="D1687" s="7">
        <v>0.9916666666666667</v>
      </c>
      <c r="E1687" s="6" t="s">
        <v>16</v>
      </c>
      <c r="F1687" s="6" t="s">
        <v>66</v>
      </c>
      <c r="G1687" s="4">
        <v>38923</v>
      </c>
      <c r="H1687" s="6" t="s">
        <v>30</v>
      </c>
      <c r="I1687">
        <v>207</v>
      </c>
      <c r="J1687">
        <v>2</v>
      </c>
      <c r="K1687">
        <v>414</v>
      </c>
      <c r="L1687" s="6" t="s">
        <v>2787</v>
      </c>
      <c r="M1687" s="6" t="s">
        <v>26</v>
      </c>
      <c r="N1687" s="6" t="s">
        <v>74</v>
      </c>
    </row>
    <row r="1688" spans="1:14" x14ac:dyDescent="0.25">
      <c r="A1688" s="6" t="s">
        <v>2410</v>
      </c>
      <c r="B1688" s="4">
        <v>45829</v>
      </c>
      <c r="C1688" s="6" t="s">
        <v>2800</v>
      </c>
      <c r="D1688" s="7">
        <v>0.82050925925925922</v>
      </c>
      <c r="E1688" s="6" t="s">
        <v>16</v>
      </c>
      <c r="F1688" s="6" t="s">
        <v>76</v>
      </c>
      <c r="G1688" s="4">
        <v>29593</v>
      </c>
      <c r="H1688" s="6" t="s">
        <v>145</v>
      </c>
      <c r="I1688">
        <v>73</v>
      </c>
      <c r="J1688">
        <v>2</v>
      </c>
      <c r="K1688">
        <v>146</v>
      </c>
      <c r="L1688" s="6" t="s">
        <v>41</v>
      </c>
      <c r="M1688" s="6" t="s">
        <v>32</v>
      </c>
      <c r="N1688" s="6" t="s">
        <v>33</v>
      </c>
    </row>
    <row r="1689" spans="1:14" x14ac:dyDescent="0.25">
      <c r="A1689" s="6" t="s">
        <v>2411</v>
      </c>
      <c r="B1689" s="4">
        <v>45619</v>
      </c>
      <c r="C1689" s="6" t="s">
        <v>2802</v>
      </c>
      <c r="D1689" s="7">
        <v>0.8930555555555556</v>
      </c>
      <c r="E1689" s="6" t="s">
        <v>16</v>
      </c>
      <c r="F1689" s="6" t="s">
        <v>512</v>
      </c>
      <c r="G1689" s="4">
        <v>29752</v>
      </c>
      <c r="H1689" s="6" t="s">
        <v>85</v>
      </c>
      <c r="I1689">
        <v>299</v>
      </c>
      <c r="J1689">
        <v>2</v>
      </c>
      <c r="K1689">
        <v>598</v>
      </c>
      <c r="L1689" s="6" t="s">
        <v>41</v>
      </c>
      <c r="M1689" s="6" t="s">
        <v>20</v>
      </c>
      <c r="N1689" s="6" t="s">
        <v>74</v>
      </c>
    </row>
    <row r="1690" spans="1:14" x14ac:dyDescent="0.25">
      <c r="A1690" s="6" t="s">
        <v>2412</v>
      </c>
      <c r="B1690" s="4">
        <v>45707</v>
      </c>
      <c r="C1690" s="6" t="s">
        <v>2799</v>
      </c>
      <c r="D1690" s="7">
        <v>0.72777777777777775</v>
      </c>
      <c r="E1690" s="6" t="s">
        <v>16</v>
      </c>
      <c r="F1690" s="6" t="s">
        <v>133</v>
      </c>
      <c r="G1690" s="4">
        <v>37272</v>
      </c>
      <c r="H1690" s="6" t="s">
        <v>110</v>
      </c>
      <c r="I1690">
        <v>95</v>
      </c>
      <c r="J1690">
        <v>1</v>
      </c>
      <c r="K1690">
        <v>96</v>
      </c>
      <c r="L1690" s="6" t="s">
        <v>67</v>
      </c>
      <c r="M1690" s="6" t="s">
        <v>47</v>
      </c>
      <c r="N1690" s="6" t="s">
        <v>74</v>
      </c>
    </row>
    <row r="1691" spans="1:14" x14ac:dyDescent="0.25">
      <c r="A1691" s="6" t="s">
        <v>2413</v>
      </c>
      <c r="B1691" s="4">
        <v>45717</v>
      </c>
      <c r="C1691" s="6" t="s">
        <v>2798</v>
      </c>
      <c r="D1691" s="7">
        <v>0.9770833333333333</v>
      </c>
      <c r="E1691" s="6" t="s">
        <v>16</v>
      </c>
      <c r="F1691" s="6" t="s">
        <v>133</v>
      </c>
      <c r="G1691" s="4">
        <v>39330</v>
      </c>
      <c r="H1691" s="6" t="s">
        <v>45</v>
      </c>
      <c r="I1691">
        <v>284</v>
      </c>
      <c r="J1691">
        <v>3</v>
      </c>
      <c r="K1691">
        <v>854</v>
      </c>
      <c r="L1691" s="6" t="s">
        <v>67</v>
      </c>
      <c r="M1691" s="6" t="s">
        <v>61</v>
      </c>
      <c r="N1691" s="6" t="s">
        <v>74</v>
      </c>
    </row>
    <row r="1692" spans="1:14" x14ac:dyDescent="0.25">
      <c r="A1692" s="6" t="s">
        <v>2414</v>
      </c>
      <c r="B1692" s="4">
        <v>45868</v>
      </c>
      <c r="C1692" s="6" t="s">
        <v>2795</v>
      </c>
      <c r="D1692" s="7">
        <v>0.50486111111111109</v>
      </c>
      <c r="E1692" s="6" t="s">
        <v>16</v>
      </c>
      <c r="F1692" s="6" t="s">
        <v>140</v>
      </c>
      <c r="G1692" s="4">
        <v>39630</v>
      </c>
      <c r="H1692" s="6" t="s">
        <v>24</v>
      </c>
      <c r="I1692">
        <v>245</v>
      </c>
      <c r="J1692">
        <v>1</v>
      </c>
      <c r="K1692">
        <v>246</v>
      </c>
      <c r="L1692" s="6" t="s">
        <v>67</v>
      </c>
      <c r="M1692" s="6" t="s">
        <v>20</v>
      </c>
      <c r="N1692" s="6" t="s">
        <v>74</v>
      </c>
    </row>
    <row r="1693" spans="1:14" x14ac:dyDescent="0.25">
      <c r="A1693" s="6" t="s">
        <v>2415</v>
      </c>
      <c r="B1693" s="4">
        <v>45960</v>
      </c>
      <c r="C1693" s="6" t="s">
        <v>2791</v>
      </c>
      <c r="D1693" s="7">
        <v>0.48194444444444445</v>
      </c>
      <c r="E1693" s="6" t="s">
        <v>16</v>
      </c>
      <c r="F1693" s="6" t="s">
        <v>776</v>
      </c>
      <c r="G1693" s="4">
        <v>35699</v>
      </c>
      <c r="H1693" s="6" t="s">
        <v>110</v>
      </c>
      <c r="I1693">
        <v>92</v>
      </c>
      <c r="J1693">
        <v>2</v>
      </c>
      <c r="K1693">
        <v>184</v>
      </c>
      <c r="L1693" s="6" t="s">
        <v>67</v>
      </c>
      <c r="M1693" s="6" t="s">
        <v>47</v>
      </c>
      <c r="N1693" s="6" t="s">
        <v>74</v>
      </c>
    </row>
    <row r="1694" spans="1:14" x14ac:dyDescent="0.25">
      <c r="A1694" s="6" t="s">
        <v>2416</v>
      </c>
      <c r="B1694" s="4">
        <v>45796</v>
      </c>
      <c r="C1694" s="6" t="s">
        <v>2792</v>
      </c>
      <c r="D1694" s="7">
        <v>0.94305555555555554</v>
      </c>
      <c r="E1694" s="6" t="s">
        <v>16</v>
      </c>
      <c r="F1694" s="6" t="s">
        <v>338</v>
      </c>
      <c r="G1694" s="4">
        <v>35699</v>
      </c>
      <c r="H1694" s="6" t="s">
        <v>18</v>
      </c>
      <c r="I1694">
        <v>109</v>
      </c>
      <c r="J1694">
        <v>1</v>
      </c>
      <c r="K1694">
        <v>110</v>
      </c>
      <c r="L1694" s="6" t="s">
        <v>19</v>
      </c>
      <c r="M1694" s="6" t="s">
        <v>55</v>
      </c>
      <c r="N1694" s="6" t="s">
        <v>105</v>
      </c>
    </row>
    <row r="1695" spans="1:14" x14ac:dyDescent="0.25">
      <c r="A1695" s="6" t="s">
        <v>2417</v>
      </c>
      <c r="B1695" s="4">
        <v>45855</v>
      </c>
      <c r="C1695" s="6" t="s">
        <v>2795</v>
      </c>
      <c r="D1695" s="7">
        <v>0.96805555555555556</v>
      </c>
      <c r="E1695" s="6" t="s">
        <v>16</v>
      </c>
      <c r="F1695" s="6" t="s">
        <v>151</v>
      </c>
      <c r="G1695" s="4">
        <v>25587</v>
      </c>
      <c r="H1695" s="6" t="s">
        <v>213</v>
      </c>
      <c r="I1695">
        <v>235</v>
      </c>
      <c r="J1695">
        <v>3</v>
      </c>
      <c r="K1695">
        <v>722</v>
      </c>
      <c r="L1695" s="6" t="s">
        <v>67</v>
      </c>
      <c r="M1695" s="6" t="s">
        <v>32</v>
      </c>
      <c r="N1695" s="6" t="s">
        <v>105</v>
      </c>
    </row>
    <row r="1696" spans="1:14" x14ac:dyDescent="0.25">
      <c r="A1696" s="6" t="s">
        <v>2419</v>
      </c>
      <c r="B1696" s="4">
        <v>45808</v>
      </c>
      <c r="C1696" s="6" t="s">
        <v>2792</v>
      </c>
      <c r="D1696" s="7">
        <v>0.93072916666666672</v>
      </c>
      <c r="E1696" s="6" t="s">
        <v>16</v>
      </c>
      <c r="F1696" s="6" t="s">
        <v>118</v>
      </c>
      <c r="G1696" s="4">
        <v>26892</v>
      </c>
      <c r="H1696" s="6" t="s">
        <v>178</v>
      </c>
      <c r="I1696">
        <v>242</v>
      </c>
      <c r="J1696">
        <v>1</v>
      </c>
      <c r="K1696">
        <v>243</v>
      </c>
      <c r="L1696" s="6" t="s">
        <v>41</v>
      </c>
      <c r="M1696" s="6" t="s">
        <v>61</v>
      </c>
      <c r="N1696" s="6" t="s">
        <v>105</v>
      </c>
    </row>
    <row r="1697" spans="1:14" x14ac:dyDescent="0.25">
      <c r="A1697" s="6" t="s">
        <v>2420</v>
      </c>
      <c r="B1697" s="4">
        <v>45686</v>
      </c>
      <c r="C1697" s="6" t="s">
        <v>2794</v>
      </c>
      <c r="D1697" s="7">
        <v>0.87770833333333331</v>
      </c>
      <c r="E1697" s="6" t="s">
        <v>16</v>
      </c>
      <c r="F1697" s="6" t="s">
        <v>107</v>
      </c>
      <c r="G1697" s="4">
        <v>35783</v>
      </c>
      <c r="H1697" s="6" t="s">
        <v>40</v>
      </c>
      <c r="I1697">
        <v>173</v>
      </c>
      <c r="J1697">
        <v>1</v>
      </c>
      <c r="K1697">
        <v>173</v>
      </c>
      <c r="L1697" s="6" t="s">
        <v>54</v>
      </c>
      <c r="M1697" s="6" t="s">
        <v>61</v>
      </c>
      <c r="N1697" s="6" t="s">
        <v>56</v>
      </c>
    </row>
    <row r="1698" spans="1:14" x14ac:dyDescent="0.25">
      <c r="A1698" s="6" t="s">
        <v>2421</v>
      </c>
      <c r="B1698" s="4">
        <v>45620</v>
      </c>
      <c r="C1698" s="6" t="s">
        <v>2802</v>
      </c>
      <c r="D1698" s="7">
        <v>0.82916666666666672</v>
      </c>
      <c r="E1698" s="6" t="s">
        <v>16</v>
      </c>
      <c r="F1698" s="6" t="s">
        <v>494</v>
      </c>
      <c r="G1698" s="4">
        <v>33885</v>
      </c>
      <c r="H1698" s="6" t="s">
        <v>110</v>
      </c>
      <c r="I1698">
        <v>105</v>
      </c>
      <c r="J1698">
        <v>3</v>
      </c>
      <c r="K1698">
        <v>318</v>
      </c>
      <c r="L1698" s="6" t="s">
        <v>67</v>
      </c>
      <c r="M1698" s="6" t="s">
        <v>32</v>
      </c>
      <c r="N1698" s="6" t="s">
        <v>21</v>
      </c>
    </row>
    <row r="1699" spans="1:14" x14ac:dyDescent="0.25">
      <c r="A1699" s="6" t="s">
        <v>2423</v>
      </c>
      <c r="B1699" s="4">
        <v>45845</v>
      </c>
      <c r="C1699" s="6" t="s">
        <v>2795</v>
      </c>
      <c r="D1699" s="7">
        <v>0.54374999999999996</v>
      </c>
      <c r="E1699" s="6" t="s">
        <v>16</v>
      </c>
      <c r="F1699" s="6" t="s">
        <v>324</v>
      </c>
      <c r="G1699" s="4">
        <v>26512</v>
      </c>
      <c r="H1699" s="6" t="s">
        <v>199</v>
      </c>
      <c r="I1699">
        <v>237</v>
      </c>
      <c r="J1699">
        <v>2</v>
      </c>
      <c r="K1699">
        <v>475</v>
      </c>
      <c r="L1699" s="6" t="s">
        <v>19</v>
      </c>
      <c r="M1699" s="6" t="s">
        <v>26</v>
      </c>
      <c r="N1699" s="6" t="s">
        <v>21</v>
      </c>
    </row>
    <row r="1700" spans="1:14" x14ac:dyDescent="0.25">
      <c r="A1700" s="6" t="s">
        <v>2424</v>
      </c>
      <c r="B1700" s="4">
        <v>45714</v>
      </c>
      <c r="C1700" s="6" t="s">
        <v>2799</v>
      </c>
      <c r="D1700" s="7">
        <v>0.82638888888888884</v>
      </c>
      <c r="E1700" s="6" t="s">
        <v>16</v>
      </c>
      <c r="F1700" s="6" t="s">
        <v>597</v>
      </c>
      <c r="G1700" s="4">
        <v>38225</v>
      </c>
      <c r="H1700" s="6" t="s">
        <v>145</v>
      </c>
      <c r="I1700">
        <v>165</v>
      </c>
      <c r="J1700">
        <v>2</v>
      </c>
      <c r="K1700">
        <v>330</v>
      </c>
      <c r="L1700" s="6" t="s">
        <v>67</v>
      </c>
      <c r="M1700" s="6" t="s">
        <v>26</v>
      </c>
      <c r="N1700" s="6" t="s">
        <v>21</v>
      </c>
    </row>
    <row r="1701" spans="1:14" x14ac:dyDescent="0.25">
      <c r="A1701" s="6" t="s">
        <v>2425</v>
      </c>
      <c r="B1701" s="4">
        <v>45693</v>
      </c>
      <c r="C1701" s="6" t="s">
        <v>2799</v>
      </c>
      <c r="D1701" s="7">
        <v>0.61388888888888893</v>
      </c>
      <c r="E1701" s="6" t="s">
        <v>16</v>
      </c>
      <c r="F1701" s="6" t="s">
        <v>379</v>
      </c>
      <c r="G1701" s="4">
        <v>40059</v>
      </c>
      <c r="H1701" s="6" t="s">
        <v>45</v>
      </c>
      <c r="I1701">
        <v>44</v>
      </c>
      <c r="J1701">
        <v>1</v>
      </c>
      <c r="K1701">
        <v>45</v>
      </c>
      <c r="L1701" s="6" t="s">
        <v>67</v>
      </c>
      <c r="M1701" s="6" t="s">
        <v>89</v>
      </c>
      <c r="N1701" s="6" t="s">
        <v>21</v>
      </c>
    </row>
    <row r="1702" spans="1:14" x14ac:dyDescent="0.25">
      <c r="A1702" s="6" t="s">
        <v>2426</v>
      </c>
      <c r="B1702" s="4">
        <v>45858</v>
      </c>
      <c r="C1702" s="6" t="s">
        <v>2795</v>
      </c>
      <c r="D1702" s="7">
        <v>0.67291666666666672</v>
      </c>
      <c r="E1702" s="6" t="s">
        <v>16</v>
      </c>
      <c r="F1702" s="6" t="s">
        <v>258</v>
      </c>
      <c r="G1702" s="4">
        <v>25862</v>
      </c>
      <c r="H1702" s="6" t="s">
        <v>104</v>
      </c>
      <c r="I1702">
        <v>232</v>
      </c>
      <c r="J1702">
        <v>2</v>
      </c>
      <c r="K1702">
        <v>465</v>
      </c>
      <c r="L1702" s="6" t="s">
        <v>54</v>
      </c>
      <c r="M1702" s="6" t="s">
        <v>32</v>
      </c>
      <c r="N1702" s="6" t="s">
        <v>105</v>
      </c>
    </row>
    <row r="1703" spans="1:14" x14ac:dyDescent="0.25">
      <c r="A1703" s="6" t="s">
        <v>2428</v>
      </c>
      <c r="B1703" s="4">
        <v>45795</v>
      </c>
      <c r="C1703" s="6" t="s">
        <v>2792</v>
      </c>
      <c r="D1703" s="7">
        <v>0.8498148148148148</v>
      </c>
      <c r="E1703" s="6" t="s">
        <v>16</v>
      </c>
      <c r="F1703" s="6" t="s">
        <v>520</v>
      </c>
      <c r="G1703" s="4">
        <v>30547</v>
      </c>
      <c r="H1703" s="6" t="s">
        <v>110</v>
      </c>
      <c r="I1703">
        <v>101</v>
      </c>
      <c r="J1703">
        <v>3</v>
      </c>
      <c r="K1703">
        <v>304</v>
      </c>
      <c r="L1703" s="6" t="s">
        <v>54</v>
      </c>
      <c r="M1703" s="6" t="s">
        <v>26</v>
      </c>
      <c r="N1703" s="6" t="s">
        <v>105</v>
      </c>
    </row>
    <row r="1704" spans="1:14" x14ac:dyDescent="0.25">
      <c r="A1704" s="6" t="s">
        <v>2429</v>
      </c>
      <c r="B1704" s="4">
        <v>45687</v>
      </c>
      <c r="C1704" s="6" t="s">
        <v>2794</v>
      </c>
      <c r="D1704" s="7">
        <v>0.71178240740740739</v>
      </c>
      <c r="E1704" s="6" t="s">
        <v>16</v>
      </c>
      <c r="F1704" s="6" t="s">
        <v>471</v>
      </c>
      <c r="G1704" s="4">
        <v>27428</v>
      </c>
      <c r="H1704" s="6" t="s">
        <v>18</v>
      </c>
      <c r="I1704">
        <v>91</v>
      </c>
      <c r="J1704">
        <v>1</v>
      </c>
      <c r="K1704">
        <v>91</v>
      </c>
      <c r="L1704" s="6" t="s">
        <v>67</v>
      </c>
      <c r="M1704" s="6" t="s">
        <v>26</v>
      </c>
      <c r="N1704" s="6" t="s">
        <v>48</v>
      </c>
    </row>
    <row r="1705" spans="1:14" x14ac:dyDescent="0.25">
      <c r="A1705" s="6" t="s">
        <v>2430</v>
      </c>
      <c r="B1705" s="4">
        <v>45806</v>
      </c>
      <c r="C1705" s="6" t="s">
        <v>2792</v>
      </c>
      <c r="D1705" s="7">
        <v>0.7319444444444444</v>
      </c>
      <c r="E1705" s="6" t="s">
        <v>16</v>
      </c>
      <c r="F1705" s="6" t="s">
        <v>434</v>
      </c>
      <c r="G1705" s="4">
        <v>29844</v>
      </c>
      <c r="H1705" s="6" t="s">
        <v>73</v>
      </c>
      <c r="I1705">
        <v>51</v>
      </c>
      <c r="J1705">
        <v>3</v>
      </c>
      <c r="K1705">
        <v>110</v>
      </c>
      <c r="L1705" s="6" t="s">
        <v>19</v>
      </c>
      <c r="M1705" s="6" t="s">
        <v>47</v>
      </c>
      <c r="N1705" s="6" t="s">
        <v>48</v>
      </c>
    </row>
    <row r="1706" spans="1:14" x14ac:dyDescent="0.25">
      <c r="A1706" s="6" t="s">
        <v>2432</v>
      </c>
      <c r="B1706" s="4">
        <v>45676</v>
      </c>
      <c r="C1706" s="6" t="s">
        <v>2794</v>
      </c>
      <c r="D1706" s="7">
        <v>0.99791666666666667</v>
      </c>
      <c r="E1706" s="6" t="s">
        <v>16</v>
      </c>
      <c r="F1706" s="6" t="s">
        <v>173</v>
      </c>
      <c r="G1706" s="4">
        <v>33468</v>
      </c>
      <c r="H1706" s="6" t="s">
        <v>77</v>
      </c>
      <c r="I1706">
        <v>151</v>
      </c>
      <c r="J1706">
        <v>1</v>
      </c>
      <c r="K1706">
        <v>151</v>
      </c>
      <c r="L1706" s="6" t="s">
        <v>41</v>
      </c>
      <c r="M1706" s="6" t="s">
        <v>26</v>
      </c>
      <c r="N1706" s="6" t="s">
        <v>56</v>
      </c>
    </row>
    <row r="1707" spans="1:14" x14ac:dyDescent="0.25">
      <c r="A1707" s="6" t="s">
        <v>2433</v>
      </c>
      <c r="B1707" s="4">
        <v>45746</v>
      </c>
      <c r="C1707" s="6" t="s">
        <v>2798</v>
      </c>
      <c r="D1707" s="7">
        <v>0.41730324074074077</v>
      </c>
      <c r="E1707" s="6" t="s">
        <v>16</v>
      </c>
      <c r="F1707" s="6" t="s">
        <v>222</v>
      </c>
      <c r="G1707" s="4">
        <v>34898</v>
      </c>
      <c r="H1707" s="6" t="s">
        <v>85</v>
      </c>
      <c r="I1707">
        <v>48</v>
      </c>
      <c r="J1707">
        <v>2</v>
      </c>
      <c r="K1707">
        <v>97</v>
      </c>
      <c r="L1707" s="6" t="s">
        <v>67</v>
      </c>
      <c r="M1707" s="6" t="s">
        <v>89</v>
      </c>
      <c r="N1707" s="6" t="s">
        <v>48</v>
      </c>
    </row>
    <row r="1708" spans="1:14" x14ac:dyDescent="0.25">
      <c r="A1708" s="6" t="s">
        <v>2434</v>
      </c>
      <c r="B1708" s="4">
        <v>45684</v>
      </c>
      <c r="C1708" s="6" t="s">
        <v>2794</v>
      </c>
      <c r="D1708" s="7">
        <v>0.9770833333333333</v>
      </c>
      <c r="E1708" s="6" t="s">
        <v>16</v>
      </c>
      <c r="F1708" s="6" t="s">
        <v>204</v>
      </c>
      <c r="G1708" s="4">
        <v>32802</v>
      </c>
      <c r="H1708" s="6" t="s">
        <v>45</v>
      </c>
      <c r="I1708">
        <v>101</v>
      </c>
      <c r="J1708">
        <v>2</v>
      </c>
      <c r="K1708">
        <v>203</v>
      </c>
      <c r="L1708" s="6" t="s">
        <v>67</v>
      </c>
      <c r="M1708" s="6" t="s">
        <v>32</v>
      </c>
      <c r="N1708" s="6" t="s">
        <v>74</v>
      </c>
    </row>
    <row r="1709" spans="1:14" x14ac:dyDescent="0.25">
      <c r="A1709" s="6" t="s">
        <v>2435</v>
      </c>
      <c r="B1709" s="4">
        <v>45675</v>
      </c>
      <c r="C1709" s="6" t="s">
        <v>2794</v>
      </c>
      <c r="D1709" s="7">
        <v>0.4236111111111111</v>
      </c>
      <c r="E1709" s="6" t="s">
        <v>16</v>
      </c>
      <c r="F1709" s="6" t="s">
        <v>166</v>
      </c>
      <c r="G1709" s="4">
        <v>38822</v>
      </c>
      <c r="H1709" s="6" t="s">
        <v>116</v>
      </c>
      <c r="I1709">
        <v>98</v>
      </c>
      <c r="J1709">
        <v>2</v>
      </c>
      <c r="K1709">
        <v>196</v>
      </c>
      <c r="L1709" s="6" t="s">
        <v>2787</v>
      </c>
      <c r="M1709" s="6" t="s">
        <v>47</v>
      </c>
      <c r="N1709" s="6" t="s">
        <v>21</v>
      </c>
    </row>
    <row r="1710" spans="1:14" x14ac:dyDescent="0.25">
      <c r="A1710" s="6" t="s">
        <v>2436</v>
      </c>
      <c r="B1710" s="4">
        <v>45727</v>
      </c>
      <c r="C1710" s="6" t="s">
        <v>2798</v>
      </c>
      <c r="D1710" s="7">
        <v>0.90535879629629634</v>
      </c>
      <c r="E1710" s="6" t="s">
        <v>16</v>
      </c>
      <c r="F1710" s="6" t="s">
        <v>136</v>
      </c>
      <c r="G1710" s="4">
        <v>31805</v>
      </c>
      <c r="H1710" s="6" t="s">
        <v>259</v>
      </c>
      <c r="I1710">
        <v>85</v>
      </c>
      <c r="J1710">
        <v>1</v>
      </c>
      <c r="K1710">
        <v>86</v>
      </c>
      <c r="L1710" s="6" t="s">
        <v>19</v>
      </c>
      <c r="M1710" s="6" t="s">
        <v>26</v>
      </c>
      <c r="N1710" s="6" t="s">
        <v>21</v>
      </c>
    </row>
    <row r="1711" spans="1:14" x14ac:dyDescent="0.25">
      <c r="A1711" s="6" t="s">
        <v>2437</v>
      </c>
      <c r="B1711" s="4">
        <v>45876</v>
      </c>
      <c r="C1711" s="6" t="s">
        <v>2793</v>
      </c>
      <c r="D1711" s="7">
        <v>0.59791666666666665</v>
      </c>
      <c r="E1711" s="6" t="s">
        <v>16</v>
      </c>
      <c r="F1711" s="6" t="s">
        <v>161</v>
      </c>
      <c r="G1711" s="4">
        <v>33584</v>
      </c>
      <c r="H1711" s="6" t="s">
        <v>73</v>
      </c>
      <c r="I1711">
        <v>52</v>
      </c>
      <c r="J1711">
        <v>1</v>
      </c>
      <c r="K1711">
        <v>53</v>
      </c>
      <c r="L1711" s="6" t="s">
        <v>67</v>
      </c>
      <c r="M1711" s="6" t="s">
        <v>61</v>
      </c>
      <c r="N1711" s="6" t="s">
        <v>56</v>
      </c>
    </row>
    <row r="1712" spans="1:14" x14ac:dyDescent="0.25">
      <c r="A1712" s="6" t="s">
        <v>2438</v>
      </c>
      <c r="B1712" s="4">
        <v>45876</v>
      </c>
      <c r="C1712" s="6" t="s">
        <v>2793</v>
      </c>
      <c r="D1712" s="7">
        <v>0.97430555555555554</v>
      </c>
      <c r="E1712" s="6" t="s">
        <v>16</v>
      </c>
      <c r="F1712" s="6" t="s">
        <v>420</v>
      </c>
      <c r="G1712" s="4">
        <v>34648</v>
      </c>
      <c r="H1712" s="6" t="s">
        <v>145</v>
      </c>
      <c r="I1712">
        <v>153</v>
      </c>
      <c r="J1712">
        <v>2</v>
      </c>
      <c r="K1712">
        <v>307</v>
      </c>
      <c r="L1712" s="6" t="s">
        <v>19</v>
      </c>
      <c r="M1712" s="6" t="s">
        <v>89</v>
      </c>
      <c r="N1712" s="6" t="s">
        <v>56</v>
      </c>
    </row>
    <row r="1713" spans="1:14" x14ac:dyDescent="0.25">
      <c r="A1713" s="6" t="s">
        <v>2439</v>
      </c>
      <c r="B1713" s="4">
        <v>45669</v>
      </c>
      <c r="C1713" s="6" t="s">
        <v>2794</v>
      </c>
      <c r="D1713" s="7">
        <v>0.47013888888888888</v>
      </c>
      <c r="E1713" s="6" t="s">
        <v>16</v>
      </c>
      <c r="F1713" s="6" t="s">
        <v>181</v>
      </c>
      <c r="G1713" s="4">
        <v>38227</v>
      </c>
      <c r="H1713" s="6" t="s">
        <v>73</v>
      </c>
      <c r="I1713">
        <v>50</v>
      </c>
      <c r="J1713">
        <v>2</v>
      </c>
      <c r="K1713">
        <v>101</v>
      </c>
      <c r="L1713" s="6" t="s">
        <v>41</v>
      </c>
      <c r="M1713" s="6" t="s">
        <v>61</v>
      </c>
      <c r="N1713" s="6" t="s">
        <v>27</v>
      </c>
    </row>
    <row r="1714" spans="1:14" x14ac:dyDescent="0.25">
      <c r="A1714" s="6" t="s">
        <v>2440</v>
      </c>
      <c r="B1714" s="4">
        <v>45717</v>
      </c>
      <c r="C1714" s="6" t="s">
        <v>2798</v>
      </c>
      <c r="D1714" s="7">
        <v>0.98472222222222228</v>
      </c>
      <c r="E1714" s="6" t="s">
        <v>16</v>
      </c>
      <c r="F1714" s="6" t="s">
        <v>88</v>
      </c>
      <c r="G1714" s="4">
        <v>34463</v>
      </c>
      <c r="H1714" s="6" t="s">
        <v>110</v>
      </c>
      <c r="I1714">
        <v>107</v>
      </c>
      <c r="J1714">
        <v>1</v>
      </c>
      <c r="K1714">
        <v>80</v>
      </c>
      <c r="L1714" s="6" t="s">
        <v>41</v>
      </c>
      <c r="M1714" s="6" t="s">
        <v>47</v>
      </c>
      <c r="N1714" s="6" t="s">
        <v>27</v>
      </c>
    </row>
    <row r="1715" spans="1:14" x14ac:dyDescent="0.25">
      <c r="A1715" s="6" t="s">
        <v>2441</v>
      </c>
      <c r="B1715" s="4">
        <v>45850</v>
      </c>
      <c r="C1715" s="6" t="s">
        <v>2795</v>
      </c>
      <c r="D1715" s="7">
        <v>0.93835648148148143</v>
      </c>
      <c r="E1715" s="6" t="s">
        <v>16</v>
      </c>
      <c r="F1715" s="6" t="s">
        <v>2442</v>
      </c>
      <c r="G1715" s="4">
        <v>29172</v>
      </c>
      <c r="H1715" s="6" t="s">
        <v>30</v>
      </c>
      <c r="I1715">
        <v>244</v>
      </c>
      <c r="J1715">
        <v>2</v>
      </c>
      <c r="K1715">
        <v>489</v>
      </c>
      <c r="L1715" s="6" t="s">
        <v>41</v>
      </c>
      <c r="M1715" s="6" t="s">
        <v>47</v>
      </c>
      <c r="N1715" s="6" t="s">
        <v>48</v>
      </c>
    </row>
    <row r="1716" spans="1:14" x14ac:dyDescent="0.25">
      <c r="A1716" s="6" t="s">
        <v>2443</v>
      </c>
      <c r="B1716" s="4">
        <v>45806</v>
      </c>
      <c r="C1716" s="6" t="s">
        <v>2792</v>
      </c>
      <c r="D1716" s="7">
        <v>0.94417824074074075</v>
      </c>
      <c r="E1716" s="6" t="s">
        <v>16</v>
      </c>
      <c r="F1716" s="6" t="s">
        <v>389</v>
      </c>
      <c r="G1716" s="4">
        <v>26999</v>
      </c>
      <c r="H1716" s="6" t="s">
        <v>126</v>
      </c>
      <c r="I1716">
        <v>236</v>
      </c>
      <c r="J1716">
        <v>3</v>
      </c>
      <c r="K1716">
        <v>709</v>
      </c>
      <c r="L1716" s="6" t="s">
        <v>41</v>
      </c>
      <c r="M1716" s="6" t="s">
        <v>32</v>
      </c>
      <c r="N1716" s="6" t="s">
        <v>74</v>
      </c>
    </row>
    <row r="1717" spans="1:14" x14ac:dyDescent="0.25">
      <c r="A1717" s="6" t="s">
        <v>2444</v>
      </c>
      <c r="B1717" s="4">
        <v>45775</v>
      </c>
      <c r="C1717" s="6" t="s">
        <v>2801</v>
      </c>
      <c r="D1717" s="7">
        <v>0.89165509259259257</v>
      </c>
      <c r="E1717" s="6" t="s">
        <v>16</v>
      </c>
      <c r="F1717" s="6" t="s">
        <v>837</v>
      </c>
      <c r="G1717" s="4">
        <v>38310</v>
      </c>
      <c r="H1717" s="6" t="s">
        <v>77</v>
      </c>
      <c r="I1717">
        <v>144</v>
      </c>
      <c r="J1717">
        <v>1</v>
      </c>
      <c r="K1717">
        <v>145</v>
      </c>
      <c r="L1717" s="6" t="s">
        <v>41</v>
      </c>
      <c r="M1717" s="6" t="s">
        <v>89</v>
      </c>
      <c r="N1717" s="6" t="s">
        <v>74</v>
      </c>
    </row>
    <row r="1718" spans="1:14" x14ac:dyDescent="0.25">
      <c r="A1718" s="6" t="s">
        <v>2445</v>
      </c>
      <c r="B1718" s="4">
        <v>45781</v>
      </c>
      <c r="C1718" s="6" t="s">
        <v>2792</v>
      </c>
      <c r="D1718" s="7">
        <v>0.81144675925925924</v>
      </c>
      <c r="E1718" s="6" t="s">
        <v>16</v>
      </c>
      <c r="F1718" s="6" t="s">
        <v>520</v>
      </c>
      <c r="G1718" s="4">
        <v>37580</v>
      </c>
      <c r="H1718" s="6" t="s">
        <v>73</v>
      </c>
      <c r="I1718">
        <v>44</v>
      </c>
      <c r="J1718">
        <v>1</v>
      </c>
      <c r="K1718">
        <v>44</v>
      </c>
      <c r="L1718" s="6" t="s">
        <v>41</v>
      </c>
      <c r="M1718" s="6" t="s">
        <v>32</v>
      </c>
      <c r="N1718" s="6" t="s">
        <v>33</v>
      </c>
    </row>
    <row r="1719" spans="1:14" x14ac:dyDescent="0.25">
      <c r="A1719" s="6" t="s">
        <v>2447</v>
      </c>
      <c r="B1719" s="4">
        <v>45945</v>
      </c>
      <c r="C1719" s="6" t="s">
        <v>2791</v>
      </c>
      <c r="D1719" s="7">
        <v>0.50299768518518517</v>
      </c>
      <c r="E1719" s="6" t="s">
        <v>16</v>
      </c>
      <c r="F1719" s="6" t="s">
        <v>29</v>
      </c>
      <c r="G1719" s="4">
        <v>32472</v>
      </c>
      <c r="H1719" s="6" t="s">
        <v>77</v>
      </c>
      <c r="I1719">
        <v>308</v>
      </c>
      <c r="J1719">
        <v>3</v>
      </c>
      <c r="K1719">
        <v>927</v>
      </c>
      <c r="L1719" s="6" t="s">
        <v>67</v>
      </c>
      <c r="M1719" s="6" t="s">
        <v>32</v>
      </c>
      <c r="N1719" s="6" t="s">
        <v>27</v>
      </c>
    </row>
    <row r="1720" spans="1:14" x14ac:dyDescent="0.25">
      <c r="A1720" s="6" t="s">
        <v>2448</v>
      </c>
      <c r="B1720" s="4">
        <v>45649</v>
      </c>
      <c r="C1720" s="6" t="s">
        <v>2796</v>
      </c>
      <c r="D1720" s="7">
        <v>0.57173611111111111</v>
      </c>
      <c r="E1720" s="6" t="s">
        <v>16</v>
      </c>
      <c r="F1720" s="6" t="s">
        <v>594</v>
      </c>
      <c r="G1720" s="4">
        <v>38340</v>
      </c>
      <c r="H1720" s="6" t="s">
        <v>116</v>
      </c>
      <c r="I1720">
        <v>290</v>
      </c>
      <c r="J1720">
        <v>1</v>
      </c>
      <c r="K1720">
        <v>290</v>
      </c>
      <c r="L1720" s="6" t="s">
        <v>41</v>
      </c>
      <c r="M1720" s="6" t="s">
        <v>37</v>
      </c>
      <c r="N1720" s="6" t="s">
        <v>21</v>
      </c>
    </row>
    <row r="1721" spans="1:14" x14ac:dyDescent="0.25">
      <c r="A1721" s="6" t="s">
        <v>2450</v>
      </c>
      <c r="B1721" s="4">
        <v>45688</v>
      </c>
      <c r="C1721" s="6" t="s">
        <v>2794</v>
      </c>
      <c r="D1721" s="7">
        <v>0.62916666666666665</v>
      </c>
      <c r="E1721" s="6" t="s">
        <v>16</v>
      </c>
      <c r="F1721" s="6" t="s">
        <v>107</v>
      </c>
      <c r="G1721" s="4">
        <v>29110</v>
      </c>
      <c r="H1721" s="6" t="s">
        <v>18</v>
      </c>
      <c r="I1721">
        <v>97</v>
      </c>
      <c r="J1721">
        <v>1</v>
      </c>
      <c r="K1721">
        <v>97</v>
      </c>
      <c r="L1721" s="6" t="s">
        <v>19</v>
      </c>
      <c r="M1721" s="6" t="s">
        <v>26</v>
      </c>
      <c r="N1721" s="6" t="s">
        <v>74</v>
      </c>
    </row>
    <row r="1722" spans="1:14" x14ac:dyDescent="0.25">
      <c r="A1722" s="6" t="s">
        <v>2451</v>
      </c>
      <c r="B1722" s="4">
        <v>45867</v>
      </c>
      <c r="C1722" s="6" t="s">
        <v>2795</v>
      </c>
      <c r="D1722" s="7">
        <v>0.73263888888888884</v>
      </c>
      <c r="E1722" s="6" t="s">
        <v>16</v>
      </c>
      <c r="F1722" s="6" t="s">
        <v>246</v>
      </c>
      <c r="G1722" s="4">
        <v>27856</v>
      </c>
      <c r="H1722" s="6" t="s">
        <v>30</v>
      </c>
      <c r="I1722">
        <v>245</v>
      </c>
      <c r="J1722">
        <v>3</v>
      </c>
      <c r="K1722">
        <v>737</v>
      </c>
      <c r="L1722" s="6" t="s">
        <v>19</v>
      </c>
      <c r="M1722" s="6" t="s">
        <v>61</v>
      </c>
      <c r="N1722" s="6" t="s">
        <v>21</v>
      </c>
    </row>
    <row r="1723" spans="1:14" x14ac:dyDescent="0.25">
      <c r="A1723" s="6" t="s">
        <v>2452</v>
      </c>
      <c r="B1723" s="4">
        <v>45907</v>
      </c>
      <c r="C1723" s="6" t="s">
        <v>2797</v>
      </c>
      <c r="D1723" s="7">
        <v>0.57291666666666663</v>
      </c>
      <c r="E1723" s="6" t="s">
        <v>16</v>
      </c>
      <c r="F1723" s="6" t="s">
        <v>173</v>
      </c>
      <c r="G1723" s="4">
        <v>27856</v>
      </c>
      <c r="H1723" s="6" t="s">
        <v>178</v>
      </c>
      <c r="I1723">
        <v>334</v>
      </c>
      <c r="J1723">
        <v>1</v>
      </c>
      <c r="K1723">
        <v>100</v>
      </c>
      <c r="L1723" s="6" t="s">
        <v>41</v>
      </c>
      <c r="M1723" s="6" t="s">
        <v>26</v>
      </c>
      <c r="N1723" s="6" t="s">
        <v>56</v>
      </c>
    </row>
    <row r="1724" spans="1:14" x14ac:dyDescent="0.25">
      <c r="A1724" s="6" t="s">
        <v>2453</v>
      </c>
      <c r="B1724" s="4">
        <v>45623</v>
      </c>
      <c r="C1724" s="6" t="s">
        <v>2802</v>
      </c>
      <c r="D1724" s="7">
        <v>0.73333333333333328</v>
      </c>
      <c r="E1724" s="6" t="s">
        <v>16</v>
      </c>
      <c r="F1724" s="6" t="s">
        <v>360</v>
      </c>
      <c r="G1724" s="4">
        <v>28054</v>
      </c>
      <c r="H1724" s="6" t="s">
        <v>110</v>
      </c>
      <c r="I1724">
        <v>109</v>
      </c>
      <c r="J1724">
        <v>1</v>
      </c>
      <c r="K1724">
        <v>100</v>
      </c>
      <c r="L1724" s="6" t="s">
        <v>19</v>
      </c>
      <c r="M1724" s="6" t="s">
        <v>26</v>
      </c>
      <c r="N1724" s="6" t="s">
        <v>56</v>
      </c>
    </row>
    <row r="1725" spans="1:14" x14ac:dyDescent="0.25">
      <c r="A1725" s="6" t="s">
        <v>2454</v>
      </c>
      <c r="B1725" s="4">
        <v>45784</v>
      </c>
      <c r="C1725" s="6" t="s">
        <v>2792</v>
      </c>
      <c r="D1725" s="7">
        <v>0.58193287037037034</v>
      </c>
      <c r="E1725" s="6" t="s">
        <v>16</v>
      </c>
      <c r="F1725" s="6" t="s">
        <v>411</v>
      </c>
      <c r="G1725" s="4">
        <v>36530</v>
      </c>
      <c r="H1725" s="6" t="s">
        <v>145</v>
      </c>
      <c r="I1725">
        <v>300</v>
      </c>
      <c r="J1725">
        <v>1</v>
      </c>
      <c r="K1725">
        <v>300</v>
      </c>
      <c r="L1725" s="6" t="s">
        <v>41</v>
      </c>
      <c r="M1725" s="6" t="s">
        <v>32</v>
      </c>
      <c r="N1725" s="6" t="s">
        <v>21</v>
      </c>
    </row>
    <row r="1726" spans="1:14" x14ac:dyDescent="0.25">
      <c r="A1726" s="6" t="s">
        <v>2455</v>
      </c>
      <c r="B1726" s="4">
        <v>45773</v>
      </c>
      <c r="C1726" s="6" t="s">
        <v>2801</v>
      </c>
      <c r="D1726" s="7">
        <v>0.97847222222222219</v>
      </c>
      <c r="E1726" s="6" t="s">
        <v>16</v>
      </c>
      <c r="F1726" s="6" t="s">
        <v>520</v>
      </c>
      <c r="G1726" s="4">
        <v>29983</v>
      </c>
      <c r="H1726" s="6" t="s">
        <v>36</v>
      </c>
      <c r="I1726">
        <v>251</v>
      </c>
      <c r="J1726">
        <v>3</v>
      </c>
      <c r="K1726">
        <v>756</v>
      </c>
      <c r="L1726" s="6" t="s">
        <v>41</v>
      </c>
      <c r="M1726" s="6" t="s">
        <v>47</v>
      </c>
      <c r="N1726" s="6" t="s">
        <v>56</v>
      </c>
    </row>
    <row r="1727" spans="1:14" x14ac:dyDescent="0.25">
      <c r="A1727" s="6" t="s">
        <v>2456</v>
      </c>
      <c r="B1727" s="4">
        <v>45883</v>
      </c>
      <c r="C1727" s="6" t="s">
        <v>2793</v>
      </c>
      <c r="D1727" s="7">
        <v>0.50840277777777776</v>
      </c>
      <c r="E1727" s="6" t="s">
        <v>16</v>
      </c>
      <c r="F1727" s="6" t="s">
        <v>466</v>
      </c>
      <c r="G1727" s="4">
        <v>27831</v>
      </c>
      <c r="H1727" s="6" t="s">
        <v>202</v>
      </c>
      <c r="I1727">
        <v>81</v>
      </c>
      <c r="J1727">
        <v>3</v>
      </c>
      <c r="K1727">
        <v>244</v>
      </c>
      <c r="L1727" s="6" t="s">
        <v>2787</v>
      </c>
      <c r="M1727" s="6" t="s">
        <v>26</v>
      </c>
      <c r="N1727" s="6" t="s">
        <v>48</v>
      </c>
    </row>
    <row r="1728" spans="1:14" x14ac:dyDescent="0.25">
      <c r="A1728" s="6" t="s">
        <v>2457</v>
      </c>
      <c r="B1728" s="4">
        <v>45618</v>
      </c>
      <c r="C1728" s="6" t="s">
        <v>2802</v>
      </c>
      <c r="D1728" s="7">
        <v>0.76527777777777772</v>
      </c>
      <c r="E1728" s="6" t="s">
        <v>16</v>
      </c>
      <c r="F1728" s="6" t="s">
        <v>52</v>
      </c>
      <c r="G1728" s="4">
        <v>32117</v>
      </c>
      <c r="H1728" s="6" t="s">
        <v>164</v>
      </c>
      <c r="I1728">
        <v>349</v>
      </c>
      <c r="J1728">
        <v>3</v>
      </c>
      <c r="K1728">
        <v>1049</v>
      </c>
      <c r="L1728" s="6" t="s">
        <v>19</v>
      </c>
      <c r="M1728" s="6" t="s">
        <v>47</v>
      </c>
      <c r="N1728" s="6" t="s">
        <v>74</v>
      </c>
    </row>
    <row r="1729" spans="1:14" x14ac:dyDescent="0.25">
      <c r="A1729" s="6" t="s">
        <v>2458</v>
      </c>
      <c r="B1729" s="4">
        <v>45623</v>
      </c>
      <c r="C1729" s="6" t="s">
        <v>2802</v>
      </c>
      <c r="D1729" s="7">
        <v>0.58402777777777781</v>
      </c>
      <c r="E1729" s="6" t="s">
        <v>16</v>
      </c>
      <c r="F1729" s="6" t="s">
        <v>562</v>
      </c>
      <c r="G1729" s="4">
        <v>34281</v>
      </c>
      <c r="H1729" s="6" t="s">
        <v>145</v>
      </c>
      <c r="I1729">
        <v>170</v>
      </c>
      <c r="J1729">
        <v>3</v>
      </c>
      <c r="K1729">
        <v>513</v>
      </c>
      <c r="L1729" s="6" t="s">
        <v>19</v>
      </c>
      <c r="M1729" s="6" t="s">
        <v>37</v>
      </c>
      <c r="N1729" s="6" t="s">
        <v>27</v>
      </c>
    </row>
    <row r="1730" spans="1:14" x14ac:dyDescent="0.25">
      <c r="A1730" s="6" t="s">
        <v>2459</v>
      </c>
      <c r="B1730" s="4">
        <v>45774</v>
      </c>
      <c r="C1730" s="6" t="s">
        <v>2801</v>
      </c>
      <c r="D1730" s="7">
        <v>0.67221064814814813</v>
      </c>
      <c r="E1730" s="6" t="s">
        <v>16</v>
      </c>
      <c r="F1730" s="6" t="s">
        <v>2268</v>
      </c>
      <c r="G1730" s="4">
        <v>34281</v>
      </c>
      <c r="H1730" s="6" t="s">
        <v>73</v>
      </c>
      <c r="I1730">
        <v>49</v>
      </c>
      <c r="J1730">
        <v>2</v>
      </c>
      <c r="K1730">
        <v>99</v>
      </c>
      <c r="L1730" s="6" t="s">
        <v>19</v>
      </c>
      <c r="M1730" s="6" t="s">
        <v>55</v>
      </c>
      <c r="N1730" s="6" t="s">
        <v>27</v>
      </c>
    </row>
    <row r="1731" spans="1:14" x14ac:dyDescent="0.25">
      <c r="A1731" s="6" t="s">
        <v>2461</v>
      </c>
      <c r="B1731" s="4">
        <v>45960</v>
      </c>
      <c r="C1731" s="6" t="s">
        <v>2791</v>
      </c>
      <c r="D1731" s="7">
        <v>0.56363425925925925</v>
      </c>
      <c r="E1731" s="6" t="s">
        <v>16</v>
      </c>
      <c r="F1731" s="6" t="s">
        <v>512</v>
      </c>
      <c r="G1731" s="4">
        <v>31284</v>
      </c>
      <c r="H1731" s="6" t="s">
        <v>243</v>
      </c>
      <c r="I1731">
        <v>113</v>
      </c>
      <c r="J1731">
        <v>1</v>
      </c>
      <c r="K1731">
        <v>113</v>
      </c>
      <c r="L1731" s="6" t="s">
        <v>41</v>
      </c>
      <c r="M1731" s="6" t="s">
        <v>89</v>
      </c>
      <c r="N1731" s="6" t="s">
        <v>27</v>
      </c>
    </row>
    <row r="1732" spans="1:14" x14ac:dyDescent="0.25">
      <c r="A1732" s="6" t="s">
        <v>2462</v>
      </c>
      <c r="B1732" s="4">
        <v>45745</v>
      </c>
      <c r="C1732" s="6" t="s">
        <v>2798</v>
      </c>
      <c r="D1732" s="7">
        <v>0.58263888888888893</v>
      </c>
      <c r="E1732" s="6" t="s">
        <v>16</v>
      </c>
      <c r="F1732" s="6" t="s">
        <v>246</v>
      </c>
      <c r="G1732" s="4">
        <v>37366</v>
      </c>
      <c r="H1732" s="6" t="s">
        <v>73</v>
      </c>
      <c r="I1732">
        <v>49</v>
      </c>
      <c r="J1732">
        <v>1</v>
      </c>
      <c r="K1732">
        <v>49</v>
      </c>
      <c r="L1732" s="6" t="s">
        <v>2787</v>
      </c>
      <c r="M1732" s="6" t="s">
        <v>26</v>
      </c>
      <c r="N1732" s="6" t="s">
        <v>33</v>
      </c>
    </row>
    <row r="1733" spans="1:14" x14ac:dyDescent="0.25">
      <c r="A1733" s="6" t="s">
        <v>2464</v>
      </c>
      <c r="B1733" s="4">
        <v>45655</v>
      </c>
      <c r="C1733" s="6" t="s">
        <v>2796</v>
      </c>
      <c r="D1733" s="7">
        <v>0.84791666666666665</v>
      </c>
      <c r="E1733" s="6" t="s">
        <v>16</v>
      </c>
      <c r="F1733" s="6" t="s">
        <v>204</v>
      </c>
      <c r="G1733" s="4">
        <v>32712</v>
      </c>
      <c r="H1733" s="6" t="s">
        <v>145</v>
      </c>
      <c r="I1733">
        <v>109</v>
      </c>
      <c r="J1733">
        <v>1</v>
      </c>
      <c r="K1733">
        <v>110</v>
      </c>
      <c r="L1733" s="6" t="s">
        <v>67</v>
      </c>
      <c r="M1733" s="6" t="s">
        <v>89</v>
      </c>
      <c r="N1733" s="6" t="s">
        <v>74</v>
      </c>
    </row>
    <row r="1734" spans="1:14" x14ac:dyDescent="0.25">
      <c r="A1734" s="6" t="s">
        <v>2465</v>
      </c>
      <c r="B1734" s="4">
        <v>45798</v>
      </c>
      <c r="C1734" s="6" t="s">
        <v>2792</v>
      </c>
      <c r="D1734" s="7">
        <v>0.64930555555555558</v>
      </c>
      <c r="E1734" s="6" t="s">
        <v>16</v>
      </c>
      <c r="F1734" s="6" t="s">
        <v>411</v>
      </c>
      <c r="G1734" s="4">
        <v>32712</v>
      </c>
      <c r="H1734" s="6" t="s">
        <v>73</v>
      </c>
      <c r="I1734">
        <v>41</v>
      </c>
      <c r="J1734">
        <v>1</v>
      </c>
      <c r="K1734">
        <v>42</v>
      </c>
      <c r="L1734" s="6" t="s">
        <v>67</v>
      </c>
      <c r="M1734" s="6" t="s">
        <v>55</v>
      </c>
      <c r="N1734" s="6" t="s">
        <v>74</v>
      </c>
    </row>
    <row r="1735" spans="1:14" x14ac:dyDescent="0.25">
      <c r="A1735" s="6" t="s">
        <v>2466</v>
      </c>
      <c r="B1735" s="4">
        <v>45798</v>
      </c>
      <c r="C1735" s="6" t="s">
        <v>2792</v>
      </c>
      <c r="D1735" s="7">
        <v>0.67510416666666662</v>
      </c>
      <c r="E1735" s="6" t="s">
        <v>16</v>
      </c>
      <c r="F1735" s="6" t="s">
        <v>346</v>
      </c>
      <c r="G1735" s="4">
        <v>32712</v>
      </c>
      <c r="H1735" s="6" t="s">
        <v>40</v>
      </c>
      <c r="I1735">
        <v>163</v>
      </c>
      <c r="J1735">
        <v>1</v>
      </c>
      <c r="K1735">
        <v>164</v>
      </c>
      <c r="L1735" s="6" t="s">
        <v>41</v>
      </c>
      <c r="M1735" s="6" t="s">
        <v>89</v>
      </c>
      <c r="N1735" s="6" t="s">
        <v>56</v>
      </c>
    </row>
    <row r="1736" spans="1:14" x14ac:dyDescent="0.25">
      <c r="A1736" s="6" t="s">
        <v>2467</v>
      </c>
      <c r="B1736" s="4">
        <v>45762</v>
      </c>
      <c r="C1736" s="6" t="s">
        <v>2801</v>
      </c>
      <c r="D1736" s="7">
        <v>0.68936342592592592</v>
      </c>
      <c r="E1736" s="6" t="s">
        <v>16</v>
      </c>
      <c r="F1736" s="6" t="s">
        <v>227</v>
      </c>
      <c r="G1736" s="4">
        <v>36858</v>
      </c>
      <c r="H1736" s="6" t="s">
        <v>213</v>
      </c>
      <c r="I1736">
        <v>261</v>
      </c>
      <c r="J1736">
        <v>1</v>
      </c>
      <c r="K1736">
        <v>262</v>
      </c>
      <c r="L1736" s="6" t="s">
        <v>54</v>
      </c>
      <c r="M1736" s="6" t="s">
        <v>37</v>
      </c>
      <c r="N1736" s="6" t="s">
        <v>74</v>
      </c>
    </row>
    <row r="1737" spans="1:14" x14ac:dyDescent="0.25">
      <c r="A1737" s="6" t="s">
        <v>2468</v>
      </c>
      <c r="B1737" s="4">
        <v>45958</v>
      </c>
      <c r="C1737" s="6" t="s">
        <v>2791</v>
      </c>
      <c r="D1737" s="7">
        <v>0.81666666666666665</v>
      </c>
      <c r="E1737" s="6" t="s">
        <v>16</v>
      </c>
      <c r="F1737" s="6" t="s">
        <v>118</v>
      </c>
      <c r="G1737" s="4">
        <v>38142</v>
      </c>
      <c r="H1737" s="6" t="s">
        <v>259</v>
      </c>
      <c r="I1737">
        <v>233</v>
      </c>
      <c r="J1737">
        <v>3</v>
      </c>
      <c r="K1737">
        <v>701</v>
      </c>
      <c r="L1737" s="6" t="s">
        <v>54</v>
      </c>
      <c r="M1737" s="6" t="s">
        <v>32</v>
      </c>
      <c r="N1737" s="6" t="s">
        <v>74</v>
      </c>
    </row>
    <row r="1738" spans="1:14" x14ac:dyDescent="0.25">
      <c r="A1738" s="6" t="s">
        <v>2469</v>
      </c>
      <c r="B1738" s="4">
        <v>45653</v>
      </c>
      <c r="C1738" s="6" t="s">
        <v>2796</v>
      </c>
      <c r="D1738" s="7">
        <v>0.91708333333333336</v>
      </c>
      <c r="E1738" s="6" t="s">
        <v>16</v>
      </c>
      <c r="F1738" s="6" t="s">
        <v>882</v>
      </c>
      <c r="G1738" s="4">
        <v>29501</v>
      </c>
      <c r="H1738" s="6" t="s">
        <v>45</v>
      </c>
      <c r="I1738">
        <v>233</v>
      </c>
      <c r="J1738">
        <v>1</v>
      </c>
      <c r="K1738">
        <v>701</v>
      </c>
      <c r="L1738" s="6" t="s">
        <v>2787</v>
      </c>
      <c r="M1738" s="6" t="s">
        <v>61</v>
      </c>
      <c r="N1738" s="6" t="s">
        <v>21</v>
      </c>
    </row>
    <row r="1739" spans="1:14" x14ac:dyDescent="0.25">
      <c r="A1739" s="6" t="s">
        <v>2470</v>
      </c>
      <c r="B1739" s="4">
        <v>45657</v>
      </c>
      <c r="C1739" s="6" t="s">
        <v>2796</v>
      </c>
      <c r="D1739" s="7">
        <v>0.71736111111111112</v>
      </c>
      <c r="E1739" s="6" t="s">
        <v>16</v>
      </c>
      <c r="F1739" s="6" t="s">
        <v>492</v>
      </c>
      <c r="G1739" s="4">
        <v>34292</v>
      </c>
      <c r="H1739" s="6" t="s">
        <v>60</v>
      </c>
      <c r="I1739">
        <v>156</v>
      </c>
      <c r="J1739">
        <v>3</v>
      </c>
      <c r="K1739">
        <v>469</v>
      </c>
      <c r="L1739" s="6" t="s">
        <v>19</v>
      </c>
      <c r="M1739" s="6" t="s">
        <v>26</v>
      </c>
      <c r="N1739" s="6" t="s">
        <v>21</v>
      </c>
    </row>
    <row r="1740" spans="1:14" x14ac:dyDescent="0.25">
      <c r="A1740" s="6" t="s">
        <v>2471</v>
      </c>
      <c r="B1740" s="4">
        <v>45974</v>
      </c>
      <c r="C1740" s="6" t="s">
        <v>2802</v>
      </c>
      <c r="D1740" s="7">
        <v>0.8666666666666667</v>
      </c>
      <c r="E1740" s="6" t="s">
        <v>16</v>
      </c>
      <c r="F1740" s="6" t="s">
        <v>98</v>
      </c>
      <c r="G1740" s="4">
        <v>36439</v>
      </c>
      <c r="H1740" s="6" t="s">
        <v>18</v>
      </c>
      <c r="I1740">
        <v>87</v>
      </c>
      <c r="J1740">
        <v>2</v>
      </c>
      <c r="K1740">
        <v>175</v>
      </c>
      <c r="L1740" s="6" t="s">
        <v>2787</v>
      </c>
      <c r="M1740" s="6" t="s">
        <v>20</v>
      </c>
      <c r="N1740" s="6" t="s">
        <v>56</v>
      </c>
    </row>
    <row r="1741" spans="1:14" x14ac:dyDescent="0.25">
      <c r="A1741" s="6" t="s">
        <v>2472</v>
      </c>
      <c r="B1741" s="4">
        <v>45852</v>
      </c>
      <c r="C1741" s="6" t="s">
        <v>2795</v>
      </c>
      <c r="D1741" s="7">
        <v>0.67291666666666672</v>
      </c>
      <c r="E1741" s="6" t="s">
        <v>16</v>
      </c>
      <c r="F1741" s="6" t="s">
        <v>1443</v>
      </c>
      <c r="G1741" s="4">
        <v>38666</v>
      </c>
      <c r="H1741" s="6" t="s">
        <v>93</v>
      </c>
      <c r="I1741">
        <v>157</v>
      </c>
      <c r="J1741">
        <v>1</v>
      </c>
      <c r="K1741">
        <v>100</v>
      </c>
      <c r="L1741" s="6" t="s">
        <v>67</v>
      </c>
      <c r="M1741" s="6" t="s">
        <v>26</v>
      </c>
      <c r="N1741" s="6" t="s">
        <v>48</v>
      </c>
    </row>
    <row r="1742" spans="1:14" x14ac:dyDescent="0.25">
      <c r="A1742" s="6" t="s">
        <v>2474</v>
      </c>
      <c r="B1742" s="4">
        <v>45660</v>
      </c>
      <c r="C1742" s="6" t="s">
        <v>2794</v>
      </c>
      <c r="D1742" s="7">
        <v>0.9194444444444444</v>
      </c>
      <c r="E1742" s="6" t="s">
        <v>16</v>
      </c>
      <c r="F1742" s="6" t="s">
        <v>387</v>
      </c>
      <c r="G1742" s="4">
        <v>26248</v>
      </c>
      <c r="H1742" s="6" t="s">
        <v>24</v>
      </c>
      <c r="I1742">
        <v>280</v>
      </c>
      <c r="J1742">
        <v>3</v>
      </c>
      <c r="K1742">
        <v>840</v>
      </c>
      <c r="L1742" s="6" t="s">
        <v>41</v>
      </c>
      <c r="M1742" s="6" t="s">
        <v>89</v>
      </c>
      <c r="N1742" s="6" t="s">
        <v>48</v>
      </c>
    </row>
    <row r="1743" spans="1:14" x14ac:dyDescent="0.25">
      <c r="A1743" s="6" t="s">
        <v>2475</v>
      </c>
      <c r="B1743" s="4">
        <v>45674</v>
      </c>
      <c r="C1743" s="6" t="s">
        <v>2794</v>
      </c>
      <c r="D1743" s="7">
        <v>0.48819444444444443</v>
      </c>
      <c r="E1743" s="6" t="s">
        <v>16</v>
      </c>
      <c r="F1743" s="6" t="s">
        <v>84</v>
      </c>
      <c r="G1743" s="4">
        <v>26931</v>
      </c>
      <c r="H1743" s="6" t="s">
        <v>18</v>
      </c>
      <c r="I1743">
        <v>280</v>
      </c>
      <c r="J1743">
        <v>2</v>
      </c>
      <c r="K1743">
        <v>840</v>
      </c>
      <c r="L1743" s="6" t="s">
        <v>19</v>
      </c>
      <c r="M1743" s="6" t="s">
        <v>55</v>
      </c>
      <c r="N1743" s="6" t="s">
        <v>33</v>
      </c>
    </row>
    <row r="1744" spans="1:14" x14ac:dyDescent="0.25">
      <c r="A1744" s="6" t="s">
        <v>2476</v>
      </c>
      <c r="B1744" s="4">
        <v>45860</v>
      </c>
      <c r="C1744" s="6" t="s">
        <v>2795</v>
      </c>
      <c r="D1744" s="7">
        <v>0.5180555555555556</v>
      </c>
      <c r="E1744" s="6" t="s">
        <v>16</v>
      </c>
      <c r="F1744" s="6" t="s">
        <v>206</v>
      </c>
      <c r="G1744" s="4">
        <v>28667</v>
      </c>
      <c r="H1744" s="6" t="s">
        <v>116</v>
      </c>
      <c r="I1744">
        <v>93</v>
      </c>
      <c r="J1744">
        <v>2</v>
      </c>
      <c r="K1744">
        <v>187</v>
      </c>
      <c r="L1744" s="6" t="s">
        <v>67</v>
      </c>
      <c r="M1744" s="6" t="s">
        <v>37</v>
      </c>
      <c r="N1744" s="6" t="s">
        <v>105</v>
      </c>
    </row>
    <row r="1745" spans="1:14" x14ac:dyDescent="0.25">
      <c r="A1745" s="6" t="s">
        <v>2477</v>
      </c>
      <c r="B1745" s="4">
        <v>45668</v>
      </c>
      <c r="C1745" s="6" t="s">
        <v>2794</v>
      </c>
      <c r="D1745" s="7">
        <v>0.98472222222222228</v>
      </c>
      <c r="E1745" s="6" t="s">
        <v>16</v>
      </c>
      <c r="F1745" s="6" t="s">
        <v>379</v>
      </c>
      <c r="G1745" s="4">
        <v>33546</v>
      </c>
      <c r="H1745" s="6" t="s">
        <v>104</v>
      </c>
      <c r="I1745">
        <v>250</v>
      </c>
      <c r="J1745">
        <v>1</v>
      </c>
      <c r="K1745">
        <v>250</v>
      </c>
      <c r="L1745" s="6" t="s">
        <v>41</v>
      </c>
      <c r="M1745" s="6" t="s">
        <v>37</v>
      </c>
      <c r="N1745" s="6" t="s">
        <v>105</v>
      </c>
    </row>
    <row r="1746" spans="1:14" x14ac:dyDescent="0.25">
      <c r="A1746" s="6" t="s">
        <v>2479</v>
      </c>
      <c r="B1746" s="4">
        <v>45668</v>
      </c>
      <c r="C1746" s="6" t="s">
        <v>2794</v>
      </c>
      <c r="D1746" s="7">
        <v>0.92847222222222225</v>
      </c>
      <c r="E1746" s="6" t="s">
        <v>16</v>
      </c>
      <c r="F1746" s="6" t="s">
        <v>229</v>
      </c>
      <c r="G1746" s="4">
        <v>30725</v>
      </c>
      <c r="H1746" s="6" t="s">
        <v>45</v>
      </c>
      <c r="I1746">
        <v>118</v>
      </c>
      <c r="J1746">
        <v>2</v>
      </c>
      <c r="K1746">
        <v>238</v>
      </c>
      <c r="L1746" s="6" t="s">
        <v>67</v>
      </c>
      <c r="M1746" s="6" t="s">
        <v>47</v>
      </c>
      <c r="N1746" s="6" t="s">
        <v>48</v>
      </c>
    </row>
    <row r="1747" spans="1:14" x14ac:dyDescent="0.25">
      <c r="A1747" s="6" t="s">
        <v>2480</v>
      </c>
      <c r="B1747" s="4">
        <v>45872</v>
      </c>
      <c r="C1747" s="6" t="s">
        <v>2793</v>
      </c>
      <c r="D1747" s="7">
        <v>0.87638888888888888</v>
      </c>
      <c r="E1747" s="6" t="s">
        <v>16</v>
      </c>
      <c r="F1747" s="6" t="s">
        <v>351</v>
      </c>
      <c r="G1747" s="4">
        <v>40422</v>
      </c>
      <c r="H1747" s="6" t="s">
        <v>126</v>
      </c>
      <c r="I1747">
        <v>224</v>
      </c>
      <c r="J1747">
        <v>2</v>
      </c>
      <c r="K1747">
        <v>449</v>
      </c>
      <c r="L1747" s="6" t="s">
        <v>67</v>
      </c>
      <c r="M1747" s="6" t="s">
        <v>89</v>
      </c>
      <c r="N1747" s="6" t="s">
        <v>27</v>
      </c>
    </row>
    <row r="1748" spans="1:14" x14ac:dyDescent="0.25">
      <c r="A1748" s="6" t="s">
        <v>2482</v>
      </c>
      <c r="B1748" s="4">
        <v>45784</v>
      </c>
      <c r="C1748" s="6" t="s">
        <v>2792</v>
      </c>
      <c r="D1748" s="7">
        <v>0.60902777777777772</v>
      </c>
      <c r="E1748" s="6" t="s">
        <v>16</v>
      </c>
      <c r="F1748" s="6" t="s">
        <v>405</v>
      </c>
      <c r="G1748" s="4">
        <v>40422</v>
      </c>
      <c r="H1748" s="6" t="s">
        <v>110</v>
      </c>
      <c r="I1748">
        <v>95</v>
      </c>
      <c r="J1748">
        <v>2</v>
      </c>
      <c r="L1748" s="6" t="s">
        <v>19</v>
      </c>
      <c r="M1748" s="6" t="s">
        <v>20</v>
      </c>
      <c r="N1748" s="6" t="s">
        <v>74</v>
      </c>
    </row>
    <row r="1749" spans="1:14" x14ac:dyDescent="0.25">
      <c r="A1749" s="6" t="s">
        <v>2484</v>
      </c>
      <c r="B1749" s="4">
        <v>45901</v>
      </c>
      <c r="C1749" s="6" t="s">
        <v>2797</v>
      </c>
      <c r="D1749" s="7">
        <v>0.61805555555555558</v>
      </c>
      <c r="E1749" s="6" t="s">
        <v>16</v>
      </c>
      <c r="F1749" s="6" t="s">
        <v>128</v>
      </c>
      <c r="G1749" s="4">
        <v>39707</v>
      </c>
      <c r="H1749" s="6" t="s">
        <v>145</v>
      </c>
      <c r="I1749">
        <v>245</v>
      </c>
      <c r="J1749">
        <v>2</v>
      </c>
      <c r="K1749">
        <v>490</v>
      </c>
      <c r="L1749" s="6" t="s">
        <v>2787</v>
      </c>
      <c r="M1749" s="6" t="s">
        <v>61</v>
      </c>
      <c r="N1749" s="6" t="s">
        <v>74</v>
      </c>
    </row>
    <row r="1750" spans="1:14" x14ac:dyDescent="0.25">
      <c r="A1750" s="6" t="s">
        <v>2485</v>
      </c>
      <c r="B1750" s="4">
        <v>45704</v>
      </c>
      <c r="C1750" s="6" t="s">
        <v>2799</v>
      </c>
      <c r="D1750" s="7">
        <v>0.94166666666666665</v>
      </c>
      <c r="E1750" s="6" t="s">
        <v>16</v>
      </c>
      <c r="F1750" s="6" t="s">
        <v>144</v>
      </c>
      <c r="G1750" s="4">
        <v>39707</v>
      </c>
      <c r="H1750" s="6" t="s">
        <v>36</v>
      </c>
      <c r="I1750">
        <v>202</v>
      </c>
      <c r="J1750">
        <v>3</v>
      </c>
      <c r="K1750">
        <v>614</v>
      </c>
      <c r="L1750" s="6" t="s">
        <v>41</v>
      </c>
      <c r="M1750" s="6" t="s">
        <v>20</v>
      </c>
      <c r="N1750" s="6" t="s">
        <v>74</v>
      </c>
    </row>
    <row r="1751" spans="1:14" x14ac:dyDescent="0.25">
      <c r="A1751" s="6" t="s">
        <v>2486</v>
      </c>
      <c r="B1751" s="4">
        <v>45809</v>
      </c>
      <c r="C1751" s="6" t="s">
        <v>2800</v>
      </c>
      <c r="D1751" s="7">
        <v>0.50416666666666665</v>
      </c>
      <c r="E1751" s="6" t="s">
        <v>16</v>
      </c>
      <c r="F1751" s="6" t="s">
        <v>379</v>
      </c>
      <c r="G1751" s="4">
        <v>37400</v>
      </c>
      <c r="H1751" s="6" t="s">
        <v>24</v>
      </c>
      <c r="I1751">
        <v>270</v>
      </c>
      <c r="J1751">
        <v>2</v>
      </c>
      <c r="K1751">
        <v>542</v>
      </c>
      <c r="L1751" s="6" t="s">
        <v>2787</v>
      </c>
      <c r="M1751" s="6" t="s">
        <v>26</v>
      </c>
      <c r="N1751" s="6" t="s">
        <v>74</v>
      </c>
    </row>
    <row r="1752" spans="1:14" x14ac:dyDescent="0.25">
      <c r="A1752" s="6" t="s">
        <v>2487</v>
      </c>
      <c r="B1752" s="4">
        <v>45778</v>
      </c>
      <c r="C1752" s="6" t="s">
        <v>2792</v>
      </c>
      <c r="D1752" s="7">
        <v>0.7127430555555555</v>
      </c>
      <c r="E1752" s="6" t="s">
        <v>16</v>
      </c>
      <c r="F1752" s="6" t="s">
        <v>246</v>
      </c>
      <c r="G1752" s="4">
        <v>36895</v>
      </c>
      <c r="H1752" s="6" t="s">
        <v>85</v>
      </c>
      <c r="I1752">
        <v>296</v>
      </c>
      <c r="J1752">
        <v>2</v>
      </c>
      <c r="K1752">
        <v>592</v>
      </c>
      <c r="L1752" s="6" t="s">
        <v>19</v>
      </c>
      <c r="M1752" s="6" t="s">
        <v>32</v>
      </c>
      <c r="N1752" s="6" t="s">
        <v>105</v>
      </c>
    </row>
    <row r="1753" spans="1:14" x14ac:dyDescent="0.25">
      <c r="A1753" s="6" t="s">
        <v>2488</v>
      </c>
      <c r="B1753" s="4">
        <v>45981</v>
      </c>
      <c r="C1753" s="6" t="s">
        <v>2802</v>
      </c>
      <c r="D1753" s="7">
        <v>0.55694444444444446</v>
      </c>
      <c r="E1753" s="6" t="s">
        <v>16</v>
      </c>
      <c r="F1753" s="6" t="s">
        <v>256</v>
      </c>
      <c r="G1753" s="4">
        <v>37805</v>
      </c>
      <c r="H1753" s="6" t="s">
        <v>85</v>
      </c>
      <c r="I1753">
        <v>235</v>
      </c>
      <c r="J1753">
        <v>2</v>
      </c>
      <c r="K1753">
        <v>471</v>
      </c>
      <c r="L1753" s="6" t="s">
        <v>19</v>
      </c>
      <c r="M1753" s="6" t="s">
        <v>55</v>
      </c>
      <c r="N1753" s="6" t="s">
        <v>21</v>
      </c>
    </row>
    <row r="1754" spans="1:14" x14ac:dyDescent="0.25">
      <c r="A1754" s="6" t="s">
        <v>2489</v>
      </c>
      <c r="B1754" s="4">
        <v>45981</v>
      </c>
      <c r="C1754" s="6" t="s">
        <v>2802</v>
      </c>
      <c r="D1754" s="7">
        <v>0.44166666666666665</v>
      </c>
      <c r="E1754" s="6" t="s">
        <v>16</v>
      </c>
      <c r="F1754" s="6" t="s">
        <v>66</v>
      </c>
      <c r="G1754" s="4">
        <v>35234</v>
      </c>
      <c r="H1754" s="6" t="s">
        <v>104</v>
      </c>
      <c r="I1754">
        <v>323</v>
      </c>
      <c r="J1754">
        <v>1</v>
      </c>
      <c r="K1754">
        <v>323</v>
      </c>
      <c r="L1754" s="6" t="s">
        <v>19</v>
      </c>
      <c r="M1754" s="6" t="s">
        <v>55</v>
      </c>
      <c r="N1754" s="6" t="s">
        <v>105</v>
      </c>
    </row>
    <row r="1755" spans="1:14" x14ac:dyDescent="0.25">
      <c r="A1755" s="6" t="s">
        <v>2491</v>
      </c>
      <c r="B1755" s="4">
        <v>45929</v>
      </c>
      <c r="C1755" s="6" t="s">
        <v>2797</v>
      </c>
      <c r="D1755" s="7">
        <v>0.53053240740740737</v>
      </c>
      <c r="E1755" s="6" t="s">
        <v>16</v>
      </c>
      <c r="F1755" s="6" t="s">
        <v>281</v>
      </c>
      <c r="G1755" s="4">
        <v>30152</v>
      </c>
      <c r="H1755" s="6" t="s">
        <v>85</v>
      </c>
      <c r="I1755">
        <v>111</v>
      </c>
      <c r="J1755">
        <v>1</v>
      </c>
      <c r="K1755">
        <v>111</v>
      </c>
      <c r="L1755" s="6" t="s">
        <v>19</v>
      </c>
      <c r="M1755" s="6" t="s">
        <v>61</v>
      </c>
      <c r="N1755" s="6" t="s">
        <v>21</v>
      </c>
    </row>
    <row r="1756" spans="1:14" x14ac:dyDescent="0.25">
      <c r="A1756" s="6" t="s">
        <v>2492</v>
      </c>
      <c r="B1756" s="4">
        <v>45850</v>
      </c>
      <c r="C1756" s="6" t="s">
        <v>2795</v>
      </c>
      <c r="D1756" s="7">
        <v>0.63307870370370367</v>
      </c>
      <c r="E1756" s="6" t="s">
        <v>16</v>
      </c>
      <c r="F1756" s="6" t="s">
        <v>281</v>
      </c>
      <c r="G1756" s="4">
        <v>29933</v>
      </c>
      <c r="H1756" s="6" t="s">
        <v>45</v>
      </c>
      <c r="I1756">
        <v>126</v>
      </c>
      <c r="J1756">
        <v>2</v>
      </c>
      <c r="K1756">
        <v>207</v>
      </c>
      <c r="L1756" s="6" t="s">
        <v>19</v>
      </c>
      <c r="M1756" s="6" t="s">
        <v>32</v>
      </c>
      <c r="N1756" s="6" t="s">
        <v>56</v>
      </c>
    </row>
    <row r="1757" spans="1:14" x14ac:dyDescent="0.25">
      <c r="A1757" s="6" t="s">
        <v>2493</v>
      </c>
      <c r="B1757" s="4">
        <v>45637</v>
      </c>
      <c r="C1757" s="6" t="s">
        <v>2796</v>
      </c>
      <c r="D1757" s="7">
        <v>0.59583333333333333</v>
      </c>
      <c r="E1757" s="6" t="s">
        <v>16</v>
      </c>
      <c r="F1757" s="6" t="s">
        <v>17</v>
      </c>
      <c r="G1757" s="4">
        <v>38252</v>
      </c>
      <c r="H1757" s="6" t="s">
        <v>199</v>
      </c>
      <c r="I1757">
        <v>171</v>
      </c>
      <c r="J1757">
        <v>1</v>
      </c>
      <c r="K1757">
        <v>171</v>
      </c>
      <c r="L1757" s="6" t="s">
        <v>19</v>
      </c>
      <c r="M1757" s="6" t="s">
        <v>47</v>
      </c>
      <c r="N1757" s="6" t="s">
        <v>48</v>
      </c>
    </row>
    <row r="1758" spans="1:14" x14ac:dyDescent="0.25">
      <c r="A1758" s="6" t="s">
        <v>2494</v>
      </c>
      <c r="B1758" s="4">
        <v>45936</v>
      </c>
      <c r="C1758" s="6" t="s">
        <v>2791</v>
      </c>
      <c r="D1758" s="7">
        <v>0.56597222222222221</v>
      </c>
      <c r="E1758" s="6" t="s">
        <v>16</v>
      </c>
      <c r="F1758" s="6" t="s">
        <v>397</v>
      </c>
      <c r="G1758" s="4">
        <v>32518</v>
      </c>
      <c r="H1758" s="6" t="s">
        <v>213</v>
      </c>
      <c r="I1758">
        <v>330</v>
      </c>
      <c r="J1758">
        <v>3</v>
      </c>
      <c r="L1758" s="6" t="s">
        <v>2787</v>
      </c>
      <c r="M1758" s="6" t="s">
        <v>32</v>
      </c>
      <c r="N1758" s="6" t="s">
        <v>48</v>
      </c>
    </row>
    <row r="1759" spans="1:14" x14ac:dyDescent="0.25">
      <c r="A1759" s="6" t="s">
        <v>2496</v>
      </c>
      <c r="B1759" s="4">
        <v>45775</v>
      </c>
      <c r="C1759" s="6" t="s">
        <v>2801</v>
      </c>
      <c r="D1759" s="7">
        <v>0.95625000000000004</v>
      </c>
      <c r="E1759" s="6" t="s">
        <v>16</v>
      </c>
      <c r="F1759" s="6" t="s">
        <v>211</v>
      </c>
      <c r="G1759" s="4">
        <v>32429</v>
      </c>
      <c r="H1759" s="6" t="s">
        <v>24</v>
      </c>
      <c r="I1759">
        <v>271</v>
      </c>
      <c r="J1759">
        <v>3</v>
      </c>
      <c r="K1759">
        <v>813</v>
      </c>
      <c r="L1759" s="6" t="s">
        <v>2787</v>
      </c>
      <c r="M1759" s="6" t="s">
        <v>20</v>
      </c>
      <c r="N1759" s="6" t="s">
        <v>48</v>
      </c>
    </row>
    <row r="1760" spans="1:14" x14ac:dyDescent="0.25">
      <c r="A1760" s="6" t="s">
        <v>2497</v>
      </c>
      <c r="B1760" s="4">
        <v>45831</v>
      </c>
      <c r="C1760" s="6" t="s">
        <v>2800</v>
      </c>
      <c r="D1760" s="7">
        <v>0.81666666666666665</v>
      </c>
      <c r="E1760" s="6" t="s">
        <v>16</v>
      </c>
      <c r="F1760" s="6" t="s">
        <v>211</v>
      </c>
      <c r="G1760" s="4">
        <v>35039</v>
      </c>
      <c r="H1760" s="6" t="s">
        <v>93</v>
      </c>
      <c r="I1760">
        <v>197</v>
      </c>
      <c r="J1760">
        <v>1</v>
      </c>
      <c r="K1760">
        <v>198</v>
      </c>
      <c r="L1760" s="6" t="s">
        <v>19</v>
      </c>
      <c r="M1760" s="6" t="s">
        <v>32</v>
      </c>
      <c r="N1760" s="6" t="s">
        <v>74</v>
      </c>
    </row>
    <row r="1761" spans="1:14" x14ac:dyDescent="0.25">
      <c r="A1761" s="6" t="s">
        <v>2498</v>
      </c>
      <c r="B1761" s="4">
        <v>45812</v>
      </c>
      <c r="C1761" s="6" t="s">
        <v>2800</v>
      </c>
      <c r="D1761" s="7">
        <v>0.65694444444444444</v>
      </c>
      <c r="E1761" s="6" t="s">
        <v>16</v>
      </c>
      <c r="F1761" s="6" t="s">
        <v>163</v>
      </c>
      <c r="G1761" s="4">
        <v>29592</v>
      </c>
      <c r="H1761" s="6" t="s">
        <v>60</v>
      </c>
      <c r="I1761">
        <v>154</v>
      </c>
      <c r="J1761">
        <v>2</v>
      </c>
      <c r="L1761" s="6" t="s">
        <v>19</v>
      </c>
      <c r="M1761" s="6" t="s">
        <v>37</v>
      </c>
      <c r="N1761" s="6" t="s">
        <v>105</v>
      </c>
    </row>
    <row r="1762" spans="1:14" x14ac:dyDescent="0.25">
      <c r="A1762" s="6" t="s">
        <v>2500</v>
      </c>
      <c r="B1762" s="4">
        <v>45960</v>
      </c>
      <c r="C1762" s="6" t="s">
        <v>2791</v>
      </c>
      <c r="D1762" s="7">
        <v>0.88680555555555551</v>
      </c>
      <c r="E1762" s="6" t="s">
        <v>16</v>
      </c>
      <c r="F1762" s="6" t="s">
        <v>39</v>
      </c>
      <c r="G1762" s="4">
        <v>36691</v>
      </c>
      <c r="H1762" s="6" t="s">
        <v>30</v>
      </c>
      <c r="I1762">
        <v>302</v>
      </c>
      <c r="J1762">
        <v>3</v>
      </c>
      <c r="K1762">
        <v>908</v>
      </c>
      <c r="L1762" s="6" t="s">
        <v>54</v>
      </c>
      <c r="M1762" s="6" t="s">
        <v>61</v>
      </c>
      <c r="N1762" s="6" t="s">
        <v>105</v>
      </c>
    </row>
    <row r="1763" spans="1:14" x14ac:dyDescent="0.25">
      <c r="A1763" s="6" t="s">
        <v>2501</v>
      </c>
      <c r="B1763" s="4">
        <v>45800</v>
      </c>
      <c r="C1763" s="6" t="s">
        <v>2792</v>
      </c>
      <c r="D1763" s="7">
        <v>0.70138888888888884</v>
      </c>
      <c r="E1763" s="6" t="s">
        <v>16</v>
      </c>
      <c r="F1763" s="6" t="s">
        <v>451</v>
      </c>
      <c r="G1763" s="4">
        <v>32662</v>
      </c>
      <c r="H1763" s="6" t="s">
        <v>110</v>
      </c>
      <c r="I1763">
        <v>109</v>
      </c>
      <c r="J1763">
        <v>1</v>
      </c>
      <c r="K1763">
        <v>109</v>
      </c>
      <c r="L1763" s="6" t="s">
        <v>67</v>
      </c>
      <c r="M1763" s="6" t="s">
        <v>32</v>
      </c>
      <c r="N1763" s="6" t="s">
        <v>21</v>
      </c>
    </row>
    <row r="1764" spans="1:14" x14ac:dyDescent="0.25">
      <c r="A1764" s="6" t="s">
        <v>2502</v>
      </c>
      <c r="B1764" s="4">
        <v>45661</v>
      </c>
      <c r="C1764" s="6" t="s">
        <v>2794</v>
      </c>
      <c r="D1764" s="7">
        <v>0.76753472222222219</v>
      </c>
      <c r="E1764" s="6" t="s">
        <v>16</v>
      </c>
      <c r="F1764" s="6" t="s">
        <v>494</v>
      </c>
      <c r="G1764" s="4">
        <v>36846</v>
      </c>
      <c r="H1764" s="6" t="s">
        <v>36</v>
      </c>
      <c r="I1764">
        <v>159</v>
      </c>
      <c r="J1764">
        <v>1</v>
      </c>
      <c r="K1764">
        <v>160</v>
      </c>
      <c r="L1764" s="6" t="s">
        <v>41</v>
      </c>
      <c r="M1764" s="6" t="s">
        <v>55</v>
      </c>
      <c r="N1764" s="6" t="s">
        <v>74</v>
      </c>
    </row>
    <row r="1765" spans="1:14" x14ac:dyDescent="0.25">
      <c r="A1765" s="6" t="s">
        <v>2503</v>
      </c>
      <c r="B1765" s="4">
        <v>45958</v>
      </c>
      <c r="C1765" s="6" t="s">
        <v>2791</v>
      </c>
      <c r="D1765" s="7">
        <v>0.73802083333333335</v>
      </c>
      <c r="E1765" s="6" t="s">
        <v>16</v>
      </c>
      <c r="F1765" s="6" t="s">
        <v>279</v>
      </c>
      <c r="G1765" s="4">
        <v>26264</v>
      </c>
      <c r="H1765" s="6" t="s">
        <v>164</v>
      </c>
      <c r="I1765">
        <v>286</v>
      </c>
      <c r="J1765">
        <v>2</v>
      </c>
      <c r="K1765">
        <v>573</v>
      </c>
      <c r="L1765" s="6" t="s">
        <v>2787</v>
      </c>
      <c r="M1765" s="6" t="s">
        <v>26</v>
      </c>
      <c r="N1765" s="6" t="s">
        <v>33</v>
      </c>
    </row>
    <row r="1766" spans="1:14" x14ac:dyDescent="0.25">
      <c r="A1766" s="6" t="s">
        <v>2504</v>
      </c>
      <c r="B1766" s="4">
        <v>45981</v>
      </c>
      <c r="C1766" s="6" t="s">
        <v>2802</v>
      </c>
      <c r="D1766" s="7">
        <v>0.79374999999999996</v>
      </c>
      <c r="E1766" s="6" t="s">
        <v>16</v>
      </c>
      <c r="F1766" s="6" t="s">
        <v>131</v>
      </c>
      <c r="G1766" s="4">
        <v>28073</v>
      </c>
      <c r="H1766" s="6" t="s">
        <v>199</v>
      </c>
      <c r="I1766">
        <v>233</v>
      </c>
      <c r="J1766">
        <v>2</v>
      </c>
      <c r="K1766">
        <v>468</v>
      </c>
      <c r="L1766" s="6" t="s">
        <v>41</v>
      </c>
      <c r="M1766" s="6" t="s">
        <v>20</v>
      </c>
      <c r="N1766" s="6" t="s">
        <v>48</v>
      </c>
    </row>
    <row r="1767" spans="1:14" x14ac:dyDescent="0.25">
      <c r="A1767" s="6" t="s">
        <v>2505</v>
      </c>
      <c r="B1767" s="4">
        <v>45656</v>
      </c>
      <c r="C1767" s="6" t="s">
        <v>2796</v>
      </c>
      <c r="D1767" s="7">
        <v>0.70651620370370372</v>
      </c>
      <c r="E1767" s="6" t="s">
        <v>16</v>
      </c>
      <c r="F1767" s="6" t="s">
        <v>770</v>
      </c>
      <c r="G1767" s="4">
        <v>35896</v>
      </c>
      <c r="H1767" s="6" t="s">
        <v>178</v>
      </c>
      <c r="I1767">
        <v>324</v>
      </c>
      <c r="J1767">
        <v>2</v>
      </c>
      <c r="K1767">
        <v>650</v>
      </c>
      <c r="L1767" s="6" t="s">
        <v>2787</v>
      </c>
      <c r="M1767" s="6" t="s">
        <v>61</v>
      </c>
      <c r="N1767" s="6" t="s">
        <v>56</v>
      </c>
    </row>
    <row r="1768" spans="1:14" x14ac:dyDescent="0.25">
      <c r="A1768" s="6" t="s">
        <v>2506</v>
      </c>
      <c r="B1768" s="4">
        <v>45787</v>
      </c>
      <c r="C1768" s="6" t="s">
        <v>2792</v>
      </c>
      <c r="D1768" s="7">
        <v>0.5541666666666667</v>
      </c>
      <c r="E1768" s="6" t="s">
        <v>16</v>
      </c>
      <c r="F1768" s="6" t="s">
        <v>39</v>
      </c>
      <c r="G1768" s="4">
        <v>39485</v>
      </c>
      <c r="H1768" s="6" t="s">
        <v>73</v>
      </c>
      <c r="I1768">
        <v>43</v>
      </c>
      <c r="J1768">
        <v>3</v>
      </c>
      <c r="K1768">
        <v>131</v>
      </c>
      <c r="L1768" s="6" t="s">
        <v>2787</v>
      </c>
      <c r="M1768" s="6" t="s">
        <v>47</v>
      </c>
      <c r="N1768" s="6" t="s">
        <v>27</v>
      </c>
    </row>
    <row r="1769" spans="1:14" x14ac:dyDescent="0.25">
      <c r="A1769" s="6" t="s">
        <v>2508</v>
      </c>
      <c r="B1769" s="4">
        <v>45912</v>
      </c>
      <c r="C1769" s="6" t="s">
        <v>2797</v>
      </c>
      <c r="D1769" s="7">
        <v>0.64741898148148147</v>
      </c>
      <c r="E1769" s="6" t="s">
        <v>16</v>
      </c>
      <c r="F1769" s="6" t="s">
        <v>194</v>
      </c>
      <c r="G1769" s="4">
        <v>30165</v>
      </c>
      <c r="H1769" s="6" t="s">
        <v>40</v>
      </c>
      <c r="I1769">
        <v>200</v>
      </c>
      <c r="J1769">
        <v>2</v>
      </c>
      <c r="K1769">
        <v>402</v>
      </c>
      <c r="L1769" s="6" t="s">
        <v>54</v>
      </c>
      <c r="M1769" s="6" t="s">
        <v>20</v>
      </c>
      <c r="N1769" s="6" t="s">
        <v>27</v>
      </c>
    </row>
    <row r="1770" spans="1:14" x14ac:dyDescent="0.25">
      <c r="A1770" s="6" t="s">
        <v>2509</v>
      </c>
      <c r="B1770" s="4">
        <v>45834</v>
      </c>
      <c r="C1770" s="6" t="s">
        <v>2800</v>
      </c>
      <c r="D1770" s="7">
        <v>0.7895833333333333</v>
      </c>
      <c r="E1770" s="6" t="s">
        <v>16</v>
      </c>
      <c r="F1770" s="6" t="s">
        <v>138</v>
      </c>
      <c r="G1770" s="4">
        <v>31910</v>
      </c>
      <c r="H1770" s="6" t="s">
        <v>213</v>
      </c>
      <c r="I1770">
        <v>323</v>
      </c>
      <c r="J1770">
        <v>3</v>
      </c>
      <c r="K1770">
        <v>970</v>
      </c>
      <c r="L1770" s="6" t="s">
        <v>54</v>
      </c>
      <c r="M1770" s="6" t="s">
        <v>26</v>
      </c>
      <c r="N1770" s="6" t="s">
        <v>21</v>
      </c>
    </row>
    <row r="1771" spans="1:14" x14ac:dyDescent="0.25">
      <c r="A1771" s="6" t="s">
        <v>2511</v>
      </c>
      <c r="B1771" s="4">
        <v>45690</v>
      </c>
      <c r="C1771" s="6" t="s">
        <v>2799</v>
      </c>
      <c r="D1771" s="7">
        <v>0.9194444444444444</v>
      </c>
      <c r="E1771" s="6" t="s">
        <v>16</v>
      </c>
      <c r="F1771" s="6" t="s">
        <v>229</v>
      </c>
      <c r="G1771" s="4">
        <v>27497</v>
      </c>
      <c r="H1771" s="6" t="s">
        <v>36</v>
      </c>
      <c r="I1771">
        <v>245</v>
      </c>
      <c r="J1771">
        <v>2</v>
      </c>
      <c r="K1771">
        <v>491</v>
      </c>
      <c r="L1771" s="6" t="s">
        <v>54</v>
      </c>
      <c r="M1771" s="6" t="s">
        <v>55</v>
      </c>
      <c r="N1771" s="6" t="s">
        <v>33</v>
      </c>
    </row>
    <row r="1772" spans="1:14" x14ac:dyDescent="0.25">
      <c r="A1772" s="6" t="s">
        <v>2512</v>
      </c>
      <c r="B1772" s="4">
        <v>45707</v>
      </c>
      <c r="C1772" s="6" t="s">
        <v>2799</v>
      </c>
      <c r="D1772" s="7">
        <v>0.43767361111111114</v>
      </c>
      <c r="E1772" s="6" t="s">
        <v>16</v>
      </c>
      <c r="F1772" s="6" t="s">
        <v>240</v>
      </c>
      <c r="G1772" s="4">
        <v>35651</v>
      </c>
      <c r="H1772" s="6" t="s">
        <v>85</v>
      </c>
      <c r="I1772">
        <v>235</v>
      </c>
      <c r="J1772">
        <v>2</v>
      </c>
      <c r="K1772">
        <v>471</v>
      </c>
      <c r="L1772" s="6" t="s">
        <v>54</v>
      </c>
      <c r="M1772" s="6" t="s">
        <v>47</v>
      </c>
      <c r="N1772" s="6" t="s">
        <v>105</v>
      </c>
    </row>
    <row r="1773" spans="1:14" x14ac:dyDescent="0.25">
      <c r="A1773" s="6" t="s">
        <v>2514</v>
      </c>
      <c r="B1773" s="4">
        <v>45799</v>
      </c>
      <c r="C1773" s="6" t="s">
        <v>2792</v>
      </c>
      <c r="D1773" s="7">
        <v>0.48541666666666666</v>
      </c>
      <c r="E1773" s="6" t="s">
        <v>16</v>
      </c>
      <c r="F1773" s="6" t="s">
        <v>264</v>
      </c>
      <c r="G1773" s="4">
        <v>38051</v>
      </c>
      <c r="H1773" s="6" t="s">
        <v>93</v>
      </c>
      <c r="I1773">
        <v>183</v>
      </c>
      <c r="J1773">
        <v>1</v>
      </c>
      <c r="K1773">
        <v>202</v>
      </c>
      <c r="L1773" s="6" t="s">
        <v>19</v>
      </c>
      <c r="M1773" s="6" t="s">
        <v>37</v>
      </c>
      <c r="N1773" s="6" t="s">
        <v>56</v>
      </c>
    </row>
    <row r="1774" spans="1:14" x14ac:dyDescent="0.25">
      <c r="A1774" s="6" t="s">
        <v>2515</v>
      </c>
      <c r="B1774" s="4">
        <v>45799</v>
      </c>
      <c r="C1774" s="6" t="s">
        <v>2792</v>
      </c>
      <c r="D1774" s="7">
        <v>0.68611111111111112</v>
      </c>
      <c r="E1774" s="6" t="s">
        <v>16</v>
      </c>
      <c r="F1774" s="6" t="s">
        <v>98</v>
      </c>
      <c r="G1774" s="4">
        <v>29715</v>
      </c>
      <c r="H1774" s="6" t="s">
        <v>129</v>
      </c>
      <c r="I1774">
        <v>196</v>
      </c>
      <c r="J1774">
        <v>2</v>
      </c>
      <c r="K1774">
        <v>393</v>
      </c>
      <c r="L1774" s="6" t="s">
        <v>67</v>
      </c>
      <c r="M1774" s="6" t="s">
        <v>26</v>
      </c>
      <c r="N1774" s="6" t="s">
        <v>105</v>
      </c>
    </row>
    <row r="1775" spans="1:14" x14ac:dyDescent="0.25">
      <c r="A1775" s="6" t="s">
        <v>2516</v>
      </c>
      <c r="B1775" s="4">
        <v>45683</v>
      </c>
      <c r="C1775" s="6" t="s">
        <v>2794</v>
      </c>
      <c r="D1775" s="7">
        <v>0.9291666666666667</v>
      </c>
      <c r="E1775" s="6" t="s">
        <v>16</v>
      </c>
      <c r="F1775" s="6" t="s">
        <v>131</v>
      </c>
      <c r="G1775" s="4">
        <v>31975</v>
      </c>
      <c r="H1775" s="6" t="s">
        <v>30</v>
      </c>
      <c r="I1775">
        <v>305</v>
      </c>
      <c r="J1775">
        <v>2</v>
      </c>
      <c r="K1775">
        <v>611</v>
      </c>
      <c r="L1775" s="6" t="s">
        <v>67</v>
      </c>
      <c r="M1775" s="6" t="s">
        <v>26</v>
      </c>
      <c r="N1775" s="6" t="s">
        <v>27</v>
      </c>
    </row>
    <row r="1776" spans="1:14" x14ac:dyDescent="0.25">
      <c r="A1776" s="6" t="s">
        <v>2517</v>
      </c>
      <c r="B1776" s="4">
        <v>45816</v>
      </c>
      <c r="C1776" s="6" t="s">
        <v>2800</v>
      </c>
      <c r="D1776" s="7">
        <v>0.875</v>
      </c>
      <c r="E1776" s="6" t="s">
        <v>16</v>
      </c>
      <c r="F1776" s="6" t="s">
        <v>189</v>
      </c>
      <c r="G1776" s="4">
        <v>37865</v>
      </c>
      <c r="H1776" s="6" t="s">
        <v>60</v>
      </c>
      <c r="I1776">
        <v>73</v>
      </c>
      <c r="J1776">
        <v>1</v>
      </c>
      <c r="K1776">
        <v>74</v>
      </c>
      <c r="L1776" s="6" t="s">
        <v>2787</v>
      </c>
      <c r="M1776" s="6" t="s">
        <v>47</v>
      </c>
      <c r="N1776" s="6" t="s">
        <v>33</v>
      </c>
    </row>
    <row r="1777" spans="1:14" x14ac:dyDescent="0.25">
      <c r="A1777" s="6" t="s">
        <v>2518</v>
      </c>
      <c r="B1777" s="4">
        <v>45793</v>
      </c>
      <c r="C1777" s="6" t="s">
        <v>2792</v>
      </c>
      <c r="D1777" s="7">
        <v>0.80625000000000002</v>
      </c>
      <c r="E1777" s="6" t="s">
        <v>16</v>
      </c>
      <c r="F1777" s="6" t="s">
        <v>458</v>
      </c>
      <c r="G1777" s="4">
        <v>37469</v>
      </c>
      <c r="H1777" s="6" t="s">
        <v>93</v>
      </c>
      <c r="I1777">
        <v>236</v>
      </c>
      <c r="J1777">
        <v>2</v>
      </c>
      <c r="K1777">
        <v>474</v>
      </c>
      <c r="L1777" s="6" t="s">
        <v>54</v>
      </c>
      <c r="M1777" s="6" t="s">
        <v>89</v>
      </c>
      <c r="N1777" s="6" t="s">
        <v>74</v>
      </c>
    </row>
    <row r="1778" spans="1:14" x14ac:dyDescent="0.25">
      <c r="A1778" s="6" t="s">
        <v>2519</v>
      </c>
      <c r="B1778" s="4">
        <v>45813</v>
      </c>
      <c r="C1778" s="6" t="s">
        <v>2800</v>
      </c>
      <c r="D1778" s="7">
        <v>0.49513888888888891</v>
      </c>
      <c r="E1778" s="6" t="s">
        <v>16</v>
      </c>
      <c r="F1778" s="6" t="s">
        <v>420</v>
      </c>
      <c r="G1778" s="4">
        <v>31651</v>
      </c>
      <c r="H1778" s="6" t="s">
        <v>30</v>
      </c>
      <c r="I1778">
        <v>272</v>
      </c>
      <c r="J1778">
        <v>2</v>
      </c>
      <c r="K1778">
        <v>545</v>
      </c>
      <c r="L1778" s="6" t="s">
        <v>54</v>
      </c>
      <c r="M1778" s="6" t="s">
        <v>37</v>
      </c>
      <c r="N1778" s="6" t="s">
        <v>74</v>
      </c>
    </row>
    <row r="1779" spans="1:14" x14ac:dyDescent="0.25">
      <c r="A1779" s="6" t="s">
        <v>2520</v>
      </c>
      <c r="B1779" s="4">
        <v>45717</v>
      </c>
      <c r="C1779" s="6" t="s">
        <v>2798</v>
      </c>
      <c r="D1779" s="7">
        <v>0.57847222222222228</v>
      </c>
      <c r="E1779" s="6" t="s">
        <v>16</v>
      </c>
      <c r="F1779" s="6" t="s">
        <v>471</v>
      </c>
      <c r="G1779" s="4">
        <v>34794</v>
      </c>
      <c r="H1779" s="6" t="s">
        <v>93</v>
      </c>
      <c r="I1779">
        <v>224</v>
      </c>
      <c r="J1779">
        <v>2</v>
      </c>
      <c r="K1779">
        <v>450</v>
      </c>
      <c r="L1779" s="6" t="s">
        <v>41</v>
      </c>
      <c r="M1779" s="6" t="s">
        <v>20</v>
      </c>
      <c r="N1779" s="6" t="s">
        <v>74</v>
      </c>
    </row>
    <row r="1780" spans="1:14" x14ac:dyDescent="0.25">
      <c r="A1780" s="6" t="s">
        <v>2521</v>
      </c>
      <c r="B1780" s="4">
        <v>45820</v>
      </c>
      <c r="C1780" s="6" t="s">
        <v>2800</v>
      </c>
      <c r="D1780" s="7">
        <v>0.69374999999999998</v>
      </c>
      <c r="E1780" s="6" t="s">
        <v>16</v>
      </c>
      <c r="F1780" s="6" t="s">
        <v>389</v>
      </c>
      <c r="G1780" s="4">
        <v>34794</v>
      </c>
      <c r="H1780" s="6" t="s">
        <v>126</v>
      </c>
      <c r="I1780">
        <v>211</v>
      </c>
      <c r="J1780">
        <v>2</v>
      </c>
      <c r="K1780">
        <v>422</v>
      </c>
      <c r="L1780" s="6" t="s">
        <v>67</v>
      </c>
      <c r="M1780" s="6" t="s">
        <v>37</v>
      </c>
      <c r="N1780" s="6" t="s">
        <v>27</v>
      </c>
    </row>
    <row r="1781" spans="1:14" x14ac:dyDescent="0.25">
      <c r="A1781" s="6" t="s">
        <v>2522</v>
      </c>
      <c r="B1781" s="4">
        <v>45783</v>
      </c>
      <c r="C1781" s="6" t="s">
        <v>2792</v>
      </c>
      <c r="D1781" s="7">
        <v>0.5625</v>
      </c>
      <c r="E1781" s="6" t="s">
        <v>16</v>
      </c>
      <c r="F1781" s="6" t="s">
        <v>128</v>
      </c>
      <c r="G1781" s="4">
        <v>31178</v>
      </c>
      <c r="H1781" s="6" t="s">
        <v>243</v>
      </c>
      <c r="I1781">
        <v>140</v>
      </c>
      <c r="J1781">
        <v>2</v>
      </c>
      <c r="K1781">
        <v>281</v>
      </c>
      <c r="L1781" s="6" t="s">
        <v>19</v>
      </c>
      <c r="M1781" s="6" t="s">
        <v>20</v>
      </c>
      <c r="N1781" s="6" t="s">
        <v>27</v>
      </c>
    </row>
    <row r="1782" spans="1:14" x14ac:dyDescent="0.25">
      <c r="A1782" s="6" t="s">
        <v>2523</v>
      </c>
      <c r="B1782" s="4">
        <v>45946</v>
      </c>
      <c r="C1782" s="6" t="s">
        <v>2791</v>
      </c>
      <c r="D1782" s="7">
        <v>0.82499999999999996</v>
      </c>
      <c r="E1782" s="6" t="s">
        <v>16</v>
      </c>
      <c r="F1782" s="6" t="s">
        <v>628</v>
      </c>
      <c r="G1782" s="4">
        <v>38758</v>
      </c>
      <c r="H1782" s="6" t="s">
        <v>164</v>
      </c>
      <c r="I1782">
        <v>358</v>
      </c>
      <c r="J1782">
        <v>2</v>
      </c>
      <c r="K1782">
        <v>717</v>
      </c>
      <c r="L1782" s="6" t="s">
        <v>19</v>
      </c>
      <c r="M1782" s="6" t="s">
        <v>26</v>
      </c>
      <c r="N1782" s="6" t="s">
        <v>33</v>
      </c>
    </row>
    <row r="1783" spans="1:14" x14ac:dyDescent="0.25">
      <c r="A1783" s="6" t="s">
        <v>2524</v>
      </c>
      <c r="B1783" s="4">
        <v>45673</v>
      </c>
      <c r="C1783" s="6" t="s">
        <v>2794</v>
      </c>
      <c r="D1783" s="7">
        <v>0.90694444444444444</v>
      </c>
      <c r="E1783" s="6" t="s">
        <v>16</v>
      </c>
      <c r="F1783" s="6" t="s">
        <v>1580</v>
      </c>
      <c r="G1783" s="4">
        <v>31906</v>
      </c>
      <c r="H1783" s="6" t="s">
        <v>202</v>
      </c>
      <c r="I1783">
        <v>94</v>
      </c>
      <c r="J1783">
        <v>1</v>
      </c>
      <c r="K1783">
        <v>94</v>
      </c>
      <c r="L1783" s="6" t="s">
        <v>41</v>
      </c>
      <c r="M1783" s="6" t="s">
        <v>89</v>
      </c>
      <c r="N1783" s="6" t="s">
        <v>56</v>
      </c>
    </row>
    <row r="1784" spans="1:14" x14ac:dyDescent="0.25">
      <c r="A1784" s="6" t="s">
        <v>2525</v>
      </c>
      <c r="B1784" s="4">
        <v>45849</v>
      </c>
      <c r="C1784" s="6" t="s">
        <v>2795</v>
      </c>
      <c r="D1784" s="7">
        <v>0.99375000000000002</v>
      </c>
      <c r="E1784" s="6" t="s">
        <v>16</v>
      </c>
      <c r="F1784" s="6" t="s">
        <v>425</v>
      </c>
      <c r="G1784" s="4">
        <v>35588</v>
      </c>
      <c r="H1784" s="6" t="s">
        <v>164</v>
      </c>
      <c r="I1784">
        <v>257</v>
      </c>
      <c r="J1784">
        <v>2</v>
      </c>
      <c r="K1784">
        <v>516</v>
      </c>
      <c r="L1784" s="6" t="s">
        <v>54</v>
      </c>
      <c r="M1784" s="6" t="s">
        <v>20</v>
      </c>
      <c r="N1784" s="6" t="s">
        <v>105</v>
      </c>
    </row>
    <row r="1785" spans="1:14" x14ac:dyDescent="0.25">
      <c r="A1785" s="6" t="s">
        <v>2526</v>
      </c>
      <c r="B1785" s="4">
        <v>45770</v>
      </c>
      <c r="C1785" s="6" t="s">
        <v>2801</v>
      </c>
      <c r="D1785" s="7">
        <v>0.82777777777777772</v>
      </c>
      <c r="E1785" s="6" t="s">
        <v>16</v>
      </c>
      <c r="F1785" s="6" t="s">
        <v>332</v>
      </c>
      <c r="G1785" s="4">
        <v>27817</v>
      </c>
      <c r="H1785" s="6" t="s">
        <v>126</v>
      </c>
      <c r="I1785">
        <v>250</v>
      </c>
      <c r="J1785">
        <v>2</v>
      </c>
      <c r="K1785">
        <v>502</v>
      </c>
      <c r="L1785" s="6" t="s">
        <v>41</v>
      </c>
      <c r="M1785" s="6" t="s">
        <v>47</v>
      </c>
      <c r="N1785" s="6" t="s">
        <v>21</v>
      </c>
    </row>
    <row r="1786" spans="1:14" x14ac:dyDescent="0.25">
      <c r="A1786" s="6" t="s">
        <v>2527</v>
      </c>
      <c r="B1786" s="4">
        <v>45751</v>
      </c>
      <c r="C1786" s="6" t="s">
        <v>2801</v>
      </c>
      <c r="D1786" s="7">
        <v>0.77820601851851856</v>
      </c>
      <c r="E1786" s="6" t="s">
        <v>16</v>
      </c>
      <c r="F1786" s="6" t="s">
        <v>659</v>
      </c>
      <c r="G1786" s="4">
        <v>36698</v>
      </c>
      <c r="H1786" s="6" t="s">
        <v>213</v>
      </c>
      <c r="I1786">
        <v>165</v>
      </c>
      <c r="J1786">
        <v>3</v>
      </c>
      <c r="K1786">
        <v>497</v>
      </c>
      <c r="L1786" s="6" t="s">
        <v>19</v>
      </c>
      <c r="M1786" s="6" t="s">
        <v>47</v>
      </c>
      <c r="N1786" s="6" t="s">
        <v>105</v>
      </c>
    </row>
    <row r="1787" spans="1:14" x14ac:dyDescent="0.25">
      <c r="A1787" s="6" t="s">
        <v>2528</v>
      </c>
      <c r="B1787" s="4">
        <v>45622</v>
      </c>
      <c r="C1787" s="6" t="s">
        <v>2802</v>
      </c>
      <c r="D1787" s="7">
        <v>0.75208333333333333</v>
      </c>
      <c r="E1787" s="6" t="s">
        <v>16</v>
      </c>
      <c r="F1787" s="6" t="s">
        <v>29</v>
      </c>
      <c r="G1787" s="4">
        <v>40277</v>
      </c>
      <c r="H1787" s="6" t="s">
        <v>18</v>
      </c>
      <c r="I1787">
        <v>83</v>
      </c>
      <c r="J1787">
        <v>2</v>
      </c>
      <c r="K1787">
        <v>167</v>
      </c>
      <c r="L1787" s="6" t="s">
        <v>19</v>
      </c>
      <c r="M1787" s="6" t="s">
        <v>61</v>
      </c>
      <c r="N1787" s="6" t="s">
        <v>105</v>
      </c>
    </row>
    <row r="1788" spans="1:14" x14ac:dyDescent="0.25">
      <c r="A1788" s="6" t="s">
        <v>2529</v>
      </c>
      <c r="B1788" s="4">
        <v>45724</v>
      </c>
      <c r="C1788" s="6" t="s">
        <v>2798</v>
      </c>
      <c r="D1788" s="7">
        <v>0.82847222222222228</v>
      </c>
      <c r="E1788" s="6" t="s">
        <v>16</v>
      </c>
      <c r="F1788" s="6" t="s">
        <v>39</v>
      </c>
      <c r="G1788" s="4">
        <v>38396</v>
      </c>
      <c r="H1788" s="6" t="s">
        <v>104</v>
      </c>
      <c r="I1788">
        <v>216</v>
      </c>
      <c r="J1788">
        <v>2</v>
      </c>
      <c r="K1788">
        <v>434</v>
      </c>
      <c r="L1788" s="6" t="s">
        <v>2787</v>
      </c>
      <c r="M1788" s="6" t="s">
        <v>26</v>
      </c>
      <c r="N1788" s="6" t="s">
        <v>105</v>
      </c>
    </row>
    <row r="1789" spans="1:14" x14ac:dyDescent="0.25">
      <c r="A1789" s="6" t="s">
        <v>2530</v>
      </c>
      <c r="B1789" s="4">
        <v>45937</v>
      </c>
      <c r="C1789" s="6" t="s">
        <v>2791</v>
      </c>
      <c r="D1789" s="7">
        <v>0.85624999999999996</v>
      </c>
      <c r="E1789" s="6" t="s">
        <v>16</v>
      </c>
      <c r="F1789" s="6" t="s">
        <v>66</v>
      </c>
      <c r="G1789" s="4">
        <v>27492</v>
      </c>
      <c r="H1789" s="6" t="s">
        <v>45</v>
      </c>
      <c r="I1789">
        <v>109</v>
      </c>
      <c r="J1789">
        <v>3</v>
      </c>
      <c r="K1789">
        <v>327</v>
      </c>
      <c r="L1789" s="6" t="s">
        <v>19</v>
      </c>
      <c r="M1789" s="6" t="s">
        <v>37</v>
      </c>
      <c r="N1789" s="6" t="s">
        <v>105</v>
      </c>
    </row>
    <row r="1790" spans="1:14" x14ac:dyDescent="0.25">
      <c r="A1790" s="6" t="s">
        <v>2531</v>
      </c>
      <c r="B1790" s="4">
        <v>45868</v>
      </c>
      <c r="C1790" s="6" t="s">
        <v>2795</v>
      </c>
      <c r="D1790" s="7">
        <v>0.59422453703703704</v>
      </c>
      <c r="E1790" s="6" t="s">
        <v>16</v>
      </c>
      <c r="F1790" s="6" t="s">
        <v>131</v>
      </c>
      <c r="G1790" s="4">
        <v>27296</v>
      </c>
      <c r="H1790" s="6" t="s">
        <v>40</v>
      </c>
      <c r="I1790">
        <v>229</v>
      </c>
      <c r="J1790">
        <v>2</v>
      </c>
      <c r="K1790">
        <v>460</v>
      </c>
      <c r="L1790" s="6" t="s">
        <v>19</v>
      </c>
      <c r="M1790" s="6" t="s">
        <v>89</v>
      </c>
      <c r="N1790" s="6" t="s">
        <v>105</v>
      </c>
    </row>
    <row r="1791" spans="1:14" x14ac:dyDescent="0.25">
      <c r="A1791" s="6" t="s">
        <v>2532</v>
      </c>
      <c r="B1791" s="4">
        <v>45853</v>
      </c>
      <c r="C1791" s="6" t="s">
        <v>2795</v>
      </c>
      <c r="D1791" s="7">
        <v>0.7993055555555556</v>
      </c>
      <c r="E1791" s="6" t="s">
        <v>16</v>
      </c>
      <c r="F1791" s="6" t="s">
        <v>154</v>
      </c>
      <c r="G1791" s="4">
        <v>30930</v>
      </c>
      <c r="H1791" s="6" t="s">
        <v>45</v>
      </c>
      <c r="I1791">
        <v>112</v>
      </c>
      <c r="J1791">
        <v>3</v>
      </c>
      <c r="K1791">
        <v>337</v>
      </c>
      <c r="L1791" s="6" t="s">
        <v>19</v>
      </c>
      <c r="M1791" s="6" t="s">
        <v>61</v>
      </c>
      <c r="N1791" s="6" t="s">
        <v>105</v>
      </c>
    </row>
    <row r="1792" spans="1:14" x14ac:dyDescent="0.25">
      <c r="A1792" s="6" t="s">
        <v>2533</v>
      </c>
      <c r="B1792" s="4">
        <v>45962</v>
      </c>
      <c r="C1792" s="6" t="s">
        <v>2802</v>
      </c>
      <c r="D1792" s="7">
        <v>0.91</v>
      </c>
      <c r="E1792" s="6" t="s">
        <v>16</v>
      </c>
      <c r="F1792" s="6" t="s">
        <v>562</v>
      </c>
      <c r="G1792" s="4">
        <v>34257</v>
      </c>
      <c r="H1792" s="6" t="s">
        <v>73</v>
      </c>
      <c r="I1792">
        <v>45</v>
      </c>
      <c r="J1792">
        <v>2</v>
      </c>
      <c r="K1792">
        <v>91</v>
      </c>
      <c r="L1792" s="6" t="s">
        <v>67</v>
      </c>
      <c r="M1792" s="6" t="s">
        <v>61</v>
      </c>
      <c r="N1792" s="6" t="s">
        <v>33</v>
      </c>
    </row>
    <row r="1793" spans="1:14" x14ac:dyDescent="0.25">
      <c r="A1793" s="6" t="s">
        <v>2535</v>
      </c>
      <c r="B1793" s="4">
        <v>45731</v>
      </c>
      <c r="C1793" s="6" t="s">
        <v>2798</v>
      </c>
      <c r="D1793" s="7">
        <v>0.74236111111111114</v>
      </c>
      <c r="E1793" s="6" t="s">
        <v>16</v>
      </c>
      <c r="F1793" s="6" t="s">
        <v>229</v>
      </c>
      <c r="G1793" s="4">
        <v>34865</v>
      </c>
      <c r="H1793" s="6" t="s">
        <v>110</v>
      </c>
      <c r="I1793">
        <v>132</v>
      </c>
      <c r="J1793">
        <v>1</v>
      </c>
      <c r="K1793">
        <v>132</v>
      </c>
      <c r="L1793" s="6" t="s">
        <v>67</v>
      </c>
      <c r="M1793" s="6" t="s">
        <v>37</v>
      </c>
      <c r="N1793" s="6" t="s">
        <v>21</v>
      </c>
    </row>
    <row r="1794" spans="1:14" x14ac:dyDescent="0.25">
      <c r="A1794" s="6" t="s">
        <v>2537</v>
      </c>
      <c r="B1794" s="4">
        <v>45744</v>
      </c>
      <c r="C1794" s="6" t="s">
        <v>2798</v>
      </c>
      <c r="D1794" s="7">
        <v>0.78541666666666665</v>
      </c>
      <c r="E1794" s="6" t="s">
        <v>16</v>
      </c>
      <c r="F1794" s="6" t="s">
        <v>169</v>
      </c>
      <c r="G1794" s="4">
        <v>37627</v>
      </c>
      <c r="H1794" s="6" t="s">
        <v>129</v>
      </c>
      <c r="I1794">
        <v>206</v>
      </c>
      <c r="J1794">
        <v>2</v>
      </c>
      <c r="K1794">
        <v>412</v>
      </c>
      <c r="L1794" s="6" t="s">
        <v>19</v>
      </c>
      <c r="M1794" s="6" t="s">
        <v>55</v>
      </c>
      <c r="N1794" s="6" t="s">
        <v>74</v>
      </c>
    </row>
    <row r="1795" spans="1:14" x14ac:dyDescent="0.25">
      <c r="A1795" s="6" t="s">
        <v>2538</v>
      </c>
      <c r="B1795" s="4">
        <v>45682</v>
      </c>
      <c r="C1795" s="6" t="s">
        <v>2794</v>
      </c>
      <c r="D1795" s="7">
        <v>0.65763888888888888</v>
      </c>
      <c r="E1795" s="6" t="s">
        <v>16</v>
      </c>
      <c r="F1795" s="6" t="s">
        <v>299</v>
      </c>
      <c r="G1795" s="4">
        <v>37039</v>
      </c>
      <c r="H1795" s="6" t="s">
        <v>116</v>
      </c>
      <c r="I1795">
        <v>200</v>
      </c>
      <c r="J1795">
        <v>1</v>
      </c>
      <c r="K1795">
        <v>201</v>
      </c>
      <c r="L1795" s="6" t="s">
        <v>54</v>
      </c>
      <c r="M1795" s="6" t="s">
        <v>89</v>
      </c>
      <c r="N1795" s="6" t="s">
        <v>21</v>
      </c>
    </row>
    <row r="1796" spans="1:14" x14ac:dyDescent="0.25">
      <c r="A1796" s="6" t="s">
        <v>2539</v>
      </c>
      <c r="B1796" s="4">
        <v>45830</v>
      </c>
      <c r="C1796" s="6" t="s">
        <v>2800</v>
      </c>
      <c r="D1796" s="7">
        <v>0.71597222222222223</v>
      </c>
      <c r="E1796" s="6" t="s">
        <v>16</v>
      </c>
      <c r="F1796" s="6" t="s">
        <v>169</v>
      </c>
      <c r="G1796" s="4">
        <v>36894</v>
      </c>
      <c r="H1796" s="6" t="s">
        <v>73</v>
      </c>
      <c r="I1796">
        <v>44</v>
      </c>
      <c r="J1796">
        <v>1</v>
      </c>
      <c r="K1796">
        <v>45</v>
      </c>
      <c r="L1796" s="6" t="s">
        <v>41</v>
      </c>
      <c r="M1796" s="6" t="s">
        <v>55</v>
      </c>
      <c r="N1796" s="6" t="s">
        <v>21</v>
      </c>
    </row>
    <row r="1797" spans="1:14" x14ac:dyDescent="0.25">
      <c r="A1797" s="6" t="s">
        <v>2541</v>
      </c>
      <c r="B1797" s="4">
        <v>45657</v>
      </c>
      <c r="C1797" s="6" t="s">
        <v>2796</v>
      </c>
      <c r="D1797" s="7">
        <v>0.50763888888888886</v>
      </c>
      <c r="E1797" s="6" t="s">
        <v>16</v>
      </c>
      <c r="F1797" s="6" t="s">
        <v>17</v>
      </c>
      <c r="G1797" s="4">
        <v>32880</v>
      </c>
      <c r="H1797" s="6" t="s">
        <v>18</v>
      </c>
      <c r="I1797">
        <v>83</v>
      </c>
      <c r="J1797">
        <v>2</v>
      </c>
      <c r="K1797">
        <v>168</v>
      </c>
      <c r="L1797" s="6" t="s">
        <v>41</v>
      </c>
      <c r="M1797" s="6" t="s">
        <v>47</v>
      </c>
      <c r="N1797" s="6" t="s">
        <v>33</v>
      </c>
    </row>
    <row r="1798" spans="1:14" x14ac:dyDescent="0.25">
      <c r="A1798" s="6" t="s">
        <v>2542</v>
      </c>
      <c r="B1798" s="4">
        <v>45791</v>
      </c>
      <c r="C1798" s="6" t="s">
        <v>2792</v>
      </c>
      <c r="D1798" s="7">
        <v>0.70194444444444448</v>
      </c>
      <c r="E1798" s="6" t="s">
        <v>16</v>
      </c>
      <c r="F1798" s="6" t="s">
        <v>281</v>
      </c>
      <c r="G1798" s="4">
        <v>34790</v>
      </c>
      <c r="H1798" s="6" t="s">
        <v>145</v>
      </c>
      <c r="I1798">
        <v>245</v>
      </c>
      <c r="J1798">
        <v>1</v>
      </c>
      <c r="K1798">
        <v>267</v>
      </c>
      <c r="L1798" s="6" t="s">
        <v>19</v>
      </c>
      <c r="M1798" s="6" t="s">
        <v>47</v>
      </c>
      <c r="N1798" s="6" t="s">
        <v>74</v>
      </c>
    </row>
    <row r="1799" spans="1:14" x14ac:dyDescent="0.25">
      <c r="A1799" s="6" t="s">
        <v>2543</v>
      </c>
      <c r="B1799" s="4">
        <v>45749</v>
      </c>
      <c r="C1799" s="6" t="s">
        <v>2801</v>
      </c>
      <c r="D1799" s="7">
        <v>0.85253472222222226</v>
      </c>
      <c r="E1799" s="6" t="s">
        <v>16</v>
      </c>
      <c r="F1799" s="6" t="s">
        <v>1427</v>
      </c>
      <c r="G1799" s="4">
        <v>30439</v>
      </c>
      <c r="H1799" s="6" t="s">
        <v>110</v>
      </c>
      <c r="I1799">
        <v>128</v>
      </c>
      <c r="J1799">
        <v>1</v>
      </c>
      <c r="K1799">
        <v>129</v>
      </c>
      <c r="L1799" s="6" t="s">
        <v>19</v>
      </c>
      <c r="M1799" s="6" t="s">
        <v>89</v>
      </c>
      <c r="N1799" s="6" t="s">
        <v>105</v>
      </c>
    </row>
    <row r="1800" spans="1:14" x14ac:dyDescent="0.25">
      <c r="A1800" s="6" t="s">
        <v>2544</v>
      </c>
      <c r="B1800" s="4">
        <v>45810</v>
      </c>
      <c r="C1800" s="6" t="s">
        <v>2800</v>
      </c>
      <c r="D1800" s="7">
        <v>0.82291666666666663</v>
      </c>
      <c r="E1800" s="6" t="s">
        <v>16</v>
      </c>
      <c r="F1800" s="6" t="s">
        <v>131</v>
      </c>
      <c r="G1800" s="4">
        <v>30390</v>
      </c>
      <c r="H1800" s="6" t="s">
        <v>73</v>
      </c>
      <c r="I1800">
        <v>51</v>
      </c>
      <c r="J1800">
        <v>1</v>
      </c>
      <c r="K1800">
        <v>51</v>
      </c>
      <c r="L1800" s="6" t="s">
        <v>41</v>
      </c>
      <c r="M1800" s="6" t="s">
        <v>55</v>
      </c>
      <c r="N1800" s="6" t="s">
        <v>56</v>
      </c>
    </row>
    <row r="1801" spans="1:14" x14ac:dyDescent="0.25">
      <c r="A1801" s="6" t="s">
        <v>2545</v>
      </c>
      <c r="B1801" s="4">
        <v>45641</v>
      </c>
      <c r="C1801" s="6" t="s">
        <v>2796</v>
      </c>
      <c r="D1801" s="7">
        <v>0.70416666666666672</v>
      </c>
      <c r="E1801" s="6" t="s">
        <v>16</v>
      </c>
      <c r="F1801" s="6" t="s">
        <v>161</v>
      </c>
      <c r="G1801" s="4">
        <v>34769</v>
      </c>
      <c r="H1801" s="6" t="s">
        <v>259</v>
      </c>
      <c r="I1801">
        <v>86</v>
      </c>
      <c r="J1801">
        <v>1</v>
      </c>
      <c r="K1801">
        <v>86</v>
      </c>
      <c r="L1801" s="6" t="s">
        <v>67</v>
      </c>
      <c r="M1801" s="6" t="s">
        <v>55</v>
      </c>
      <c r="N1801" s="6" t="s">
        <v>105</v>
      </c>
    </row>
    <row r="1802" spans="1:14" x14ac:dyDescent="0.25">
      <c r="A1802" s="6" t="s">
        <v>2546</v>
      </c>
      <c r="B1802" s="4">
        <v>45835</v>
      </c>
      <c r="C1802" s="6" t="s">
        <v>2800</v>
      </c>
      <c r="D1802" s="7">
        <v>0.94027777777777777</v>
      </c>
      <c r="E1802" s="6" t="s">
        <v>16</v>
      </c>
      <c r="F1802" s="6" t="s">
        <v>699</v>
      </c>
      <c r="G1802" s="4">
        <v>35296</v>
      </c>
      <c r="H1802" s="6" t="s">
        <v>199</v>
      </c>
      <c r="I1802">
        <v>206</v>
      </c>
      <c r="J1802">
        <v>2</v>
      </c>
      <c r="K1802">
        <v>412</v>
      </c>
      <c r="L1802" s="6" t="s">
        <v>67</v>
      </c>
      <c r="M1802" s="6" t="s">
        <v>32</v>
      </c>
      <c r="N1802" s="6" t="s">
        <v>33</v>
      </c>
    </row>
    <row r="1803" spans="1:14" x14ac:dyDescent="0.25">
      <c r="A1803" s="6" t="s">
        <v>2547</v>
      </c>
      <c r="B1803" s="4">
        <v>45659</v>
      </c>
      <c r="C1803" s="6" t="s">
        <v>2794</v>
      </c>
      <c r="D1803" s="7">
        <v>0.64375000000000004</v>
      </c>
      <c r="E1803" s="6" t="s">
        <v>16</v>
      </c>
      <c r="F1803" s="6" t="s">
        <v>189</v>
      </c>
      <c r="G1803" s="4">
        <v>33965</v>
      </c>
      <c r="H1803" s="6" t="s">
        <v>60</v>
      </c>
      <c r="I1803">
        <v>161</v>
      </c>
      <c r="J1803">
        <v>3</v>
      </c>
      <c r="K1803">
        <v>485</v>
      </c>
      <c r="L1803" s="6" t="s">
        <v>41</v>
      </c>
      <c r="M1803" s="6" t="s">
        <v>89</v>
      </c>
      <c r="N1803" s="6" t="s">
        <v>48</v>
      </c>
    </row>
    <row r="1804" spans="1:14" x14ac:dyDescent="0.25">
      <c r="A1804" s="6" t="s">
        <v>2548</v>
      </c>
      <c r="B1804" s="4">
        <v>45814</v>
      </c>
      <c r="C1804" s="6" t="s">
        <v>2800</v>
      </c>
      <c r="D1804" s="7">
        <v>0.67500000000000004</v>
      </c>
      <c r="E1804" s="6" t="s">
        <v>16</v>
      </c>
      <c r="F1804" s="6" t="s">
        <v>2549</v>
      </c>
      <c r="G1804" s="4">
        <v>32475</v>
      </c>
      <c r="H1804" s="6" t="s">
        <v>93</v>
      </c>
      <c r="I1804">
        <v>235</v>
      </c>
      <c r="J1804">
        <v>3</v>
      </c>
      <c r="K1804">
        <v>707</v>
      </c>
      <c r="L1804" s="6" t="s">
        <v>19</v>
      </c>
      <c r="M1804" s="6" t="s">
        <v>37</v>
      </c>
      <c r="N1804" s="6" t="s">
        <v>56</v>
      </c>
    </row>
    <row r="1805" spans="1:14" x14ac:dyDescent="0.25">
      <c r="A1805" s="6" t="s">
        <v>2550</v>
      </c>
      <c r="B1805" s="4">
        <v>45745</v>
      </c>
      <c r="C1805" s="6" t="s">
        <v>2798</v>
      </c>
      <c r="D1805" s="7">
        <v>0.54135416666666669</v>
      </c>
      <c r="E1805" s="6" t="s">
        <v>16</v>
      </c>
      <c r="F1805" s="6" t="s">
        <v>548</v>
      </c>
      <c r="G1805" s="4">
        <v>31912</v>
      </c>
      <c r="H1805" s="6" t="s">
        <v>164</v>
      </c>
      <c r="I1805">
        <v>234</v>
      </c>
      <c r="J1805">
        <v>1</v>
      </c>
      <c r="K1805">
        <v>234</v>
      </c>
      <c r="L1805" s="6" t="s">
        <v>41</v>
      </c>
      <c r="M1805" s="6" t="s">
        <v>89</v>
      </c>
      <c r="N1805" s="6" t="s">
        <v>48</v>
      </c>
    </row>
    <row r="1806" spans="1:14" x14ac:dyDescent="0.25">
      <c r="A1806" s="6" t="s">
        <v>2551</v>
      </c>
      <c r="B1806" s="4">
        <v>45754</v>
      </c>
      <c r="C1806" s="6" t="s">
        <v>2801</v>
      </c>
      <c r="D1806" s="7">
        <v>0.61527777777777781</v>
      </c>
      <c r="E1806" s="6" t="s">
        <v>16</v>
      </c>
      <c r="F1806" s="6" t="s">
        <v>360</v>
      </c>
      <c r="G1806" s="4">
        <v>38679</v>
      </c>
      <c r="H1806" s="6" t="s">
        <v>126</v>
      </c>
      <c r="I1806">
        <v>234</v>
      </c>
      <c r="J1806">
        <v>1</v>
      </c>
      <c r="K1806">
        <v>234</v>
      </c>
      <c r="L1806" s="6" t="s">
        <v>19</v>
      </c>
      <c r="M1806" s="6" t="s">
        <v>20</v>
      </c>
      <c r="N1806" s="6" t="s">
        <v>27</v>
      </c>
    </row>
    <row r="1807" spans="1:14" x14ac:dyDescent="0.25">
      <c r="A1807" s="6" t="s">
        <v>2552</v>
      </c>
      <c r="B1807" s="4">
        <v>45754</v>
      </c>
      <c r="C1807" s="6" t="s">
        <v>2801</v>
      </c>
      <c r="D1807" s="7">
        <v>0.57144675925925925</v>
      </c>
      <c r="E1807" s="6" t="s">
        <v>16</v>
      </c>
      <c r="F1807" s="6" t="s">
        <v>208</v>
      </c>
      <c r="G1807" s="4">
        <v>38570</v>
      </c>
      <c r="H1807" s="6" t="s">
        <v>178</v>
      </c>
      <c r="I1807">
        <v>340</v>
      </c>
      <c r="J1807">
        <v>1</v>
      </c>
      <c r="K1807">
        <v>341</v>
      </c>
      <c r="L1807" s="6" t="s">
        <v>54</v>
      </c>
      <c r="M1807" s="6" t="s">
        <v>37</v>
      </c>
      <c r="N1807" s="6" t="s">
        <v>105</v>
      </c>
    </row>
    <row r="1808" spans="1:14" x14ac:dyDescent="0.25">
      <c r="A1808" s="6" t="s">
        <v>2554</v>
      </c>
      <c r="B1808" s="4">
        <v>45859</v>
      </c>
      <c r="C1808" s="6" t="s">
        <v>2795</v>
      </c>
      <c r="D1808" s="7">
        <v>0.81388888888888888</v>
      </c>
      <c r="E1808" s="6" t="s">
        <v>16</v>
      </c>
      <c r="F1808" s="6" t="s">
        <v>59</v>
      </c>
      <c r="G1808" s="4">
        <v>38570</v>
      </c>
      <c r="H1808" s="6" t="s">
        <v>126</v>
      </c>
      <c r="I1808">
        <v>107</v>
      </c>
      <c r="J1808">
        <v>1</v>
      </c>
      <c r="K1808">
        <v>108</v>
      </c>
      <c r="L1808" s="6" t="s">
        <v>41</v>
      </c>
      <c r="M1808" s="6" t="s">
        <v>55</v>
      </c>
      <c r="N1808" s="6" t="s">
        <v>27</v>
      </c>
    </row>
    <row r="1809" spans="1:14" x14ac:dyDescent="0.25">
      <c r="A1809" s="6" t="s">
        <v>2555</v>
      </c>
      <c r="B1809" s="4">
        <v>45778</v>
      </c>
      <c r="C1809" s="6" t="s">
        <v>2792</v>
      </c>
      <c r="D1809" s="7">
        <v>0.94652777777777775</v>
      </c>
      <c r="E1809" s="6" t="s">
        <v>16</v>
      </c>
      <c r="F1809" s="6" t="s">
        <v>358</v>
      </c>
      <c r="G1809" s="4">
        <v>28668</v>
      </c>
      <c r="H1809" s="6" t="s">
        <v>129</v>
      </c>
      <c r="I1809">
        <v>207</v>
      </c>
      <c r="J1809">
        <v>1</v>
      </c>
      <c r="K1809">
        <v>207</v>
      </c>
      <c r="L1809" s="6" t="s">
        <v>54</v>
      </c>
      <c r="M1809" s="6" t="s">
        <v>61</v>
      </c>
      <c r="N1809" s="6" t="s">
        <v>27</v>
      </c>
    </row>
    <row r="1810" spans="1:14" x14ac:dyDescent="0.25">
      <c r="A1810" s="6" t="s">
        <v>2556</v>
      </c>
      <c r="B1810" s="4">
        <v>45945</v>
      </c>
      <c r="C1810" s="6" t="s">
        <v>2791</v>
      </c>
      <c r="D1810" s="7">
        <v>0.74236111111111114</v>
      </c>
      <c r="E1810" s="6" t="s">
        <v>16</v>
      </c>
      <c r="F1810" s="6" t="s">
        <v>208</v>
      </c>
      <c r="G1810" s="4">
        <v>34588</v>
      </c>
      <c r="H1810" s="6" t="s">
        <v>60</v>
      </c>
      <c r="I1810">
        <v>358</v>
      </c>
      <c r="J1810">
        <v>1</v>
      </c>
      <c r="K1810">
        <v>358</v>
      </c>
      <c r="L1810" s="6" t="s">
        <v>41</v>
      </c>
      <c r="M1810" s="6" t="s">
        <v>20</v>
      </c>
      <c r="N1810" s="6" t="s">
        <v>105</v>
      </c>
    </row>
    <row r="1811" spans="1:14" x14ac:dyDescent="0.25">
      <c r="A1811" s="6" t="s">
        <v>2558</v>
      </c>
      <c r="B1811" s="4">
        <v>45628</v>
      </c>
      <c r="C1811" s="6" t="s">
        <v>2796</v>
      </c>
      <c r="D1811" s="7">
        <v>0.88791666666666669</v>
      </c>
      <c r="E1811" s="6" t="s">
        <v>16</v>
      </c>
      <c r="F1811" s="6" t="s">
        <v>246</v>
      </c>
      <c r="G1811" s="4">
        <v>39090</v>
      </c>
      <c r="H1811" s="6" t="s">
        <v>93</v>
      </c>
      <c r="I1811">
        <v>212</v>
      </c>
      <c r="J1811">
        <v>2</v>
      </c>
      <c r="K1811">
        <v>424</v>
      </c>
      <c r="L1811" s="6" t="s">
        <v>67</v>
      </c>
      <c r="M1811" s="6" t="s">
        <v>89</v>
      </c>
      <c r="N1811" s="6" t="s">
        <v>33</v>
      </c>
    </row>
    <row r="1812" spans="1:14" x14ac:dyDescent="0.25">
      <c r="A1812" s="6" t="s">
        <v>2559</v>
      </c>
      <c r="B1812" s="4">
        <v>45974</v>
      </c>
      <c r="C1812" s="6" t="s">
        <v>2802</v>
      </c>
      <c r="D1812" s="7">
        <v>0.79076388888888893</v>
      </c>
      <c r="E1812" s="6" t="s">
        <v>16</v>
      </c>
      <c r="F1812" s="6" t="s">
        <v>1427</v>
      </c>
      <c r="G1812" s="4">
        <v>29947</v>
      </c>
      <c r="H1812" s="6" t="s">
        <v>213</v>
      </c>
      <c r="I1812">
        <v>75</v>
      </c>
      <c r="J1812">
        <v>3</v>
      </c>
      <c r="K1812">
        <v>226</v>
      </c>
      <c r="L1812" s="6" t="s">
        <v>54</v>
      </c>
      <c r="M1812" s="6" t="s">
        <v>47</v>
      </c>
      <c r="N1812" s="6" t="s">
        <v>56</v>
      </c>
    </row>
    <row r="1813" spans="1:14" x14ac:dyDescent="0.25">
      <c r="A1813" s="6" t="s">
        <v>2561</v>
      </c>
      <c r="B1813" s="4">
        <v>45713</v>
      </c>
      <c r="C1813" s="6" t="s">
        <v>2799</v>
      </c>
      <c r="D1813" s="7">
        <v>0.65208333333333335</v>
      </c>
      <c r="E1813" s="6" t="s">
        <v>16</v>
      </c>
      <c r="F1813" s="6" t="s">
        <v>1427</v>
      </c>
      <c r="G1813" s="4">
        <v>33545</v>
      </c>
      <c r="H1813" s="6" t="s">
        <v>73</v>
      </c>
      <c r="I1813">
        <v>40</v>
      </c>
      <c r="J1813">
        <v>1</v>
      </c>
      <c r="K1813">
        <v>29</v>
      </c>
      <c r="L1813" s="6" t="s">
        <v>19</v>
      </c>
      <c r="M1813" s="6" t="s">
        <v>26</v>
      </c>
      <c r="N1813" s="6" t="s">
        <v>56</v>
      </c>
    </row>
    <row r="1814" spans="1:14" x14ac:dyDescent="0.25">
      <c r="A1814" s="6" t="s">
        <v>2562</v>
      </c>
      <c r="B1814" s="4">
        <v>45873</v>
      </c>
      <c r="C1814" s="6" t="s">
        <v>2793</v>
      </c>
      <c r="D1814" s="7">
        <v>0.80277777777777781</v>
      </c>
      <c r="E1814" s="6" t="s">
        <v>16</v>
      </c>
      <c r="F1814" s="6" t="s">
        <v>712</v>
      </c>
      <c r="G1814" s="4">
        <v>33196</v>
      </c>
      <c r="H1814" s="6" t="s">
        <v>141</v>
      </c>
      <c r="I1814">
        <v>140</v>
      </c>
      <c r="J1814">
        <v>1</v>
      </c>
      <c r="K1814">
        <v>141</v>
      </c>
      <c r="L1814" s="6" t="s">
        <v>54</v>
      </c>
      <c r="M1814" s="6" t="s">
        <v>26</v>
      </c>
      <c r="N1814" s="6" t="s">
        <v>21</v>
      </c>
    </row>
    <row r="1815" spans="1:14" x14ac:dyDescent="0.25">
      <c r="A1815" s="6" t="s">
        <v>2563</v>
      </c>
      <c r="B1815" s="4">
        <v>45619</v>
      </c>
      <c r="C1815" s="6" t="s">
        <v>2802</v>
      </c>
      <c r="D1815" s="7">
        <v>0.75707175925925929</v>
      </c>
      <c r="E1815" s="6" t="s">
        <v>16</v>
      </c>
      <c r="F1815" s="6" t="s">
        <v>330</v>
      </c>
      <c r="G1815" s="4">
        <v>31712</v>
      </c>
      <c r="H1815" s="6" t="s">
        <v>202</v>
      </c>
      <c r="I1815">
        <v>137</v>
      </c>
      <c r="J1815">
        <v>1</v>
      </c>
      <c r="K1815">
        <v>137</v>
      </c>
      <c r="L1815" s="6" t="s">
        <v>54</v>
      </c>
      <c r="M1815" s="6" t="s">
        <v>47</v>
      </c>
      <c r="N1815" s="6" t="s">
        <v>48</v>
      </c>
    </row>
    <row r="1816" spans="1:14" x14ac:dyDescent="0.25">
      <c r="A1816" s="6" t="s">
        <v>2564</v>
      </c>
      <c r="B1816" s="4">
        <v>45804</v>
      </c>
      <c r="C1816" s="6" t="s">
        <v>2792</v>
      </c>
      <c r="D1816" s="7">
        <v>0.77638888888888891</v>
      </c>
      <c r="E1816" s="6" t="s">
        <v>16</v>
      </c>
      <c r="F1816" s="6" t="s">
        <v>118</v>
      </c>
      <c r="G1816" s="4">
        <v>39480</v>
      </c>
      <c r="H1816" s="6" t="s">
        <v>77</v>
      </c>
      <c r="I1816">
        <v>125</v>
      </c>
      <c r="J1816">
        <v>1</v>
      </c>
      <c r="K1816">
        <v>125</v>
      </c>
      <c r="L1816" s="6" t="s">
        <v>54</v>
      </c>
      <c r="M1816" s="6" t="s">
        <v>47</v>
      </c>
      <c r="N1816" s="6" t="s">
        <v>105</v>
      </c>
    </row>
    <row r="1817" spans="1:14" x14ac:dyDescent="0.25">
      <c r="A1817" s="6" t="s">
        <v>2565</v>
      </c>
      <c r="B1817" s="4">
        <v>45845</v>
      </c>
      <c r="C1817" s="6" t="s">
        <v>2795</v>
      </c>
      <c r="D1817" s="7">
        <v>0.82777777777777772</v>
      </c>
      <c r="E1817" s="6" t="s">
        <v>16</v>
      </c>
      <c r="F1817" s="6" t="s">
        <v>201</v>
      </c>
      <c r="G1817" s="4">
        <v>26860</v>
      </c>
      <c r="H1817" s="6" t="s">
        <v>199</v>
      </c>
      <c r="I1817">
        <v>234</v>
      </c>
      <c r="J1817">
        <v>2</v>
      </c>
      <c r="K1817">
        <v>469</v>
      </c>
      <c r="L1817" s="6" t="s">
        <v>19</v>
      </c>
      <c r="M1817" s="6" t="s">
        <v>47</v>
      </c>
      <c r="N1817" s="6" t="s">
        <v>33</v>
      </c>
    </row>
    <row r="1818" spans="1:14" x14ac:dyDescent="0.25">
      <c r="A1818" s="6" t="s">
        <v>2566</v>
      </c>
      <c r="B1818" s="4">
        <v>45660</v>
      </c>
      <c r="C1818" s="6" t="s">
        <v>2794</v>
      </c>
      <c r="D1818" s="7">
        <v>0.69913194444444449</v>
      </c>
      <c r="E1818" s="6" t="s">
        <v>16</v>
      </c>
      <c r="F1818" s="6" t="s">
        <v>118</v>
      </c>
      <c r="G1818" s="4">
        <v>36407</v>
      </c>
      <c r="H1818" s="6" t="s">
        <v>199</v>
      </c>
      <c r="I1818">
        <v>204</v>
      </c>
      <c r="J1818">
        <v>1</v>
      </c>
      <c r="K1818">
        <v>204</v>
      </c>
      <c r="L1818" s="6" t="s">
        <v>19</v>
      </c>
      <c r="M1818" s="6" t="s">
        <v>55</v>
      </c>
      <c r="N1818" s="6" t="s">
        <v>33</v>
      </c>
    </row>
    <row r="1819" spans="1:14" x14ac:dyDescent="0.25">
      <c r="A1819" s="6" t="s">
        <v>2567</v>
      </c>
      <c r="B1819" s="4">
        <v>45628</v>
      </c>
      <c r="C1819" s="6" t="s">
        <v>2796</v>
      </c>
      <c r="D1819" s="7">
        <v>0.74097222222222225</v>
      </c>
      <c r="E1819" s="6" t="s">
        <v>16</v>
      </c>
      <c r="F1819" s="6" t="s">
        <v>39</v>
      </c>
      <c r="G1819" s="4">
        <v>38020</v>
      </c>
      <c r="H1819" s="6" t="s">
        <v>243</v>
      </c>
      <c r="I1819">
        <v>133</v>
      </c>
      <c r="J1819">
        <v>1</v>
      </c>
      <c r="K1819">
        <v>133</v>
      </c>
      <c r="L1819" s="6" t="s">
        <v>54</v>
      </c>
      <c r="M1819" s="6" t="s">
        <v>55</v>
      </c>
      <c r="N1819" s="6" t="s">
        <v>48</v>
      </c>
    </row>
    <row r="1820" spans="1:14" x14ac:dyDescent="0.25">
      <c r="A1820" s="6" t="s">
        <v>2568</v>
      </c>
      <c r="B1820" s="4">
        <v>45954</v>
      </c>
      <c r="C1820" s="6" t="s">
        <v>2791</v>
      </c>
      <c r="D1820" s="7">
        <v>0.81175925925925929</v>
      </c>
      <c r="E1820" s="6" t="s">
        <v>16</v>
      </c>
      <c r="F1820" s="6" t="s">
        <v>451</v>
      </c>
      <c r="G1820" s="4">
        <v>32677</v>
      </c>
      <c r="H1820" s="6" t="s">
        <v>164</v>
      </c>
      <c r="I1820">
        <v>311</v>
      </c>
      <c r="J1820">
        <v>2</v>
      </c>
      <c r="K1820">
        <v>648</v>
      </c>
      <c r="L1820" s="6" t="s">
        <v>19</v>
      </c>
      <c r="M1820" s="6" t="s">
        <v>89</v>
      </c>
      <c r="N1820" s="6" t="s">
        <v>48</v>
      </c>
    </row>
    <row r="1821" spans="1:14" x14ac:dyDescent="0.25">
      <c r="A1821" s="6" t="s">
        <v>2570</v>
      </c>
      <c r="B1821" s="4">
        <v>45776</v>
      </c>
      <c r="C1821" s="6" t="s">
        <v>2801</v>
      </c>
      <c r="D1821" s="7">
        <v>0.52901620370370372</v>
      </c>
      <c r="E1821" s="6" t="s">
        <v>16</v>
      </c>
      <c r="F1821" s="6" t="s">
        <v>458</v>
      </c>
      <c r="G1821" s="4">
        <v>40052</v>
      </c>
      <c r="H1821" s="6" t="s">
        <v>243</v>
      </c>
      <c r="I1821">
        <v>162</v>
      </c>
      <c r="J1821">
        <v>1</v>
      </c>
      <c r="K1821">
        <v>162</v>
      </c>
      <c r="L1821" s="6" t="s">
        <v>19</v>
      </c>
      <c r="M1821" s="6" t="s">
        <v>61</v>
      </c>
      <c r="N1821" s="6" t="s">
        <v>48</v>
      </c>
    </row>
    <row r="1822" spans="1:14" x14ac:dyDescent="0.25">
      <c r="A1822" s="6" t="s">
        <v>2572</v>
      </c>
      <c r="B1822" s="4">
        <v>45621</v>
      </c>
      <c r="C1822" s="6" t="s">
        <v>2802</v>
      </c>
      <c r="D1822" s="7">
        <v>0.94097222222222221</v>
      </c>
      <c r="E1822" s="6" t="s">
        <v>16</v>
      </c>
      <c r="F1822" s="6" t="s">
        <v>471</v>
      </c>
      <c r="G1822" s="4">
        <v>36756</v>
      </c>
      <c r="H1822" s="6" t="s">
        <v>259</v>
      </c>
      <c r="I1822">
        <v>92</v>
      </c>
      <c r="J1822">
        <v>1</v>
      </c>
      <c r="K1822">
        <v>92</v>
      </c>
      <c r="L1822" s="6" t="s">
        <v>67</v>
      </c>
      <c r="M1822" s="6" t="s">
        <v>32</v>
      </c>
      <c r="N1822" s="6" t="s">
        <v>27</v>
      </c>
    </row>
    <row r="1823" spans="1:14" x14ac:dyDescent="0.25">
      <c r="A1823" s="6" t="s">
        <v>2573</v>
      </c>
      <c r="B1823" s="4">
        <v>45621</v>
      </c>
      <c r="C1823" s="6" t="s">
        <v>2802</v>
      </c>
      <c r="D1823" s="7">
        <v>0.73611111111111116</v>
      </c>
      <c r="E1823" s="6" t="s">
        <v>16</v>
      </c>
      <c r="F1823" s="6" t="s">
        <v>520</v>
      </c>
      <c r="G1823" s="4">
        <v>30401</v>
      </c>
      <c r="H1823" s="6" t="s">
        <v>243</v>
      </c>
      <c r="I1823">
        <v>163</v>
      </c>
      <c r="J1823">
        <v>1</v>
      </c>
      <c r="K1823">
        <v>163</v>
      </c>
      <c r="L1823" s="6" t="s">
        <v>54</v>
      </c>
      <c r="M1823" s="6" t="s">
        <v>37</v>
      </c>
      <c r="N1823" s="6" t="s">
        <v>56</v>
      </c>
    </row>
    <row r="1824" spans="1:14" x14ac:dyDescent="0.25">
      <c r="A1824" s="6" t="s">
        <v>2574</v>
      </c>
      <c r="B1824" s="4">
        <v>45967</v>
      </c>
      <c r="C1824" s="6" t="s">
        <v>2802</v>
      </c>
      <c r="D1824" s="7">
        <v>0.99706018518518513</v>
      </c>
      <c r="E1824" s="6" t="s">
        <v>16</v>
      </c>
      <c r="F1824" s="6" t="s">
        <v>1474</v>
      </c>
      <c r="G1824" s="4">
        <v>38347</v>
      </c>
      <c r="H1824" s="6" t="s">
        <v>126</v>
      </c>
      <c r="I1824">
        <v>101</v>
      </c>
      <c r="J1824">
        <v>1</v>
      </c>
      <c r="K1824">
        <v>101</v>
      </c>
      <c r="L1824" s="6" t="s">
        <v>67</v>
      </c>
      <c r="M1824" s="6" t="s">
        <v>47</v>
      </c>
      <c r="N1824" s="6" t="s">
        <v>74</v>
      </c>
    </row>
    <row r="1825" spans="1:14" x14ac:dyDescent="0.25">
      <c r="A1825" s="6" t="s">
        <v>2575</v>
      </c>
      <c r="B1825" s="4">
        <v>45764</v>
      </c>
      <c r="C1825" s="6" t="s">
        <v>2801</v>
      </c>
      <c r="D1825" s="7">
        <v>0.63124999999999998</v>
      </c>
      <c r="E1825" s="6" t="s">
        <v>16</v>
      </c>
      <c r="F1825" s="6" t="s">
        <v>227</v>
      </c>
      <c r="G1825" s="4">
        <v>36204</v>
      </c>
      <c r="H1825" s="6" t="s">
        <v>178</v>
      </c>
      <c r="I1825">
        <v>237</v>
      </c>
      <c r="J1825">
        <v>1</v>
      </c>
      <c r="K1825">
        <v>100</v>
      </c>
      <c r="L1825" s="6" t="s">
        <v>19</v>
      </c>
      <c r="M1825" s="6" t="s">
        <v>32</v>
      </c>
      <c r="N1825" s="6" t="s">
        <v>56</v>
      </c>
    </row>
    <row r="1826" spans="1:14" x14ac:dyDescent="0.25">
      <c r="A1826" s="6" t="s">
        <v>2576</v>
      </c>
      <c r="B1826" s="4">
        <v>45867</v>
      </c>
      <c r="C1826" s="6" t="s">
        <v>2795</v>
      </c>
      <c r="D1826" s="7">
        <v>0.53597222222222218</v>
      </c>
      <c r="E1826" s="6" t="s">
        <v>16</v>
      </c>
      <c r="F1826" s="6" t="s">
        <v>229</v>
      </c>
      <c r="G1826" s="4">
        <v>30072</v>
      </c>
      <c r="H1826" s="6" t="s">
        <v>110</v>
      </c>
      <c r="I1826">
        <v>139</v>
      </c>
      <c r="J1826">
        <v>2</v>
      </c>
      <c r="K1826">
        <v>279</v>
      </c>
      <c r="L1826" s="6" t="s">
        <v>19</v>
      </c>
      <c r="M1826" s="6" t="s">
        <v>26</v>
      </c>
      <c r="N1826" s="6" t="s">
        <v>21</v>
      </c>
    </row>
    <row r="1827" spans="1:14" x14ac:dyDescent="0.25">
      <c r="A1827" s="6" t="s">
        <v>2577</v>
      </c>
      <c r="B1827" s="4">
        <v>45865</v>
      </c>
      <c r="C1827" s="6" t="s">
        <v>2795</v>
      </c>
      <c r="D1827" s="7">
        <v>0.42660879629629628</v>
      </c>
      <c r="E1827" s="6" t="s">
        <v>16</v>
      </c>
      <c r="F1827" s="6" t="s">
        <v>101</v>
      </c>
      <c r="G1827" s="4">
        <v>35959</v>
      </c>
      <c r="H1827" s="6" t="s">
        <v>199</v>
      </c>
      <c r="I1827">
        <v>166</v>
      </c>
      <c r="J1827">
        <v>2</v>
      </c>
      <c r="K1827">
        <v>333</v>
      </c>
      <c r="L1827" s="6" t="s">
        <v>67</v>
      </c>
      <c r="M1827" s="6" t="s">
        <v>32</v>
      </c>
      <c r="N1827" s="6" t="s">
        <v>21</v>
      </c>
    </row>
    <row r="1828" spans="1:14" x14ac:dyDescent="0.25">
      <c r="A1828" s="6" t="s">
        <v>2578</v>
      </c>
      <c r="B1828" s="4">
        <v>45923</v>
      </c>
      <c r="C1828" s="6" t="s">
        <v>2797</v>
      </c>
      <c r="D1828" s="7">
        <v>0.86597222222222225</v>
      </c>
      <c r="E1828" s="6" t="s">
        <v>16</v>
      </c>
      <c r="F1828" s="6" t="s">
        <v>246</v>
      </c>
      <c r="G1828" s="4">
        <v>35959</v>
      </c>
      <c r="H1828" s="6" t="s">
        <v>213</v>
      </c>
      <c r="I1828">
        <v>163</v>
      </c>
      <c r="J1828">
        <v>1</v>
      </c>
      <c r="K1828">
        <v>164</v>
      </c>
      <c r="L1828" s="6" t="s">
        <v>67</v>
      </c>
      <c r="M1828" s="6" t="s">
        <v>26</v>
      </c>
      <c r="N1828" s="6" t="s">
        <v>105</v>
      </c>
    </row>
    <row r="1829" spans="1:14" x14ac:dyDescent="0.25">
      <c r="A1829" s="6" t="s">
        <v>2579</v>
      </c>
      <c r="B1829" s="4">
        <v>45656</v>
      </c>
      <c r="C1829" s="6" t="s">
        <v>2796</v>
      </c>
      <c r="D1829" s="7">
        <v>0.44709490740740743</v>
      </c>
      <c r="E1829" s="6" t="s">
        <v>16</v>
      </c>
      <c r="F1829" s="6" t="s">
        <v>1268</v>
      </c>
      <c r="G1829" s="4">
        <v>26438</v>
      </c>
      <c r="H1829" s="6" t="s">
        <v>164</v>
      </c>
      <c r="I1829">
        <v>236</v>
      </c>
      <c r="J1829">
        <v>3</v>
      </c>
      <c r="K1829">
        <v>710</v>
      </c>
      <c r="L1829" s="6" t="s">
        <v>41</v>
      </c>
      <c r="M1829" s="6" t="s">
        <v>55</v>
      </c>
      <c r="N1829" s="6" t="s">
        <v>27</v>
      </c>
    </row>
    <row r="1830" spans="1:14" x14ac:dyDescent="0.25">
      <c r="A1830" s="6" t="s">
        <v>2580</v>
      </c>
      <c r="B1830" s="4">
        <v>45791</v>
      </c>
      <c r="C1830" s="6" t="s">
        <v>2792</v>
      </c>
      <c r="D1830" s="7">
        <v>0.59513888888888888</v>
      </c>
      <c r="E1830" s="6" t="s">
        <v>16</v>
      </c>
      <c r="F1830" s="6" t="s">
        <v>140</v>
      </c>
      <c r="G1830" s="4">
        <v>39805</v>
      </c>
      <c r="H1830" s="6" t="s">
        <v>60</v>
      </c>
      <c r="I1830">
        <v>345</v>
      </c>
      <c r="J1830">
        <v>2</v>
      </c>
      <c r="K1830">
        <v>691</v>
      </c>
      <c r="L1830" s="6" t="s">
        <v>41</v>
      </c>
      <c r="M1830" s="6" t="s">
        <v>89</v>
      </c>
      <c r="N1830" s="6" t="s">
        <v>21</v>
      </c>
    </row>
    <row r="1831" spans="1:14" x14ac:dyDescent="0.25">
      <c r="A1831" s="6" t="s">
        <v>2581</v>
      </c>
      <c r="B1831" s="4">
        <v>45656</v>
      </c>
      <c r="C1831" s="6" t="s">
        <v>2796</v>
      </c>
      <c r="D1831" s="7">
        <v>0.86875000000000002</v>
      </c>
      <c r="E1831" s="6" t="s">
        <v>16</v>
      </c>
      <c r="F1831" s="6" t="s">
        <v>494</v>
      </c>
      <c r="G1831" s="4">
        <v>30643</v>
      </c>
      <c r="H1831" s="6" t="s">
        <v>213</v>
      </c>
      <c r="I1831">
        <v>111</v>
      </c>
      <c r="J1831">
        <v>2</v>
      </c>
      <c r="K1831">
        <v>222</v>
      </c>
      <c r="L1831" s="6" t="s">
        <v>2787</v>
      </c>
      <c r="M1831" s="6" t="s">
        <v>37</v>
      </c>
      <c r="N1831" s="6" t="s">
        <v>21</v>
      </c>
    </row>
    <row r="1832" spans="1:14" x14ac:dyDescent="0.25">
      <c r="A1832" s="6" t="s">
        <v>2582</v>
      </c>
      <c r="B1832" s="4">
        <v>45939</v>
      </c>
      <c r="C1832" s="6" t="s">
        <v>2791</v>
      </c>
      <c r="D1832" s="7">
        <v>0.82430555555555551</v>
      </c>
      <c r="E1832" s="6" t="s">
        <v>16</v>
      </c>
      <c r="F1832" s="6" t="s">
        <v>389</v>
      </c>
      <c r="G1832" s="4">
        <v>27126</v>
      </c>
      <c r="H1832" s="6" t="s">
        <v>53</v>
      </c>
      <c r="I1832">
        <v>116</v>
      </c>
      <c r="J1832">
        <v>2</v>
      </c>
      <c r="K1832">
        <v>233</v>
      </c>
      <c r="L1832" s="6" t="s">
        <v>41</v>
      </c>
      <c r="M1832" s="6" t="s">
        <v>32</v>
      </c>
      <c r="N1832" s="6" t="s">
        <v>21</v>
      </c>
    </row>
    <row r="1833" spans="1:14" x14ac:dyDescent="0.25">
      <c r="A1833" s="6" t="s">
        <v>2583</v>
      </c>
      <c r="B1833" s="4">
        <v>45723</v>
      </c>
      <c r="C1833" s="6" t="s">
        <v>2798</v>
      </c>
      <c r="D1833" s="7">
        <v>0.97696759259259258</v>
      </c>
      <c r="E1833" s="6" t="s">
        <v>16</v>
      </c>
      <c r="F1833" s="6" t="s">
        <v>1184</v>
      </c>
      <c r="G1833" s="4">
        <v>36404</v>
      </c>
      <c r="H1833" s="6" t="s">
        <v>178</v>
      </c>
      <c r="I1833">
        <v>231</v>
      </c>
      <c r="J1833">
        <v>3</v>
      </c>
      <c r="K1833">
        <v>694</v>
      </c>
      <c r="L1833" s="6" t="s">
        <v>41</v>
      </c>
      <c r="M1833" s="6" t="s">
        <v>26</v>
      </c>
      <c r="N1833" s="6" t="s">
        <v>21</v>
      </c>
    </row>
    <row r="1834" spans="1:14" x14ac:dyDescent="0.25">
      <c r="A1834" s="6" t="s">
        <v>2584</v>
      </c>
      <c r="B1834" s="4">
        <v>45724</v>
      </c>
      <c r="C1834" s="6" t="s">
        <v>2798</v>
      </c>
      <c r="D1834" s="7">
        <v>0.43611111111111112</v>
      </c>
      <c r="E1834" s="6" t="s">
        <v>16</v>
      </c>
      <c r="F1834" s="6" t="s">
        <v>548</v>
      </c>
      <c r="G1834" s="4">
        <v>33250</v>
      </c>
      <c r="H1834" s="6" t="s">
        <v>73</v>
      </c>
      <c r="I1834">
        <v>38</v>
      </c>
      <c r="J1834">
        <v>2</v>
      </c>
      <c r="K1834">
        <v>77</v>
      </c>
      <c r="L1834" s="6" t="s">
        <v>41</v>
      </c>
      <c r="M1834" s="6" t="s">
        <v>89</v>
      </c>
      <c r="N1834" s="6" t="s">
        <v>33</v>
      </c>
    </row>
    <row r="1835" spans="1:14" x14ac:dyDescent="0.25">
      <c r="A1835" s="6" t="s">
        <v>2585</v>
      </c>
      <c r="B1835" s="4">
        <v>45875</v>
      </c>
      <c r="C1835" s="6" t="s">
        <v>2793</v>
      </c>
      <c r="D1835" s="7">
        <v>0.62179398148148146</v>
      </c>
      <c r="E1835" s="6" t="s">
        <v>16</v>
      </c>
      <c r="F1835" s="6" t="s">
        <v>147</v>
      </c>
      <c r="G1835" s="4">
        <v>39370</v>
      </c>
      <c r="H1835" s="6" t="s">
        <v>18</v>
      </c>
      <c r="I1835">
        <v>93</v>
      </c>
      <c r="J1835">
        <v>3</v>
      </c>
      <c r="K1835">
        <v>281</v>
      </c>
      <c r="L1835" s="6" t="s">
        <v>2787</v>
      </c>
      <c r="M1835" s="6" t="s">
        <v>26</v>
      </c>
      <c r="N1835" s="6" t="s">
        <v>33</v>
      </c>
    </row>
    <row r="1836" spans="1:14" x14ac:dyDescent="0.25">
      <c r="A1836" s="6" t="s">
        <v>2586</v>
      </c>
      <c r="B1836" s="4">
        <v>45657</v>
      </c>
      <c r="C1836" s="6" t="s">
        <v>2796</v>
      </c>
      <c r="D1836" s="7">
        <v>0.66388888888888886</v>
      </c>
      <c r="E1836" s="6" t="s">
        <v>16</v>
      </c>
      <c r="F1836" s="6" t="s">
        <v>512</v>
      </c>
      <c r="G1836" s="4">
        <v>30700</v>
      </c>
      <c r="H1836" s="6" t="s">
        <v>126</v>
      </c>
      <c r="I1836">
        <v>126</v>
      </c>
      <c r="J1836">
        <v>2</v>
      </c>
      <c r="K1836">
        <v>253</v>
      </c>
      <c r="L1836" s="6" t="s">
        <v>41</v>
      </c>
      <c r="M1836" s="6" t="s">
        <v>37</v>
      </c>
      <c r="N1836" s="6" t="s">
        <v>74</v>
      </c>
    </row>
    <row r="1837" spans="1:14" x14ac:dyDescent="0.25">
      <c r="A1837" s="6" t="s">
        <v>2587</v>
      </c>
      <c r="B1837" s="4">
        <v>45979</v>
      </c>
      <c r="C1837" s="6" t="s">
        <v>2802</v>
      </c>
      <c r="D1837" s="7">
        <v>0.4465277777777778</v>
      </c>
      <c r="E1837" s="6" t="s">
        <v>16</v>
      </c>
      <c r="F1837" s="6" t="s">
        <v>346</v>
      </c>
      <c r="G1837" s="4">
        <v>36746</v>
      </c>
      <c r="H1837" s="6" t="s">
        <v>36</v>
      </c>
      <c r="I1837">
        <v>47</v>
      </c>
      <c r="J1837">
        <v>1</v>
      </c>
      <c r="K1837">
        <v>48</v>
      </c>
      <c r="L1837" s="6" t="s">
        <v>67</v>
      </c>
      <c r="M1837" s="6" t="s">
        <v>20</v>
      </c>
      <c r="N1837" s="6" t="s">
        <v>48</v>
      </c>
    </row>
    <row r="1838" spans="1:14" x14ac:dyDescent="0.25">
      <c r="A1838" s="6" t="s">
        <v>2588</v>
      </c>
      <c r="B1838" s="4">
        <v>45816</v>
      </c>
      <c r="C1838" s="6" t="s">
        <v>2800</v>
      </c>
      <c r="D1838" s="7">
        <v>0.71072916666666663</v>
      </c>
      <c r="E1838" s="6" t="s">
        <v>16</v>
      </c>
      <c r="F1838" s="6" t="s">
        <v>181</v>
      </c>
      <c r="G1838" s="4">
        <v>26044</v>
      </c>
      <c r="H1838" s="6" t="s">
        <v>213</v>
      </c>
      <c r="I1838">
        <v>47</v>
      </c>
      <c r="J1838">
        <v>1</v>
      </c>
      <c r="K1838">
        <v>48</v>
      </c>
      <c r="L1838" s="6" t="s">
        <v>41</v>
      </c>
      <c r="M1838" s="6" t="s">
        <v>26</v>
      </c>
      <c r="N1838" s="6" t="s">
        <v>74</v>
      </c>
    </row>
    <row r="1839" spans="1:14" x14ac:dyDescent="0.25">
      <c r="A1839" s="6" t="s">
        <v>2589</v>
      </c>
      <c r="B1839" s="4">
        <v>45949</v>
      </c>
      <c r="C1839" s="6" t="s">
        <v>2791</v>
      </c>
      <c r="D1839" s="7">
        <v>0.97361111111111109</v>
      </c>
      <c r="E1839" s="6" t="s">
        <v>16</v>
      </c>
      <c r="F1839" s="6" t="s">
        <v>328</v>
      </c>
      <c r="G1839" s="4">
        <v>33981</v>
      </c>
      <c r="H1839" s="6" t="s">
        <v>93</v>
      </c>
      <c r="I1839">
        <v>236</v>
      </c>
      <c r="J1839">
        <v>3</v>
      </c>
      <c r="K1839">
        <v>710</v>
      </c>
      <c r="L1839" s="6" t="s">
        <v>41</v>
      </c>
      <c r="M1839" s="6" t="s">
        <v>20</v>
      </c>
      <c r="N1839" s="6" t="s">
        <v>74</v>
      </c>
    </row>
    <row r="1840" spans="1:14" x14ac:dyDescent="0.25">
      <c r="A1840" s="6" t="s">
        <v>2590</v>
      </c>
      <c r="B1840" s="4">
        <v>45913</v>
      </c>
      <c r="C1840" s="6" t="s">
        <v>2797</v>
      </c>
      <c r="D1840" s="7">
        <v>0.43402777777777779</v>
      </c>
      <c r="E1840" s="6" t="s">
        <v>16</v>
      </c>
      <c r="F1840" s="6" t="s">
        <v>475</v>
      </c>
      <c r="G1840" s="4">
        <v>32849</v>
      </c>
      <c r="H1840" s="6" t="s">
        <v>110</v>
      </c>
      <c r="I1840">
        <v>133</v>
      </c>
      <c r="J1840">
        <v>1</v>
      </c>
      <c r="K1840">
        <v>133</v>
      </c>
      <c r="L1840" s="6" t="s">
        <v>41</v>
      </c>
      <c r="M1840" s="6" t="s">
        <v>55</v>
      </c>
      <c r="N1840" s="6" t="s">
        <v>105</v>
      </c>
    </row>
    <row r="1841" spans="1:14" x14ac:dyDescent="0.25">
      <c r="A1841" s="6" t="s">
        <v>2591</v>
      </c>
      <c r="B1841" s="4">
        <v>45954</v>
      </c>
      <c r="C1841" s="6" t="s">
        <v>2791</v>
      </c>
      <c r="D1841" s="7">
        <v>0.42430555555555555</v>
      </c>
      <c r="E1841" s="6" t="s">
        <v>16</v>
      </c>
      <c r="F1841" s="6" t="s">
        <v>136</v>
      </c>
      <c r="G1841" s="4">
        <v>39923</v>
      </c>
      <c r="H1841" s="6" t="s">
        <v>110</v>
      </c>
      <c r="I1841">
        <v>115</v>
      </c>
      <c r="J1841">
        <v>2</v>
      </c>
      <c r="K1841">
        <v>231</v>
      </c>
      <c r="L1841" s="6" t="s">
        <v>2787</v>
      </c>
      <c r="M1841" s="6" t="s">
        <v>55</v>
      </c>
      <c r="N1841" s="6" t="s">
        <v>48</v>
      </c>
    </row>
    <row r="1842" spans="1:14" x14ac:dyDescent="0.25">
      <c r="A1842" s="6" t="s">
        <v>2592</v>
      </c>
      <c r="B1842" s="4">
        <v>45670</v>
      </c>
      <c r="C1842" s="6" t="s">
        <v>2794</v>
      </c>
      <c r="D1842" s="7">
        <v>0.46944444444444444</v>
      </c>
      <c r="E1842" s="6" t="s">
        <v>16</v>
      </c>
      <c r="F1842" s="6" t="s">
        <v>237</v>
      </c>
      <c r="G1842" s="4">
        <v>33645</v>
      </c>
      <c r="H1842" s="6" t="s">
        <v>202</v>
      </c>
      <c r="I1842">
        <v>270</v>
      </c>
      <c r="J1842">
        <v>2</v>
      </c>
      <c r="K1842">
        <v>541</v>
      </c>
      <c r="L1842" s="6" t="s">
        <v>67</v>
      </c>
      <c r="M1842" s="6" t="s">
        <v>55</v>
      </c>
      <c r="N1842" s="6" t="s">
        <v>48</v>
      </c>
    </row>
    <row r="1843" spans="1:14" x14ac:dyDescent="0.25">
      <c r="A1843" s="6" t="s">
        <v>2593</v>
      </c>
      <c r="B1843" s="4">
        <v>45858</v>
      </c>
      <c r="C1843" s="6" t="s">
        <v>2795</v>
      </c>
      <c r="D1843" s="7">
        <v>0.58815972222222224</v>
      </c>
      <c r="E1843" s="6" t="s">
        <v>16</v>
      </c>
      <c r="F1843" s="6" t="s">
        <v>79</v>
      </c>
      <c r="G1843" s="4">
        <v>37381</v>
      </c>
      <c r="H1843" s="6" t="s">
        <v>110</v>
      </c>
      <c r="I1843">
        <v>95</v>
      </c>
      <c r="J1843">
        <v>3</v>
      </c>
      <c r="K1843">
        <v>285</v>
      </c>
      <c r="L1843" s="6" t="s">
        <v>67</v>
      </c>
      <c r="M1843" s="6" t="s">
        <v>26</v>
      </c>
      <c r="N1843" s="6" t="s">
        <v>74</v>
      </c>
    </row>
    <row r="1844" spans="1:14" x14ac:dyDescent="0.25">
      <c r="A1844" s="6" t="s">
        <v>2594</v>
      </c>
      <c r="B1844" s="4">
        <v>45768</v>
      </c>
      <c r="C1844" s="6" t="s">
        <v>2801</v>
      </c>
      <c r="D1844" s="7">
        <v>0.86458333333333337</v>
      </c>
      <c r="E1844" s="6" t="s">
        <v>16</v>
      </c>
      <c r="F1844" s="6" t="s">
        <v>191</v>
      </c>
      <c r="G1844" s="4">
        <v>28613</v>
      </c>
      <c r="H1844" s="6" t="s">
        <v>129</v>
      </c>
      <c r="I1844">
        <v>176</v>
      </c>
      <c r="J1844">
        <v>1</v>
      </c>
      <c r="L1844" s="6" t="s">
        <v>67</v>
      </c>
      <c r="M1844" s="6" t="s">
        <v>26</v>
      </c>
      <c r="N1844" s="6" t="s">
        <v>48</v>
      </c>
    </row>
    <row r="1845" spans="1:14" x14ac:dyDescent="0.25">
      <c r="A1845" s="6" t="s">
        <v>2596</v>
      </c>
      <c r="B1845" s="4">
        <v>45909</v>
      </c>
      <c r="C1845" s="6" t="s">
        <v>2797</v>
      </c>
      <c r="D1845" s="7">
        <v>0.58611111111111114</v>
      </c>
      <c r="E1845" s="6" t="s">
        <v>16</v>
      </c>
      <c r="F1845" s="6" t="s">
        <v>624</v>
      </c>
      <c r="G1845" s="4">
        <v>36295</v>
      </c>
      <c r="H1845" s="6" t="s">
        <v>104</v>
      </c>
      <c r="I1845">
        <v>335</v>
      </c>
      <c r="J1845">
        <v>1</v>
      </c>
      <c r="K1845">
        <v>335</v>
      </c>
      <c r="L1845" s="6" t="s">
        <v>41</v>
      </c>
      <c r="M1845" s="6" t="s">
        <v>89</v>
      </c>
      <c r="N1845" s="6" t="s">
        <v>48</v>
      </c>
    </row>
    <row r="1846" spans="1:14" x14ac:dyDescent="0.25">
      <c r="A1846" s="6" t="s">
        <v>2597</v>
      </c>
      <c r="B1846" s="4">
        <v>45621</v>
      </c>
      <c r="C1846" s="6" t="s">
        <v>2802</v>
      </c>
      <c r="D1846" s="7">
        <v>0.89652777777777781</v>
      </c>
      <c r="E1846" s="6" t="s">
        <v>16</v>
      </c>
      <c r="F1846" s="6" t="s">
        <v>358</v>
      </c>
      <c r="G1846" s="4">
        <v>35939</v>
      </c>
      <c r="H1846" s="6" t="s">
        <v>36</v>
      </c>
      <c r="I1846">
        <v>74</v>
      </c>
      <c r="J1846">
        <v>2</v>
      </c>
      <c r="K1846">
        <v>149</v>
      </c>
      <c r="L1846" s="6" t="s">
        <v>54</v>
      </c>
      <c r="M1846" s="6" t="s">
        <v>61</v>
      </c>
      <c r="N1846" s="6" t="s">
        <v>27</v>
      </c>
    </row>
    <row r="1847" spans="1:14" x14ac:dyDescent="0.25">
      <c r="A1847" s="6" t="s">
        <v>2598</v>
      </c>
      <c r="B1847" s="4">
        <v>45909</v>
      </c>
      <c r="C1847" s="6" t="s">
        <v>2797</v>
      </c>
      <c r="D1847" s="7">
        <v>0.95</v>
      </c>
      <c r="E1847" s="6" t="s">
        <v>16</v>
      </c>
      <c r="F1847" s="6" t="s">
        <v>295</v>
      </c>
      <c r="G1847" s="4">
        <v>35812</v>
      </c>
      <c r="H1847" s="6" t="s">
        <v>85</v>
      </c>
      <c r="I1847">
        <v>176</v>
      </c>
      <c r="J1847">
        <v>1</v>
      </c>
      <c r="K1847">
        <v>177</v>
      </c>
      <c r="L1847" s="6" t="s">
        <v>19</v>
      </c>
      <c r="M1847" s="6" t="s">
        <v>20</v>
      </c>
      <c r="N1847" s="6" t="s">
        <v>27</v>
      </c>
    </row>
    <row r="1848" spans="1:14" x14ac:dyDescent="0.25">
      <c r="A1848" s="6" t="s">
        <v>2599</v>
      </c>
      <c r="B1848" s="4">
        <v>45640</v>
      </c>
      <c r="C1848" s="6" t="s">
        <v>2796</v>
      </c>
      <c r="D1848" s="7">
        <v>0.58333333333333337</v>
      </c>
      <c r="E1848" s="6" t="s">
        <v>16</v>
      </c>
      <c r="F1848" s="6" t="s">
        <v>240</v>
      </c>
      <c r="G1848" s="4">
        <v>34600</v>
      </c>
      <c r="H1848" s="6" t="s">
        <v>213</v>
      </c>
      <c r="I1848">
        <v>95</v>
      </c>
      <c r="J1848">
        <v>2</v>
      </c>
      <c r="L1848" s="6" t="s">
        <v>41</v>
      </c>
      <c r="M1848" s="6" t="s">
        <v>55</v>
      </c>
      <c r="N1848" s="6" t="s">
        <v>27</v>
      </c>
    </row>
    <row r="1849" spans="1:14" x14ac:dyDescent="0.25">
      <c r="A1849" s="6" t="s">
        <v>2601</v>
      </c>
      <c r="B1849" s="4">
        <v>45683</v>
      </c>
      <c r="C1849" s="6" t="s">
        <v>2794</v>
      </c>
      <c r="D1849" s="7">
        <v>0.4465277777777778</v>
      </c>
      <c r="E1849" s="6" t="s">
        <v>16</v>
      </c>
      <c r="F1849" s="6" t="s">
        <v>128</v>
      </c>
      <c r="G1849" s="4">
        <v>35385</v>
      </c>
      <c r="H1849" s="6" t="s">
        <v>30</v>
      </c>
      <c r="I1849">
        <v>207</v>
      </c>
      <c r="J1849">
        <v>1</v>
      </c>
      <c r="K1849">
        <v>208</v>
      </c>
      <c r="L1849" s="6" t="s">
        <v>67</v>
      </c>
      <c r="M1849" s="6" t="s">
        <v>37</v>
      </c>
      <c r="N1849" s="6" t="s">
        <v>27</v>
      </c>
    </row>
    <row r="1850" spans="1:14" x14ac:dyDescent="0.25">
      <c r="A1850" s="6" t="s">
        <v>2602</v>
      </c>
      <c r="B1850" s="4">
        <v>45733</v>
      </c>
      <c r="C1850" s="6" t="s">
        <v>2798</v>
      </c>
      <c r="D1850" s="7">
        <v>0.55486111111111114</v>
      </c>
      <c r="E1850" s="6" t="s">
        <v>16</v>
      </c>
      <c r="F1850" s="6" t="s">
        <v>528</v>
      </c>
      <c r="G1850" s="4">
        <v>26914</v>
      </c>
      <c r="H1850" s="6" t="s">
        <v>45</v>
      </c>
      <c r="I1850">
        <v>157</v>
      </c>
      <c r="J1850">
        <v>2</v>
      </c>
      <c r="K1850">
        <v>315</v>
      </c>
      <c r="L1850" s="6" t="s">
        <v>19</v>
      </c>
      <c r="M1850" s="6" t="s">
        <v>61</v>
      </c>
      <c r="N1850" s="6" t="s">
        <v>21</v>
      </c>
    </row>
    <row r="1851" spans="1:14" x14ac:dyDescent="0.25">
      <c r="A1851" s="6" t="s">
        <v>2603</v>
      </c>
      <c r="B1851" s="4">
        <v>45640</v>
      </c>
      <c r="C1851" s="6" t="s">
        <v>2796</v>
      </c>
      <c r="D1851" s="7">
        <v>0.93888888888888888</v>
      </c>
      <c r="E1851" s="6" t="s">
        <v>16</v>
      </c>
      <c r="F1851" s="6" t="s">
        <v>458</v>
      </c>
      <c r="G1851" s="4">
        <v>33229</v>
      </c>
      <c r="H1851" s="6" t="s">
        <v>110</v>
      </c>
      <c r="I1851">
        <v>112</v>
      </c>
      <c r="J1851">
        <v>3</v>
      </c>
      <c r="K1851">
        <v>337</v>
      </c>
      <c r="L1851" s="6" t="s">
        <v>19</v>
      </c>
      <c r="M1851" s="6" t="s">
        <v>89</v>
      </c>
      <c r="N1851" s="6" t="s">
        <v>48</v>
      </c>
    </row>
    <row r="1852" spans="1:14" x14ac:dyDescent="0.25">
      <c r="A1852" s="6" t="s">
        <v>2604</v>
      </c>
      <c r="B1852" s="4">
        <v>45701</v>
      </c>
      <c r="C1852" s="6" t="s">
        <v>2799</v>
      </c>
      <c r="D1852" s="7">
        <v>0.82216435185185188</v>
      </c>
      <c r="E1852" s="6" t="s">
        <v>16</v>
      </c>
      <c r="F1852" s="6" t="s">
        <v>855</v>
      </c>
      <c r="G1852" s="4">
        <v>34275</v>
      </c>
      <c r="H1852" s="6" t="s">
        <v>93</v>
      </c>
      <c r="I1852">
        <v>215</v>
      </c>
      <c r="J1852">
        <v>1</v>
      </c>
      <c r="K1852">
        <v>100</v>
      </c>
      <c r="L1852" s="6" t="s">
        <v>54</v>
      </c>
      <c r="M1852" s="6" t="s">
        <v>61</v>
      </c>
      <c r="N1852" s="6" t="s">
        <v>48</v>
      </c>
    </row>
    <row r="1853" spans="1:14" x14ac:dyDescent="0.25">
      <c r="A1853" s="6" t="s">
        <v>2605</v>
      </c>
      <c r="B1853" s="4">
        <v>45741</v>
      </c>
      <c r="C1853" s="6" t="s">
        <v>2798</v>
      </c>
      <c r="D1853" s="7">
        <v>0.7416666666666667</v>
      </c>
      <c r="E1853" s="6" t="s">
        <v>16</v>
      </c>
      <c r="F1853" s="6" t="s">
        <v>206</v>
      </c>
      <c r="G1853" s="4">
        <v>27752</v>
      </c>
      <c r="H1853" s="6" t="s">
        <v>18</v>
      </c>
      <c r="I1853">
        <v>92</v>
      </c>
      <c r="J1853">
        <v>3</v>
      </c>
      <c r="K1853">
        <v>276</v>
      </c>
      <c r="L1853" s="6" t="s">
        <v>54</v>
      </c>
      <c r="M1853" s="6" t="s">
        <v>32</v>
      </c>
      <c r="N1853" s="6" t="s">
        <v>74</v>
      </c>
    </row>
    <row r="1854" spans="1:14" x14ac:dyDescent="0.25">
      <c r="A1854" s="6" t="s">
        <v>2606</v>
      </c>
      <c r="B1854" s="4">
        <v>45921</v>
      </c>
      <c r="C1854" s="6" t="s">
        <v>2797</v>
      </c>
      <c r="D1854" s="7">
        <v>0.7</v>
      </c>
      <c r="E1854" s="6" t="s">
        <v>16</v>
      </c>
      <c r="F1854" s="6" t="s">
        <v>358</v>
      </c>
      <c r="G1854" s="4">
        <v>28208</v>
      </c>
      <c r="H1854" s="6" t="s">
        <v>45</v>
      </c>
      <c r="I1854">
        <v>241</v>
      </c>
      <c r="J1854">
        <v>1</v>
      </c>
      <c r="K1854">
        <v>241</v>
      </c>
      <c r="L1854" s="6" t="s">
        <v>54</v>
      </c>
      <c r="M1854" s="6" t="s">
        <v>37</v>
      </c>
      <c r="N1854" s="6" t="s">
        <v>105</v>
      </c>
    </row>
    <row r="1855" spans="1:14" x14ac:dyDescent="0.25">
      <c r="A1855" s="6" t="s">
        <v>2607</v>
      </c>
      <c r="B1855" s="4">
        <v>45657</v>
      </c>
      <c r="C1855" s="6" t="s">
        <v>2796</v>
      </c>
      <c r="D1855" s="7">
        <v>0.4635185185185185</v>
      </c>
      <c r="E1855" s="6" t="s">
        <v>16</v>
      </c>
      <c r="F1855" s="6" t="s">
        <v>181</v>
      </c>
      <c r="G1855" s="4">
        <v>36296</v>
      </c>
      <c r="H1855" s="6" t="s">
        <v>141</v>
      </c>
      <c r="I1855">
        <v>123</v>
      </c>
      <c r="J1855">
        <v>1</v>
      </c>
      <c r="K1855">
        <v>124</v>
      </c>
      <c r="L1855" s="6" t="s">
        <v>54</v>
      </c>
      <c r="M1855" s="6" t="s">
        <v>55</v>
      </c>
      <c r="N1855" s="6" t="s">
        <v>33</v>
      </c>
    </row>
    <row r="1856" spans="1:14" x14ac:dyDescent="0.25">
      <c r="A1856" s="6" t="s">
        <v>2608</v>
      </c>
      <c r="B1856" s="4">
        <v>45626</v>
      </c>
      <c r="C1856" s="6" t="s">
        <v>2802</v>
      </c>
      <c r="D1856" s="7">
        <v>0.94166666666666665</v>
      </c>
      <c r="E1856" s="6" t="s">
        <v>16</v>
      </c>
      <c r="F1856" s="6" t="s">
        <v>2609</v>
      </c>
      <c r="G1856" s="4">
        <v>30416</v>
      </c>
      <c r="H1856" s="6" t="s">
        <v>126</v>
      </c>
      <c r="I1856">
        <v>323</v>
      </c>
      <c r="J1856">
        <v>1</v>
      </c>
      <c r="K1856">
        <v>303</v>
      </c>
      <c r="L1856" s="6" t="s">
        <v>54</v>
      </c>
      <c r="M1856" s="6" t="s">
        <v>47</v>
      </c>
      <c r="N1856" s="6" t="s">
        <v>56</v>
      </c>
    </row>
    <row r="1857" spans="1:14" x14ac:dyDescent="0.25">
      <c r="A1857" s="6" t="s">
        <v>2611</v>
      </c>
      <c r="B1857" s="4">
        <v>45754</v>
      </c>
      <c r="C1857" s="6" t="s">
        <v>2801</v>
      </c>
      <c r="D1857" s="7">
        <v>0.74097222222222225</v>
      </c>
      <c r="E1857" s="6" t="s">
        <v>16</v>
      </c>
      <c r="F1857" s="6" t="s">
        <v>770</v>
      </c>
      <c r="G1857" s="4">
        <v>32037</v>
      </c>
      <c r="H1857" s="6" t="s">
        <v>126</v>
      </c>
      <c r="I1857">
        <v>295</v>
      </c>
      <c r="J1857">
        <v>2</v>
      </c>
      <c r="K1857">
        <v>591</v>
      </c>
      <c r="L1857" s="6" t="s">
        <v>41</v>
      </c>
      <c r="M1857" s="6" t="s">
        <v>47</v>
      </c>
      <c r="N1857" s="6" t="s">
        <v>56</v>
      </c>
    </row>
    <row r="1858" spans="1:14" x14ac:dyDescent="0.25">
      <c r="A1858" s="6" t="s">
        <v>2612</v>
      </c>
      <c r="B1858" s="4">
        <v>45819</v>
      </c>
      <c r="C1858" s="6" t="s">
        <v>2800</v>
      </c>
      <c r="D1858" s="7">
        <v>0.83472222222222225</v>
      </c>
      <c r="E1858" s="6" t="s">
        <v>16</v>
      </c>
      <c r="F1858" s="6" t="s">
        <v>351</v>
      </c>
      <c r="G1858" s="4">
        <v>38540</v>
      </c>
      <c r="H1858" s="6" t="s">
        <v>60</v>
      </c>
      <c r="I1858">
        <v>92</v>
      </c>
      <c r="J1858">
        <v>2</v>
      </c>
      <c r="K1858">
        <v>185</v>
      </c>
      <c r="L1858" s="6" t="s">
        <v>19</v>
      </c>
      <c r="M1858" s="6" t="s">
        <v>26</v>
      </c>
      <c r="N1858" s="6" t="s">
        <v>56</v>
      </c>
    </row>
    <row r="1859" spans="1:14" x14ac:dyDescent="0.25">
      <c r="A1859" s="6" t="s">
        <v>2613</v>
      </c>
      <c r="B1859" s="4">
        <v>45796</v>
      </c>
      <c r="C1859" s="6" t="s">
        <v>2792</v>
      </c>
      <c r="D1859" s="7">
        <v>0.63611111111111107</v>
      </c>
      <c r="E1859" s="6" t="s">
        <v>16</v>
      </c>
      <c r="F1859" s="6" t="s">
        <v>82</v>
      </c>
      <c r="G1859" s="4">
        <v>30705</v>
      </c>
      <c r="H1859" s="6" t="s">
        <v>145</v>
      </c>
      <c r="I1859">
        <v>167</v>
      </c>
      <c r="J1859">
        <v>2</v>
      </c>
      <c r="K1859">
        <v>336</v>
      </c>
      <c r="L1859" s="6" t="s">
        <v>41</v>
      </c>
      <c r="M1859" s="6" t="s">
        <v>26</v>
      </c>
      <c r="N1859" s="6" t="s">
        <v>56</v>
      </c>
    </row>
    <row r="1860" spans="1:14" x14ac:dyDescent="0.25">
      <c r="A1860" s="6" t="s">
        <v>2614</v>
      </c>
      <c r="B1860" s="4">
        <v>45703</v>
      </c>
      <c r="C1860" s="6" t="s">
        <v>2799</v>
      </c>
      <c r="D1860" s="7">
        <v>0.5444444444444444</v>
      </c>
      <c r="E1860" s="6" t="s">
        <v>16</v>
      </c>
      <c r="F1860" s="6" t="s">
        <v>76</v>
      </c>
      <c r="G1860" s="4">
        <v>34543</v>
      </c>
      <c r="H1860" s="6" t="s">
        <v>93</v>
      </c>
      <c r="I1860">
        <v>192</v>
      </c>
      <c r="J1860">
        <v>2</v>
      </c>
      <c r="K1860">
        <v>385</v>
      </c>
      <c r="L1860" s="6" t="s">
        <v>19</v>
      </c>
      <c r="M1860" s="6" t="s">
        <v>61</v>
      </c>
      <c r="N1860" s="6" t="s">
        <v>48</v>
      </c>
    </row>
    <row r="1861" spans="1:14" x14ac:dyDescent="0.25">
      <c r="A1861" s="6" t="s">
        <v>2615</v>
      </c>
      <c r="B1861" s="4">
        <v>45648</v>
      </c>
      <c r="C1861" s="6" t="s">
        <v>2796</v>
      </c>
      <c r="D1861" s="7">
        <v>0.61388888888888893</v>
      </c>
      <c r="E1861" s="6" t="s">
        <v>16</v>
      </c>
      <c r="F1861" s="6" t="s">
        <v>107</v>
      </c>
      <c r="G1861" s="4">
        <v>32350</v>
      </c>
      <c r="H1861" s="6" t="s">
        <v>53</v>
      </c>
      <c r="I1861">
        <v>115</v>
      </c>
      <c r="J1861">
        <v>1</v>
      </c>
      <c r="L1861" s="6" t="s">
        <v>19</v>
      </c>
      <c r="M1861" s="6" t="s">
        <v>61</v>
      </c>
      <c r="N1861" s="6" t="s">
        <v>48</v>
      </c>
    </row>
    <row r="1862" spans="1:14" x14ac:dyDescent="0.25">
      <c r="A1862" s="6" t="s">
        <v>2617</v>
      </c>
      <c r="B1862" s="4">
        <v>45738</v>
      </c>
      <c r="C1862" s="6" t="s">
        <v>2798</v>
      </c>
      <c r="D1862" s="7">
        <v>0.98124999999999996</v>
      </c>
      <c r="E1862" s="6" t="s">
        <v>16</v>
      </c>
      <c r="F1862" s="6" t="s">
        <v>131</v>
      </c>
      <c r="G1862" s="4">
        <v>27320</v>
      </c>
      <c r="H1862" s="6" t="s">
        <v>24</v>
      </c>
      <c r="I1862">
        <v>265</v>
      </c>
      <c r="J1862">
        <v>2</v>
      </c>
      <c r="K1862">
        <v>532</v>
      </c>
      <c r="L1862" s="6" t="s">
        <v>19</v>
      </c>
      <c r="M1862" s="6" t="s">
        <v>89</v>
      </c>
      <c r="N1862" s="6" t="s">
        <v>48</v>
      </c>
    </row>
    <row r="1863" spans="1:14" x14ac:dyDescent="0.25">
      <c r="A1863" s="6" t="s">
        <v>2618</v>
      </c>
      <c r="B1863" s="4">
        <v>45863</v>
      </c>
      <c r="C1863" s="6" t="s">
        <v>2795</v>
      </c>
      <c r="D1863" s="7">
        <v>0.79027777777777775</v>
      </c>
      <c r="E1863" s="6" t="s">
        <v>16</v>
      </c>
      <c r="F1863" s="6" t="s">
        <v>161</v>
      </c>
      <c r="G1863" s="4">
        <v>36206</v>
      </c>
      <c r="H1863" s="6" t="s">
        <v>93</v>
      </c>
      <c r="I1863">
        <v>226</v>
      </c>
      <c r="J1863">
        <v>1</v>
      </c>
      <c r="K1863">
        <v>227</v>
      </c>
      <c r="L1863" s="6" t="s">
        <v>41</v>
      </c>
      <c r="M1863" s="6" t="s">
        <v>32</v>
      </c>
      <c r="N1863" s="6" t="s">
        <v>33</v>
      </c>
    </row>
    <row r="1864" spans="1:14" x14ac:dyDescent="0.25">
      <c r="A1864" s="6" t="s">
        <v>2619</v>
      </c>
      <c r="B1864" s="4">
        <v>45632</v>
      </c>
      <c r="C1864" s="6" t="s">
        <v>2796</v>
      </c>
      <c r="D1864" s="7">
        <v>0.79236111111111107</v>
      </c>
      <c r="E1864" s="6" t="s">
        <v>16</v>
      </c>
      <c r="F1864" s="6" t="s">
        <v>397</v>
      </c>
      <c r="G1864" s="4">
        <v>27466</v>
      </c>
      <c r="H1864" s="6" t="s">
        <v>40</v>
      </c>
      <c r="I1864">
        <v>189</v>
      </c>
      <c r="J1864">
        <v>1</v>
      </c>
      <c r="K1864">
        <v>190</v>
      </c>
      <c r="L1864" s="6" t="s">
        <v>41</v>
      </c>
      <c r="M1864" s="6" t="s">
        <v>37</v>
      </c>
      <c r="N1864" s="6" t="s">
        <v>33</v>
      </c>
    </row>
    <row r="1865" spans="1:14" x14ac:dyDescent="0.25">
      <c r="A1865" s="6" t="s">
        <v>2620</v>
      </c>
      <c r="B1865" s="4">
        <v>45764</v>
      </c>
      <c r="C1865" s="6" t="s">
        <v>2801</v>
      </c>
      <c r="D1865" s="7">
        <v>0.84097222222222223</v>
      </c>
      <c r="E1865" s="6" t="s">
        <v>16</v>
      </c>
      <c r="F1865" s="6" t="s">
        <v>397</v>
      </c>
      <c r="G1865" s="4">
        <v>27831</v>
      </c>
      <c r="H1865" s="6" t="s">
        <v>60</v>
      </c>
      <c r="I1865">
        <v>245</v>
      </c>
      <c r="J1865">
        <v>2</v>
      </c>
      <c r="K1865">
        <v>492</v>
      </c>
      <c r="L1865" s="6" t="s">
        <v>67</v>
      </c>
      <c r="M1865" s="6" t="s">
        <v>55</v>
      </c>
      <c r="N1865" s="6" t="s">
        <v>33</v>
      </c>
    </row>
    <row r="1866" spans="1:14" x14ac:dyDescent="0.25">
      <c r="A1866" s="6" t="s">
        <v>2622</v>
      </c>
      <c r="B1866" s="4">
        <v>45666</v>
      </c>
      <c r="C1866" s="6" t="s">
        <v>2794</v>
      </c>
      <c r="D1866" s="7">
        <v>0.44374999999999998</v>
      </c>
      <c r="E1866" s="6" t="s">
        <v>16</v>
      </c>
      <c r="F1866" s="6" t="s">
        <v>163</v>
      </c>
      <c r="G1866" s="4">
        <v>38124</v>
      </c>
      <c r="H1866" s="6" t="s">
        <v>116</v>
      </c>
      <c r="I1866">
        <v>144</v>
      </c>
      <c r="J1866">
        <v>1</v>
      </c>
      <c r="K1866">
        <v>145</v>
      </c>
      <c r="L1866" s="6" t="s">
        <v>41</v>
      </c>
      <c r="M1866" s="6" t="s">
        <v>32</v>
      </c>
      <c r="N1866" s="6" t="s">
        <v>33</v>
      </c>
    </row>
    <row r="1867" spans="1:14" x14ac:dyDescent="0.25">
      <c r="A1867" s="6" t="s">
        <v>2623</v>
      </c>
      <c r="B1867" s="4">
        <v>45879</v>
      </c>
      <c r="C1867" s="6" t="s">
        <v>2793</v>
      </c>
      <c r="D1867" s="7">
        <v>0.43332175925925925</v>
      </c>
      <c r="E1867" s="6" t="s">
        <v>16</v>
      </c>
      <c r="F1867" s="6" t="s">
        <v>548</v>
      </c>
      <c r="G1867" s="4">
        <v>39195</v>
      </c>
      <c r="H1867" s="6" t="s">
        <v>178</v>
      </c>
      <c r="I1867">
        <v>293</v>
      </c>
      <c r="J1867">
        <v>2</v>
      </c>
      <c r="K1867">
        <v>587</v>
      </c>
      <c r="L1867" s="6" t="s">
        <v>19</v>
      </c>
      <c r="M1867" s="6" t="s">
        <v>55</v>
      </c>
      <c r="N1867" s="6" t="s">
        <v>27</v>
      </c>
    </row>
    <row r="1868" spans="1:14" x14ac:dyDescent="0.25">
      <c r="A1868" s="6" t="s">
        <v>2624</v>
      </c>
      <c r="B1868" s="4">
        <v>45706</v>
      </c>
      <c r="C1868" s="6" t="s">
        <v>2799</v>
      </c>
      <c r="D1868" s="7">
        <v>0.91041666666666665</v>
      </c>
      <c r="E1868" s="6" t="s">
        <v>16</v>
      </c>
      <c r="F1868" s="6" t="s">
        <v>35</v>
      </c>
      <c r="G1868" s="4">
        <v>31919</v>
      </c>
      <c r="H1868" s="6" t="s">
        <v>36</v>
      </c>
      <c r="I1868">
        <v>202</v>
      </c>
      <c r="J1868">
        <v>3</v>
      </c>
      <c r="K1868">
        <v>608</v>
      </c>
      <c r="L1868" s="6" t="s">
        <v>67</v>
      </c>
      <c r="M1868" s="6" t="s">
        <v>55</v>
      </c>
      <c r="N1868" s="6" t="s">
        <v>27</v>
      </c>
    </row>
    <row r="1869" spans="1:14" x14ac:dyDescent="0.25">
      <c r="A1869" s="6" t="s">
        <v>2625</v>
      </c>
      <c r="B1869" s="4">
        <v>45780</v>
      </c>
      <c r="C1869" s="6" t="s">
        <v>2792</v>
      </c>
      <c r="D1869" s="7">
        <v>0.56527777777777777</v>
      </c>
      <c r="E1869" s="6" t="s">
        <v>16</v>
      </c>
      <c r="F1869" s="6" t="s">
        <v>194</v>
      </c>
      <c r="G1869" s="4">
        <v>32528</v>
      </c>
      <c r="H1869" s="6" t="s">
        <v>259</v>
      </c>
      <c r="I1869">
        <v>256</v>
      </c>
      <c r="J1869">
        <v>2</v>
      </c>
      <c r="L1869" s="6" t="s">
        <v>41</v>
      </c>
      <c r="M1869" s="6" t="s">
        <v>26</v>
      </c>
      <c r="N1869" s="6" t="s">
        <v>56</v>
      </c>
    </row>
    <row r="1870" spans="1:14" x14ac:dyDescent="0.25">
      <c r="A1870" s="6" t="s">
        <v>2627</v>
      </c>
      <c r="B1870" s="4">
        <v>45812</v>
      </c>
      <c r="C1870" s="6" t="s">
        <v>2800</v>
      </c>
      <c r="D1870" s="7">
        <v>0.8979166666666667</v>
      </c>
      <c r="E1870" s="6" t="s">
        <v>16</v>
      </c>
      <c r="F1870" s="6" t="s">
        <v>528</v>
      </c>
      <c r="G1870" s="4">
        <v>29663</v>
      </c>
      <c r="H1870" s="6" t="s">
        <v>60</v>
      </c>
      <c r="I1870">
        <v>333</v>
      </c>
      <c r="J1870">
        <v>2</v>
      </c>
      <c r="K1870">
        <v>666</v>
      </c>
      <c r="L1870" s="6" t="s">
        <v>54</v>
      </c>
      <c r="M1870" s="6" t="s">
        <v>32</v>
      </c>
      <c r="N1870" s="6" t="s">
        <v>56</v>
      </c>
    </row>
    <row r="1871" spans="1:14" x14ac:dyDescent="0.25">
      <c r="A1871" s="6" t="s">
        <v>2628</v>
      </c>
      <c r="B1871" s="4">
        <v>45746</v>
      </c>
      <c r="C1871" s="6" t="s">
        <v>2798</v>
      </c>
      <c r="D1871" s="7">
        <v>0.70881944444444445</v>
      </c>
      <c r="E1871" s="6" t="s">
        <v>16</v>
      </c>
      <c r="F1871" s="6" t="s">
        <v>411</v>
      </c>
      <c r="G1871" s="4">
        <v>34249</v>
      </c>
      <c r="H1871" s="6" t="s">
        <v>45</v>
      </c>
      <c r="I1871">
        <v>209</v>
      </c>
      <c r="J1871">
        <v>2</v>
      </c>
      <c r="K1871">
        <v>420</v>
      </c>
      <c r="L1871" s="6" t="s">
        <v>19</v>
      </c>
      <c r="M1871" s="6" t="s">
        <v>55</v>
      </c>
      <c r="N1871" s="6" t="s">
        <v>56</v>
      </c>
    </row>
    <row r="1872" spans="1:14" x14ac:dyDescent="0.25">
      <c r="A1872" s="6" t="s">
        <v>2629</v>
      </c>
      <c r="B1872" s="4">
        <v>45891</v>
      </c>
      <c r="C1872" s="6" t="s">
        <v>2793</v>
      </c>
      <c r="D1872" s="7">
        <v>0.63995370370370375</v>
      </c>
      <c r="E1872" s="6" t="s">
        <v>16</v>
      </c>
      <c r="F1872" s="6" t="s">
        <v>425</v>
      </c>
      <c r="G1872" s="4">
        <v>38257</v>
      </c>
      <c r="H1872" s="6" t="s">
        <v>129</v>
      </c>
      <c r="I1872">
        <v>150</v>
      </c>
      <c r="J1872">
        <v>2</v>
      </c>
      <c r="K1872">
        <v>300</v>
      </c>
      <c r="L1872" s="6" t="s">
        <v>19</v>
      </c>
      <c r="M1872" s="6" t="s">
        <v>61</v>
      </c>
      <c r="N1872" s="6" t="s">
        <v>56</v>
      </c>
    </row>
    <row r="1873" spans="1:14" x14ac:dyDescent="0.25">
      <c r="A1873" s="6" t="s">
        <v>2630</v>
      </c>
      <c r="B1873" s="4">
        <v>45782</v>
      </c>
      <c r="C1873" s="6" t="s">
        <v>2792</v>
      </c>
      <c r="D1873" s="7">
        <v>0.62291666666666667</v>
      </c>
      <c r="E1873" s="6" t="s">
        <v>16</v>
      </c>
      <c r="F1873" s="6" t="s">
        <v>88</v>
      </c>
      <c r="G1873" s="4">
        <v>40353</v>
      </c>
      <c r="H1873" s="6" t="s">
        <v>73</v>
      </c>
      <c r="I1873">
        <v>41</v>
      </c>
      <c r="J1873">
        <v>1</v>
      </c>
      <c r="K1873">
        <v>42</v>
      </c>
      <c r="L1873" s="6" t="s">
        <v>19</v>
      </c>
      <c r="M1873" s="6" t="s">
        <v>37</v>
      </c>
      <c r="N1873" s="6" t="s">
        <v>56</v>
      </c>
    </row>
    <row r="1874" spans="1:14" x14ac:dyDescent="0.25">
      <c r="A1874" s="6" t="s">
        <v>2632</v>
      </c>
      <c r="B1874" s="4">
        <v>45849</v>
      </c>
      <c r="C1874" s="6" t="s">
        <v>2795</v>
      </c>
      <c r="D1874" s="7">
        <v>0.849212962962963</v>
      </c>
      <c r="E1874" s="6" t="s">
        <v>16</v>
      </c>
      <c r="F1874" s="6" t="s">
        <v>328</v>
      </c>
      <c r="G1874" s="4">
        <v>38963</v>
      </c>
      <c r="H1874" s="6" t="s">
        <v>199</v>
      </c>
      <c r="I1874">
        <v>166</v>
      </c>
      <c r="J1874">
        <v>2</v>
      </c>
      <c r="K1874">
        <v>369</v>
      </c>
      <c r="L1874" s="6" t="s">
        <v>2787</v>
      </c>
      <c r="M1874" s="6" t="s">
        <v>47</v>
      </c>
      <c r="N1874" s="6" t="s">
        <v>27</v>
      </c>
    </row>
    <row r="1875" spans="1:14" x14ac:dyDescent="0.25">
      <c r="A1875" s="6" t="s">
        <v>2633</v>
      </c>
      <c r="B1875" s="4">
        <v>45739</v>
      </c>
      <c r="C1875" s="6" t="s">
        <v>2798</v>
      </c>
      <c r="D1875" s="7">
        <v>0.91111111111111109</v>
      </c>
      <c r="E1875" s="6" t="s">
        <v>16</v>
      </c>
      <c r="F1875" s="6" t="s">
        <v>237</v>
      </c>
      <c r="G1875" s="4">
        <v>30989</v>
      </c>
      <c r="H1875" s="6" t="s">
        <v>60</v>
      </c>
      <c r="I1875">
        <v>157</v>
      </c>
      <c r="J1875">
        <v>2</v>
      </c>
      <c r="K1875">
        <v>314</v>
      </c>
      <c r="L1875" s="6" t="s">
        <v>2787</v>
      </c>
      <c r="M1875" s="6" t="s">
        <v>26</v>
      </c>
      <c r="N1875" s="6" t="s">
        <v>105</v>
      </c>
    </row>
    <row r="1876" spans="1:14" x14ac:dyDescent="0.25">
      <c r="A1876" s="6" t="s">
        <v>2635</v>
      </c>
      <c r="B1876" s="4">
        <v>45739</v>
      </c>
      <c r="C1876" s="6" t="s">
        <v>2798</v>
      </c>
      <c r="D1876" s="7">
        <v>0.53749999999999998</v>
      </c>
      <c r="E1876" s="6" t="s">
        <v>16</v>
      </c>
      <c r="F1876" s="6" t="s">
        <v>2095</v>
      </c>
      <c r="G1876" s="4">
        <v>33584</v>
      </c>
      <c r="H1876" s="6" t="s">
        <v>126</v>
      </c>
      <c r="I1876">
        <v>131</v>
      </c>
      <c r="J1876">
        <v>1</v>
      </c>
      <c r="K1876">
        <v>131</v>
      </c>
      <c r="L1876" s="6" t="s">
        <v>41</v>
      </c>
      <c r="M1876" s="6" t="s">
        <v>32</v>
      </c>
      <c r="N1876" s="6" t="s">
        <v>105</v>
      </c>
    </row>
    <row r="1877" spans="1:14" x14ac:dyDescent="0.25">
      <c r="A1877" s="6" t="s">
        <v>2636</v>
      </c>
      <c r="B1877" s="4">
        <v>45692</v>
      </c>
      <c r="C1877" s="6" t="s">
        <v>2799</v>
      </c>
      <c r="D1877" s="7">
        <v>0.92361111111111116</v>
      </c>
      <c r="E1877" s="6" t="s">
        <v>16</v>
      </c>
      <c r="F1877" s="6" t="s">
        <v>229</v>
      </c>
      <c r="G1877" s="4">
        <v>28283</v>
      </c>
      <c r="H1877" s="6" t="s">
        <v>116</v>
      </c>
      <c r="I1877">
        <v>289</v>
      </c>
      <c r="J1877">
        <v>1</v>
      </c>
      <c r="L1877" s="6" t="s">
        <v>54</v>
      </c>
      <c r="M1877" s="6" t="s">
        <v>61</v>
      </c>
      <c r="N1877" s="6" t="s">
        <v>105</v>
      </c>
    </row>
    <row r="1878" spans="1:14" x14ac:dyDescent="0.25">
      <c r="A1878" s="6" t="s">
        <v>2638</v>
      </c>
      <c r="B1878" s="4">
        <v>45676</v>
      </c>
      <c r="C1878" s="6" t="s">
        <v>2794</v>
      </c>
      <c r="D1878" s="7">
        <v>0.60069444444444442</v>
      </c>
      <c r="E1878" s="6" t="s">
        <v>16</v>
      </c>
      <c r="F1878" s="6" t="s">
        <v>434</v>
      </c>
      <c r="G1878" s="4">
        <v>31689</v>
      </c>
      <c r="H1878" s="6" t="s">
        <v>104</v>
      </c>
      <c r="I1878">
        <v>327</v>
      </c>
      <c r="J1878">
        <v>2</v>
      </c>
      <c r="K1878">
        <v>655</v>
      </c>
      <c r="L1878" s="6" t="s">
        <v>2787</v>
      </c>
      <c r="M1878" s="6" t="s">
        <v>26</v>
      </c>
      <c r="N1878" s="6" t="s">
        <v>105</v>
      </c>
    </row>
    <row r="1879" spans="1:14" x14ac:dyDescent="0.25">
      <c r="A1879" s="6" t="s">
        <v>2639</v>
      </c>
      <c r="B1879" s="4">
        <v>45943</v>
      </c>
      <c r="C1879" s="6" t="s">
        <v>2791</v>
      </c>
      <c r="D1879" s="7">
        <v>0.47159722222222222</v>
      </c>
      <c r="E1879" s="6" t="s">
        <v>16</v>
      </c>
      <c r="F1879" s="6" t="s">
        <v>158</v>
      </c>
      <c r="G1879" s="4">
        <v>34599</v>
      </c>
      <c r="H1879" s="6" t="s">
        <v>36</v>
      </c>
      <c r="I1879">
        <v>53</v>
      </c>
      <c r="J1879">
        <v>3</v>
      </c>
      <c r="K1879">
        <v>161</v>
      </c>
      <c r="L1879" s="6" t="s">
        <v>41</v>
      </c>
      <c r="M1879" s="6" t="s">
        <v>47</v>
      </c>
      <c r="N1879" s="6" t="s">
        <v>56</v>
      </c>
    </row>
    <row r="1880" spans="1:14" x14ac:dyDescent="0.25">
      <c r="A1880" s="6" t="s">
        <v>2640</v>
      </c>
      <c r="B1880" s="4">
        <v>45804</v>
      </c>
      <c r="C1880" s="6" t="s">
        <v>2792</v>
      </c>
      <c r="D1880" s="7">
        <v>0.46458333333333335</v>
      </c>
      <c r="E1880" s="6" t="s">
        <v>16</v>
      </c>
      <c r="F1880" s="6" t="s">
        <v>360</v>
      </c>
      <c r="G1880" s="4">
        <v>39435</v>
      </c>
      <c r="H1880" s="6" t="s">
        <v>18</v>
      </c>
      <c r="I1880">
        <v>109</v>
      </c>
      <c r="J1880">
        <v>3</v>
      </c>
      <c r="K1880">
        <v>329</v>
      </c>
      <c r="L1880" s="6" t="s">
        <v>19</v>
      </c>
      <c r="M1880" s="6" t="s">
        <v>26</v>
      </c>
      <c r="N1880" s="6" t="s">
        <v>48</v>
      </c>
    </row>
    <row r="1881" spans="1:14" x14ac:dyDescent="0.25">
      <c r="A1881" s="6" t="s">
        <v>2641</v>
      </c>
      <c r="B1881" s="4">
        <v>45777</v>
      </c>
      <c r="C1881" s="6" t="s">
        <v>2801</v>
      </c>
      <c r="D1881" s="7">
        <v>0.42222222222222222</v>
      </c>
      <c r="E1881" s="6" t="s">
        <v>16</v>
      </c>
      <c r="F1881" s="6" t="s">
        <v>133</v>
      </c>
      <c r="G1881" s="4">
        <v>40393</v>
      </c>
      <c r="H1881" s="6" t="s">
        <v>164</v>
      </c>
      <c r="I1881">
        <v>109</v>
      </c>
      <c r="J1881">
        <v>3</v>
      </c>
      <c r="K1881">
        <v>329</v>
      </c>
      <c r="L1881" s="6" t="s">
        <v>19</v>
      </c>
      <c r="M1881" s="6" t="s">
        <v>32</v>
      </c>
      <c r="N1881" s="6" t="s">
        <v>27</v>
      </c>
    </row>
    <row r="1882" spans="1:14" x14ac:dyDescent="0.25">
      <c r="A1882" s="6" t="s">
        <v>2642</v>
      </c>
      <c r="B1882" s="4">
        <v>45658</v>
      </c>
      <c r="C1882" s="6" t="s">
        <v>2794</v>
      </c>
      <c r="D1882" s="7">
        <v>0.76290509259259254</v>
      </c>
      <c r="E1882" s="6" t="s">
        <v>16</v>
      </c>
      <c r="F1882" s="6" t="s">
        <v>173</v>
      </c>
      <c r="G1882" s="4">
        <v>33586</v>
      </c>
      <c r="H1882" s="6" t="s">
        <v>259</v>
      </c>
      <c r="I1882">
        <v>169</v>
      </c>
      <c r="J1882">
        <v>1</v>
      </c>
      <c r="K1882">
        <v>170</v>
      </c>
      <c r="L1882" s="6" t="s">
        <v>67</v>
      </c>
      <c r="M1882" s="6" t="s">
        <v>20</v>
      </c>
      <c r="N1882" s="6" t="s">
        <v>105</v>
      </c>
    </row>
    <row r="1883" spans="1:14" x14ac:dyDescent="0.25">
      <c r="A1883" s="6" t="s">
        <v>2644</v>
      </c>
      <c r="B1883" s="4">
        <v>45855</v>
      </c>
      <c r="C1883" s="6" t="s">
        <v>2795</v>
      </c>
      <c r="D1883" s="7">
        <v>0.61319444444444449</v>
      </c>
      <c r="E1883" s="6" t="s">
        <v>16</v>
      </c>
      <c r="F1883" s="6" t="s">
        <v>82</v>
      </c>
      <c r="G1883" s="4">
        <v>37962</v>
      </c>
      <c r="H1883" s="6" t="s">
        <v>164</v>
      </c>
      <c r="I1883">
        <v>294</v>
      </c>
      <c r="J1883">
        <v>1</v>
      </c>
      <c r="K1883">
        <v>294</v>
      </c>
      <c r="L1883" s="6" t="s">
        <v>41</v>
      </c>
      <c r="M1883" s="6" t="s">
        <v>61</v>
      </c>
      <c r="N1883" s="6" t="s">
        <v>33</v>
      </c>
    </row>
    <row r="1884" spans="1:14" x14ac:dyDescent="0.25">
      <c r="A1884" s="6" t="s">
        <v>2645</v>
      </c>
      <c r="B1884" s="4">
        <v>45704</v>
      </c>
      <c r="C1884" s="6" t="s">
        <v>2799</v>
      </c>
      <c r="D1884" s="7">
        <v>0.75694444444444442</v>
      </c>
      <c r="E1884" s="6" t="s">
        <v>16</v>
      </c>
      <c r="F1884" s="6" t="s">
        <v>330</v>
      </c>
      <c r="G1884" s="4">
        <v>34786</v>
      </c>
      <c r="H1884" s="6" t="s">
        <v>243</v>
      </c>
      <c r="I1884">
        <v>122</v>
      </c>
      <c r="J1884">
        <v>1</v>
      </c>
      <c r="K1884">
        <v>100</v>
      </c>
      <c r="L1884" s="6" t="s">
        <v>2787</v>
      </c>
      <c r="M1884" s="6" t="s">
        <v>20</v>
      </c>
      <c r="N1884" s="6" t="s">
        <v>33</v>
      </c>
    </row>
    <row r="1885" spans="1:14" x14ac:dyDescent="0.25">
      <c r="A1885" s="6" t="s">
        <v>2646</v>
      </c>
      <c r="B1885" s="4">
        <v>45803</v>
      </c>
      <c r="C1885" s="6" t="s">
        <v>2792</v>
      </c>
      <c r="D1885" s="7">
        <v>0.56458333333333333</v>
      </c>
      <c r="E1885" s="6" t="s">
        <v>16</v>
      </c>
      <c r="F1885" s="6" t="s">
        <v>173</v>
      </c>
      <c r="G1885" s="4">
        <v>33213</v>
      </c>
      <c r="H1885" s="6" t="s">
        <v>126</v>
      </c>
      <c r="I1885">
        <v>109</v>
      </c>
      <c r="J1885">
        <v>3</v>
      </c>
      <c r="K1885">
        <v>328</v>
      </c>
      <c r="L1885" s="6" t="s">
        <v>2787</v>
      </c>
      <c r="M1885" s="6" t="s">
        <v>55</v>
      </c>
      <c r="N1885" s="6" t="s">
        <v>74</v>
      </c>
    </row>
    <row r="1886" spans="1:14" x14ac:dyDescent="0.25">
      <c r="A1886" s="6" t="s">
        <v>2647</v>
      </c>
      <c r="B1886" s="4">
        <v>45803</v>
      </c>
      <c r="C1886" s="6" t="s">
        <v>2792</v>
      </c>
      <c r="D1886" s="7">
        <v>0.89859953703703699</v>
      </c>
      <c r="E1886" s="6" t="s">
        <v>16</v>
      </c>
      <c r="F1886" s="6" t="s">
        <v>191</v>
      </c>
      <c r="G1886" s="4">
        <v>34137</v>
      </c>
      <c r="H1886" s="6" t="s">
        <v>53</v>
      </c>
      <c r="I1886">
        <v>104</v>
      </c>
      <c r="J1886">
        <v>3</v>
      </c>
      <c r="K1886">
        <v>314</v>
      </c>
      <c r="L1886" s="6" t="s">
        <v>54</v>
      </c>
      <c r="M1886" s="6" t="s">
        <v>26</v>
      </c>
      <c r="N1886" s="6" t="s">
        <v>33</v>
      </c>
    </row>
    <row r="1887" spans="1:14" x14ac:dyDescent="0.25">
      <c r="A1887" s="6" t="s">
        <v>2648</v>
      </c>
      <c r="B1887" s="4">
        <v>45691</v>
      </c>
      <c r="C1887" s="6" t="s">
        <v>2799</v>
      </c>
      <c r="D1887" s="7">
        <v>0.8936574074074074</v>
      </c>
      <c r="E1887" s="6" t="s">
        <v>16</v>
      </c>
      <c r="F1887" s="6" t="s">
        <v>118</v>
      </c>
      <c r="G1887" s="4">
        <v>29631</v>
      </c>
      <c r="H1887" s="6" t="s">
        <v>110</v>
      </c>
      <c r="I1887">
        <v>120</v>
      </c>
      <c r="J1887">
        <v>2</v>
      </c>
      <c r="K1887">
        <v>241</v>
      </c>
      <c r="L1887" s="6" t="s">
        <v>67</v>
      </c>
      <c r="M1887" s="6" t="s">
        <v>26</v>
      </c>
      <c r="N1887" s="6" t="s">
        <v>27</v>
      </c>
    </row>
    <row r="1888" spans="1:14" x14ac:dyDescent="0.25">
      <c r="A1888" s="6" t="s">
        <v>2649</v>
      </c>
      <c r="B1888" s="4">
        <v>45746</v>
      </c>
      <c r="C1888" s="6" t="s">
        <v>2798</v>
      </c>
      <c r="D1888" s="7">
        <v>0.76666666666666672</v>
      </c>
      <c r="E1888" s="6" t="s">
        <v>16</v>
      </c>
      <c r="F1888" s="6" t="s">
        <v>194</v>
      </c>
      <c r="G1888" s="4">
        <v>37063</v>
      </c>
      <c r="H1888" s="6" t="s">
        <v>243</v>
      </c>
      <c r="I1888">
        <v>147</v>
      </c>
      <c r="J1888">
        <v>1</v>
      </c>
      <c r="K1888">
        <v>147</v>
      </c>
      <c r="L1888" s="6" t="s">
        <v>19</v>
      </c>
      <c r="M1888" s="6" t="s">
        <v>89</v>
      </c>
      <c r="N1888" s="6" t="s">
        <v>74</v>
      </c>
    </row>
    <row r="1889" spans="1:14" x14ac:dyDescent="0.25">
      <c r="A1889" s="6" t="s">
        <v>2650</v>
      </c>
      <c r="B1889" s="4">
        <v>45935</v>
      </c>
      <c r="C1889" s="6" t="s">
        <v>2791</v>
      </c>
      <c r="D1889" s="7">
        <v>0.65486111111111112</v>
      </c>
      <c r="E1889" s="6" t="s">
        <v>16</v>
      </c>
      <c r="F1889" s="6" t="s">
        <v>220</v>
      </c>
      <c r="G1889" s="4">
        <v>31397</v>
      </c>
      <c r="H1889" s="6" t="s">
        <v>36</v>
      </c>
      <c r="I1889">
        <v>111</v>
      </c>
      <c r="J1889">
        <v>2</v>
      </c>
      <c r="K1889">
        <v>223</v>
      </c>
      <c r="L1889" s="6" t="s">
        <v>54</v>
      </c>
      <c r="M1889" s="6" t="s">
        <v>61</v>
      </c>
      <c r="N1889" s="6" t="s">
        <v>56</v>
      </c>
    </row>
    <row r="1890" spans="1:14" x14ac:dyDescent="0.25">
      <c r="A1890" s="6" t="s">
        <v>2651</v>
      </c>
      <c r="B1890" s="4">
        <v>45629</v>
      </c>
      <c r="C1890" s="6" t="s">
        <v>2796</v>
      </c>
      <c r="D1890" s="7">
        <v>0.49982638888888886</v>
      </c>
      <c r="E1890" s="6" t="s">
        <v>16</v>
      </c>
      <c r="F1890" s="6" t="s">
        <v>652</v>
      </c>
      <c r="G1890" s="4">
        <v>32802</v>
      </c>
      <c r="H1890" s="6" t="s">
        <v>104</v>
      </c>
      <c r="I1890">
        <v>226</v>
      </c>
      <c r="J1890">
        <v>3</v>
      </c>
      <c r="L1890" s="6" t="s">
        <v>19</v>
      </c>
      <c r="M1890" s="6" t="s">
        <v>37</v>
      </c>
      <c r="N1890" s="6" t="s">
        <v>74</v>
      </c>
    </row>
    <row r="1891" spans="1:14" x14ac:dyDescent="0.25">
      <c r="A1891" s="6" t="s">
        <v>2653</v>
      </c>
      <c r="B1891" s="4">
        <v>45876</v>
      </c>
      <c r="C1891" s="6" t="s">
        <v>2793</v>
      </c>
      <c r="D1891" s="7">
        <v>0.65833333333333333</v>
      </c>
      <c r="E1891" s="6" t="s">
        <v>16</v>
      </c>
      <c r="F1891" s="6" t="s">
        <v>225</v>
      </c>
      <c r="G1891" s="4">
        <v>34276</v>
      </c>
      <c r="H1891" s="6" t="s">
        <v>129</v>
      </c>
      <c r="I1891">
        <v>165</v>
      </c>
      <c r="J1891">
        <v>1</v>
      </c>
      <c r="K1891">
        <v>165</v>
      </c>
      <c r="L1891" s="6" t="s">
        <v>19</v>
      </c>
      <c r="M1891" s="6" t="s">
        <v>26</v>
      </c>
      <c r="N1891" s="6" t="s">
        <v>105</v>
      </c>
    </row>
    <row r="1892" spans="1:14" x14ac:dyDescent="0.25">
      <c r="A1892" s="6" t="s">
        <v>2654</v>
      </c>
      <c r="B1892" s="4">
        <v>45971</v>
      </c>
      <c r="C1892" s="6" t="s">
        <v>2802</v>
      </c>
      <c r="D1892" s="7">
        <v>0.52152777777777781</v>
      </c>
      <c r="E1892" s="6" t="s">
        <v>16</v>
      </c>
      <c r="F1892" s="6" t="s">
        <v>640</v>
      </c>
      <c r="G1892" s="4">
        <v>35966</v>
      </c>
      <c r="H1892" s="6" t="s">
        <v>141</v>
      </c>
      <c r="I1892">
        <v>138</v>
      </c>
      <c r="J1892">
        <v>1</v>
      </c>
      <c r="K1892">
        <v>139</v>
      </c>
      <c r="L1892" s="6" t="s">
        <v>19</v>
      </c>
      <c r="M1892" s="6" t="s">
        <v>55</v>
      </c>
      <c r="N1892" s="6" t="s">
        <v>48</v>
      </c>
    </row>
    <row r="1893" spans="1:14" x14ac:dyDescent="0.25">
      <c r="A1893" s="6" t="s">
        <v>2655</v>
      </c>
      <c r="B1893" s="4">
        <v>45819</v>
      </c>
      <c r="C1893" s="6" t="s">
        <v>2800</v>
      </c>
      <c r="D1893" s="7">
        <v>0.9194444444444444</v>
      </c>
      <c r="E1893" s="6" t="s">
        <v>16</v>
      </c>
      <c r="F1893" s="6" t="s">
        <v>267</v>
      </c>
      <c r="G1893" s="4">
        <v>38976</v>
      </c>
      <c r="H1893" s="6" t="s">
        <v>141</v>
      </c>
      <c r="I1893">
        <v>129</v>
      </c>
      <c r="J1893">
        <v>1</v>
      </c>
      <c r="K1893">
        <v>130</v>
      </c>
      <c r="L1893" s="6" t="s">
        <v>19</v>
      </c>
      <c r="M1893" s="6" t="s">
        <v>47</v>
      </c>
      <c r="N1893" s="6" t="s">
        <v>48</v>
      </c>
    </row>
    <row r="1894" spans="1:14" x14ac:dyDescent="0.25">
      <c r="A1894" s="6" t="s">
        <v>2656</v>
      </c>
      <c r="B1894" s="4">
        <v>45669</v>
      </c>
      <c r="C1894" s="6" t="s">
        <v>2794</v>
      </c>
      <c r="D1894" s="7">
        <v>0.63680555555555551</v>
      </c>
      <c r="E1894" s="6" t="s">
        <v>16</v>
      </c>
      <c r="F1894" s="6" t="s">
        <v>187</v>
      </c>
      <c r="G1894" s="4">
        <v>28447</v>
      </c>
      <c r="H1894" s="6" t="s">
        <v>73</v>
      </c>
      <c r="I1894">
        <v>46</v>
      </c>
      <c r="J1894">
        <v>2</v>
      </c>
      <c r="L1894" s="6" t="s">
        <v>19</v>
      </c>
      <c r="M1894" s="6" t="s">
        <v>37</v>
      </c>
      <c r="N1894" s="6" t="s">
        <v>105</v>
      </c>
    </row>
    <row r="1895" spans="1:14" x14ac:dyDescent="0.25">
      <c r="A1895" s="6" t="s">
        <v>2658</v>
      </c>
      <c r="B1895" s="4">
        <v>45842</v>
      </c>
      <c r="C1895" s="6" t="s">
        <v>2795</v>
      </c>
      <c r="D1895" s="7">
        <v>0.91388888888888886</v>
      </c>
      <c r="E1895" s="6" t="s">
        <v>16</v>
      </c>
      <c r="F1895" s="6" t="s">
        <v>548</v>
      </c>
      <c r="G1895" s="4">
        <v>28447</v>
      </c>
      <c r="H1895" s="6" t="s">
        <v>104</v>
      </c>
      <c r="I1895">
        <v>282</v>
      </c>
      <c r="J1895">
        <v>2</v>
      </c>
      <c r="K1895">
        <v>565</v>
      </c>
      <c r="L1895" s="6" t="s">
        <v>19</v>
      </c>
      <c r="M1895" s="6" t="s">
        <v>55</v>
      </c>
      <c r="N1895" s="6" t="s">
        <v>74</v>
      </c>
    </row>
    <row r="1896" spans="1:14" x14ac:dyDescent="0.25">
      <c r="A1896" s="6" t="s">
        <v>2659</v>
      </c>
      <c r="B1896" s="4">
        <v>45842</v>
      </c>
      <c r="C1896" s="6" t="s">
        <v>2795</v>
      </c>
      <c r="D1896" s="7">
        <v>0.49027777777777776</v>
      </c>
      <c r="E1896" s="6" t="s">
        <v>16</v>
      </c>
      <c r="F1896" s="6" t="s">
        <v>2660</v>
      </c>
      <c r="G1896" s="4">
        <v>33584</v>
      </c>
      <c r="H1896" s="6" t="s">
        <v>36</v>
      </c>
      <c r="I1896">
        <v>102</v>
      </c>
      <c r="J1896">
        <v>1</v>
      </c>
      <c r="K1896">
        <v>103</v>
      </c>
      <c r="L1896" s="6" t="s">
        <v>19</v>
      </c>
      <c r="M1896" s="6" t="s">
        <v>37</v>
      </c>
      <c r="N1896" s="6" t="s">
        <v>48</v>
      </c>
    </row>
    <row r="1897" spans="1:14" x14ac:dyDescent="0.25">
      <c r="A1897" s="6" t="s">
        <v>2661</v>
      </c>
      <c r="B1897" s="4">
        <v>45884</v>
      </c>
      <c r="C1897" s="6" t="s">
        <v>2793</v>
      </c>
      <c r="D1897" s="7">
        <v>0.50760416666666663</v>
      </c>
      <c r="E1897" s="6" t="s">
        <v>16</v>
      </c>
      <c r="F1897" s="6" t="s">
        <v>383</v>
      </c>
      <c r="G1897" s="4">
        <v>29813</v>
      </c>
      <c r="H1897" s="6" t="s">
        <v>116</v>
      </c>
      <c r="I1897">
        <v>38</v>
      </c>
      <c r="J1897">
        <v>2</v>
      </c>
      <c r="K1897">
        <v>76</v>
      </c>
      <c r="L1897" s="6" t="s">
        <v>19</v>
      </c>
      <c r="M1897" s="6" t="s">
        <v>37</v>
      </c>
      <c r="N1897" s="6" t="s">
        <v>105</v>
      </c>
    </row>
    <row r="1898" spans="1:14" x14ac:dyDescent="0.25">
      <c r="A1898" s="6" t="s">
        <v>2662</v>
      </c>
      <c r="B1898" s="4">
        <v>45634</v>
      </c>
      <c r="C1898" s="6" t="s">
        <v>2796</v>
      </c>
      <c r="D1898" s="7">
        <v>0.83958333333333335</v>
      </c>
      <c r="E1898" s="6" t="s">
        <v>16</v>
      </c>
      <c r="F1898" s="6" t="s">
        <v>389</v>
      </c>
      <c r="G1898" s="4">
        <v>30063</v>
      </c>
      <c r="H1898" s="6" t="s">
        <v>40</v>
      </c>
      <c r="I1898">
        <v>224</v>
      </c>
      <c r="J1898">
        <v>2</v>
      </c>
      <c r="K1898">
        <v>448</v>
      </c>
      <c r="L1898" s="6" t="s">
        <v>67</v>
      </c>
      <c r="M1898" s="6" t="s">
        <v>20</v>
      </c>
      <c r="N1898" s="6" t="s">
        <v>56</v>
      </c>
    </row>
    <row r="1899" spans="1:14" x14ac:dyDescent="0.25">
      <c r="A1899" s="6" t="s">
        <v>2663</v>
      </c>
      <c r="B1899" s="4">
        <v>45876</v>
      </c>
      <c r="C1899" s="6" t="s">
        <v>2793</v>
      </c>
      <c r="D1899" s="7">
        <v>0.7944444444444444</v>
      </c>
      <c r="E1899" s="6" t="s">
        <v>16</v>
      </c>
      <c r="F1899" s="6" t="s">
        <v>240</v>
      </c>
      <c r="G1899" s="4">
        <v>28238</v>
      </c>
      <c r="H1899" s="6" t="s">
        <v>126</v>
      </c>
      <c r="I1899">
        <v>311</v>
      </c>
      <c r="J1899">
        <v>1</v>
      </c>
      <c r="K1899">
        <v>312</v>
      </c>
      <c r="L1899" s="6" t="s">
        <v>41</v>
      </c>
      <c r="M1899" s="6" t="s">
        <v>26</v>
      </c>
      <c r="N1899" s="6" t="s">
        <v>74</v>
      </c>
    </row>
    <row r="1900" spans="1:14" x14ac:dyDescent="0.25">
      <c r="A1900" s="6" t="s">
        <v>2664</v>
      </c>
      <c r="B1900" s="4">
        <v>45831</v>
      </c>
      <c r="C1900" s="6" t="s">
        <v>2800</v>
      </c>
      <c r="D1900" s="7">
        <v>0.97152777777777777</v>
      </c>
      <c r="E1900" s="6" t="s">
        <v>16</v>
      </c>
      <c r="F1900" s="6" t="s">
        <v>334</v>
      </c>
      <c r="G1900" s="4">
        <v>28238</v>
      </c>
      <c r="H1900" s="6" t="s">
        <v>40</v>
      </c>
      <c r="I1900">
        <v>210</v>
      </c>
      <c r="J1900">
        <v>2</v>
      </c>
      <c r="K1900">
        <v>421</v>
      </c>
      <c r="L1900" s="6" t="s">
        <v>41</v>
      </c>
      <c r="M1900" s="6" t="s">
        <v>20</v>
      </c>
      <c r="N1900" s="6" t="s">
        <v>56</v>
      </c>
    </row>
    <row r="1901" spans="1:14" x14ac:dyDescent="0.25">
      <c r="A1901" s="6" t="s">
        <v>2665</v>
      </c>
      <c r="B1901" s="4">
        <v>45665</v>
      </c>
      <c r="C1901" s="6" t="s">
        <v>2794</v>
      </c>
      <c r="D1901" s="7">
        <v>0.73819444444444449</v>
      </c>
      <c r="E1901" s="6" t="s">
        <v>16</v>
      </c>
      <c r="F1901" s="6" t="s">
        <v>76</v>
      </c>
      <c r="G1901" s="4">
        <v>36337</v>
      </c>
      <c r="H1901" s="6" t="s">
        <v>73</v>
      </c>
      <c r="I1901">
        <v>39</v>
      </c>
      <c r="J1901">
        <v>3</v>
      </c>
      <c r="K1901">
        <v>118</v>
      </c>
      <c r="L1901" s="6" t="s">
        <v>67</v>
      </c>
      <c r="M1901" s="6" t="s">
        <v>55</v>
      </c>
      <c r="N1901" s="6" t="s">
        <v>48</v>
      </c>
    </row>
    <row r="1902" spans="1:14" x14ac:dyDescent="0.25">
      <c r="A1902" s="6" t="s">
        <v>2666</v>
      </c>
      <c r="B1902" s="4">
        <v>45866</v>
      </c>
      <c r="C1902" s="6" t="s">
        <v>2795</v>
      </c>
      <c r="D1902" s="7">
        <v>0.81074074074074076</v>
      </c>
      <c r="E1902" s="6" t="s">
        <v>16</v>
      </c>
      <c r="F1902" s="6" t="s">
        <v>151</v>
      </c>
      <c r="G1902" s="4">
        <v>29360</v>
      </c>
      <c r="H1902" s="6" t="s">
        <v>104</v>
      </c>
      <c r="I1902">
        <v>253</v>
      </c>
      <c r="J1902">
        <v>1</v>
      </c>
      <c r="K1902">
        <v>253</v>
      </c>
      <c r="L1902" s="6" t="s">
        <v>19</v>
      </c>
      <c r="M1902" s="6" t="s">
        <v>89</v>
      </c>
      <c r="N1902" s="6" t="s">
        <v>33</v>
      </c>
    </row>
    <row r="1903" spans="1:14" x14ac:dyDescent="0.25">
      <c r="A1903" s="6" t="s">
        <v>2667</v>
      </c>
      <c r="B1903" s="4">
        <v>45859</v>
      </c>
      <c r="C1903" s="6" t="s">
        <v>2795</v>
      </c>
      <c r="D1903" s="7">
        <v>0.8618055555555556</v>
      </c>
      <c r="E1903" s="6" t="s">
        <v>16</v>
      </c>
      <c r="F1903" s="6" t="s">
        <v>154</v>
      </c>
      <c r="G1903" s="4">
        <v>27741</v>
      </c>
      <c r="H1903" s="6" t="s">
        <v>85</v>
      </c>
      <c r="I1903">
        <v>44</v>
      </c>
      <c r="J1903">
        <v>1</v>
      </c>
      <c r="K1903">
        <v>39</v>
      </c>
      <c r="L1903" s="6" t="s">
        <v>41</v>
      </c>
      <c r="M1903" s="6" t="s">
        <v>89</v>
      </c>
      <c r="N1903" s="6" t="s">
        <v>48</v>
      </c>
    </row>
    <row r="1904" spans="1:14" x14ac:dyDescent="0.25">
      <c r="A1904" s="6" t="s">
        <v>2668</v>
      </c>
      <c r="B1904" s="4">
        <v>45675</v>
      </c>
      <c r="C1904" s="6" t="s">
        <v>2794</v>
      </c>
      <c r="D1904" s="7">
        <v>0.70043981481481477</v>
      </c>
      <c r="E1904" s="6" t="s">
        <v>16</v>
      </c>
      <c r="F1904" s="6" t="s">
        <v>494</v>
      </c>
      <c r="G1904" s="4">
        <v>27002</v>
      </c>
      <c r="H1904" s="6" t="s">
        <v>40</v>
      </c>
      <c r="I1904">
        <v>216</v>
      </c>
      <c r="J1904">
        <v>3</v>
      </c>
      <c r="K1904">
        <v>651</v>
      </c>
      <c r="L1904" s="6" t="s">
        <v>19</v>
      </c>
      <c r="M1904" s="6" t="s">
        <v>26</v>
      </c>
      <c r="N1904" s="6" t="s">
        <v>48</v>
      </c>
    </row>
    <row r="1905" spans="1:14" x14ac:dyDescent="0.25">
      <c r="A1905" s="6" t="s">
        <v>2669</v>
      </c>
      <c r="B1905" s="4">
        <v>45764</v>
      </c>
      <c r="C1905" s="6" t="s">
        <v>2801</v>
      </c>
      <c r="D1905" s="7">
        <v>0.58899305555555559</v>
      </c>
      <c r="E1905" s="6" t="s">
        <v>16</v>
      </c>
      <c r="F1905" s="6" t="s">
        <v>136</v>
      </c>
      <c r="G1905" s="4">
        <v>29297</v>
      </c>
      <c r="H1905" s="6" t="s">
        <v>202</v>
      </c>
      <c r="I1905">
        <v>73</v>
      </c>
      <c r="J1905">
        <v>3</v>
      </c>
      <c r="K1905">
        <v>220</v>
      </c>
      <c r="L1905" s="6" t="s">
        <v>2787</v>
      </c>
      <c r="M1905" s="6" t="s">
        <v>37</v>
      </c>
      <c r="N1905" s="6" t="s">
        <v>48</v>
      </c>
    </row>
    <row r="1906" spans="1:14" x14ac:dyDescent="0.25">
      <c r="A1906" s="6" t="s">
        <v>2670</v>
      </c>
      <c r="B1906" s="4">
        <v>45822</v>
      </c>
      <c r="C1906" s="6" t="s">
        <v>2800</v>
      </c>
      <c r="D1906" s="7">
        <v>0.96458333333333335</v>
      </c>
      <c r="E1906" s="6" t="s">
        <v>16</v>
      </c>
      <c r="F1906" s="6" t="s">
        <v>173</v>
      </c>
      <c r="G1906" s="4">
        <v>40396</v>
      </c>
      <c r="H1906" s="6" t="s">
        <v>199</v>
      </c>
      <c r="I1906">
        <v>211</v>
      </c>
      <c r="J1906">
        <v>2</v>
      </c>
      <c r="K1906">
        <v>424</v>
      </c>
      <c r="L1906" s="6" t="s">
        <v>19</v>
      </c>
      <c r="M1906" s="6" t="s">
        <v>89</v>
      </c>
      <c r="N1906" s="6" t="s">
        <v>105</v>
      </c>
    </row>
    <row r="1907" spans="1:14" x14ac:dyDescent="0.25">
      <c r="A1907" s="6" t="s">
        <v>2671</v>
      </c>
      <c r="B1907" s="4">
        <v>45815</v>
      </c>
      <c r="C1907" s="6" t="s">
        <v>2800</v>
      </c>
      <c r="D1907" s="7">
        <v>0.57916666666666672</v>
      </c>
      <c r="E1907" s="6" t="s">
        <v>16</v>
      </c>
      <c r="F1907" s="6" t="s">
        <v>548</v>
      </c>
      <c r="G1907" s="4">
        <v>37092</v>
      </c>
      <c r="H1907" s="6" t="s">
        <v>164</v>
      </c>
      <c r="I1907">
        <v>362</v>
      </c>
      <c r="J1907">
        <v>2</v>
      </c>
      <c r="K1907">
        <v>726</v>
      </c>
      <c r="L1907" s="6" t="s">
        <v>41</v>
      </c>
      <c r="M1907" s="6" t="s">
        <v>47</v>
      </c>
      <c r="N1907" s="6" t="s">
        <v>56</v>
      </c>
    </row>
    <row r="1908" spans="1:14" x14ac:dyDescent="0.25">
      <c r="A1908" s="6" t="s">
        <v>2672</v>
      </c>
      <c r="B1908" s="4">
        <v>45688</v>
      </c>
      <c r="C1908" s="6" t="s">
        <v>2794</v>
      </c>
      <c r="D1908" s="7">
        <v>0.67013888888888884</v>
      </c>
      <c r="E1908" s="6" t="s">
        <v>16</v>
      </c>
      <c r="F1908" s="6" t="s">
        <v>237</v>
      </c>
      <c r="G1908" s="4">
        <v>36584</v>
      </c>
      <c r="H1908" s="6" t="s">
        <v>141</v>
      </c>
      <c r="I1908">
        <v>138</v>
      </c>
      <c r="J1908">
        <v>3</v>
      </c>
      <c r="K1908">
        <v>415</v>
      </c>
      <c r="L1908" s="6" t="s">
        <v>19</v>
      </c>
      <c r="M1908" s="6" t="s">
        <v>20</v>
      </c>
      <c r="N1908" s="6" t="s">
        <v>105</v>
      </c>
    </row>
    <row r="1909" spans="1:14" x14ac:dyDescent="0.25">
      <c r="A1909" s="6" t="s">
        <v>2673</v>
      </c>
      <c r="B1909" s="4">
        <v>45679</v>
      </c>
      <c r="C1909" s="6" t="s">
        <v>2794</v>
      </c>
      <c r="D1909" s="7">
        <v>0.76498842592592597</v>
      </c>
      <c r="E1909" s="6" t="s">
        <v>16</v>
      </c>
      <c r="F1909" s="6" t="s">
        <v>98</v>
      </c>
      <c r="G1909" s="4">
        <v>28630</v>
      </c>
      <c r="H1909" s="6" t="s">
        <v>202</v>
      </c>
      <c r="I1909">
        <v>314</v>
      </c>
      <c r="J1909">
        <v>2</v>
      </c>
      <c r="K1909">
        <v>628</v>
      </c>
      <c r="L1909" s="6" t="s">
        <v>19</v>
      </c>
      <c r="M1909" s="6" t="s">
        <v>89</v>
      </c>
      <c r="N1909" s="6" t="s">
        <v>27</v>
      </c>
    </row>
    <row r="1910" spans="1:14" x14ac:dyDescent="0.25">
      <c r="A1910" s="6" t="s">
        <v>2675</v>
      </c>
      <c r="B1910" s="4">
        <v>45713</v>
      </c>
      <c r="C1910" s="6" t="s">
        <v>2799</v>
      </c>
      <c r="D1910" s="7">
        <v>0.74097222222222225</v>
      </c>
      <c r="E1910" s="6" t="s">
        <v>16</v>
      </c>
      <c r="F1910" s="6" t="s">
        <v>109</v>
      </c>
      <c r="G1910" s="4">
        <v>38544</v>
      </c>
      <c r="H1910" s="6" t="s">
        <v>126</v>
      </c>
      <c r="I1910">
        <v>239</v>
      </c>
      <c r="J1910">
        <v>1</v>
      </c>
      <c r="K1910">
        <v>239</v>
      </c>
      <c r="L1910" s="6" t="s">
        <v>19</v>
      </c>
      <c r="M1910" s="6" t="s">
        <v>47</v>
      </c>
      <c r="N1910" s="6" t="s">
        <v>27</v>
      </c>
    </row>
    <row r="1911" spans="1:14" x14ac:dyDescent="0.25">
      <c r="A1911" s="6" t="s">
        <v>2676</v>
      </c>
      <c r="B1911" s="4">
        <v>45954</v>
      </c>
      <c r="C1911" s="6" t="s">
        <v>2791</v>
      </c>
      <c r="D1911" s="7">
        <v>0.57989583333333339</v>
      </c>
      <c r="E1911" s="6" t="s">
        <v>16</v>
      </c>
      <c r="F1911" s="6" t="s">
        <v>2677</v>
      </c>
      <c r="G1911" s="4">
        <v>38987</v>
      </c>
      <c r="H1911" s="6" t="s">
        <v>116</v>
      </c>
      <c r="I1911">
        <v>156</v>
      </c>
      <c r="J1911">
        <v>1</v>
      </c>
      <c r="K1911">
        <v>157</v>
      </c>
      <c r="L1911" s="6" t="s">
        <v>19</v>
      </c>
      <c r="M1911" s="6" t="s">
        <v>55</v>
      </c>
      <c r="N1911" s="6" t="s">
        <v>21</v>
      </c>
    </row>
    <row r="1912" spans="1:14" x14ac:dyDescent="0.25">
      <c r="A1912" s="6" t="s">
        <v>2678</v>
      </c>
      <c r="B1912" s="4">
        <v>45708</v>
      </c>
      <c r="C1912" s="6" t="s">
        <v>2799</v>
      </c>
      <c r="D1912" s="7">
        <v>0.79791666666666672</v>
      </c>
      <c r="E1912" s="6" t="s">
        <v>16</v>
      </c>
      <c r="F1912" s="6" t="s">
        <v>2679</v>
      </c>
      <c r="G1912" s="4">
        <v>32310</v>
      </c>
      <c r="H1912" s="6" t="s">
        <v>259</v>
      </c>
      <c r="I1912">
        <v>136</v>
      </c>
      <c r="J1912">
        <v>1</v>
      </c>
      <c r="K1912">
        <v>136</v>
      </c>
      <c r="L1912" s="6" t="s">
        <v>41</v>
      </c>
      <c r="M1912" s="6" t="s">
        <v>89</v>
      </c>
      <c r="N1912" s="6" t="s">
        <v>33</v>
      </c>
    </row>
    <row r="1913" spans="1:14" x14ac:dyDescent="0.25">
      <c r="A1913" s="6" t="s">
        <v>2680</v>
      </c>
      <c r="B1913" s="4">
        <v>45896</v>
      </c>
      <c r="C1913" s="6" t="s">
        <v>2793</v>
      </c>
      <c r="D1913" s="7">
        <v>0.75972222222222219</v>
      </c>
      <c r="E1913" s="6" t="s">
        <v>16</v>
      </c>
      <c r="F1913" s="6" t="s">
        <v>140</v>
      </c>
      <c r="G1913" s="4">
        <v>30424</v>
      </c>
      <c r="H1913" s="6" t="s">
        <v>126</v>
      </c>
      <c r="I1913">
        <v>215</v>
      </c>
      <c r="J1913">
        <v>2</v>
      </c>
      <c r="K1913">
        <v>430</v>
      </c>
      <c r="L1913" s="6" t="s">
        <v>19</v>
      </c>
      <c r="M1913" s="6" t="s">
        <v>26</v>
      </c>
      <c r="N1913" s="6" t="s">
        <v>33</v>
      </c>
    </row>
    <row r="1914" spans="1:14" x14ac:dyDescent="0.25">
      <c r="A1914" s="6" t="s">
        <v>2681</v>
      </c>
      <c r="B1914" s="4">
        <v>45673</v>
      </c>
      <c r="C1914" s="6" t="s">
        <v>2794</v>
      </c>
      <c r="D1914" s="7">
        <v>0.69722222222222219</v>
      </c>
      <c r="E1914" s="6" t="s">
        <v>16</v>
      </c>
      <c r="F1914" s="6" t="s">
        <v>389</v>
      </c>
      <c r="G1914" s="4">
        <v>39147</v>
      </c>
      <c r="H1914" s="6" t="s">
        <v>126</v>
      </c>
      <c r="I1914">
        <v>185</v>
      </c>
      <c r="J1914">
        <v>3</v>
      </c>
      <c r="K1914">
        <v>557</v>
      </c>
      <c r="L1914" s="6" t="s">
        <v>19</v>
      </c>
      <c r="M1914" s="6" t="s">
        <v>55</v>
      </c>
      <c r="N1914" s="6" t="s">
        <v>33</v>
      </c>
    </row>
    <row r="1915" spans="1:14" x14ac:dyDescent="0.25">
      <c r="A1915" s="6" t="s">
        <v>2682</v>
      </c>
      <c r="B1915" s="4">
        <v>45698</v>
      </c>
      <c r="C1915" s="6" t="s">
        <v>2799</v>
      </c>
      <c r="D1915" s="7">
        <v>0.87291666666666667</v>
      </c>
      <c r="E1915" s="6" t="s">
        <v>16</v>
      </c>
      <c r="F1915" s="6" t="s">
        <v>562</v>
      </c>
      <c r="G1915" s="4">
        <v>39147</v>
      </c>
      <c r="H1915" s="6" t="s">
        <v>45</v>
      </c>
      <c r="I1915">
        <v>252</v>
      </c>
      <c r="J1915">
        <v>2</v>
      </c>
      <c r="K1915">
        <v>506</v>
      </c>
      <c r="L1915" s="6" t="s">
        <v>19</v>
      </c>
      <c r="M1915" s="6" t="s">
        <v>89</v>
      </c>
      <c r="N1915" s="6" t="s">
        <v>33</v>
      </c>
    </row>
    <row r="1916" spans="1:14" x14ac:dyDescent="0.25">
      <c r="A1916" s="6" t="s">
        <v>2683</v>
      </c>
      <c r="B1916" s="4">
        <v>45872</v>
      </c>
      <c r="C1916" s="6" t="s">
        <v>2793</v>
      </c>
      <c r="D1916" s="7">
        <v>0.79722222222222228</v>
      </c>
      <c r="E1916" s="6" t="s">
        <v>16</v>
      </c>
      <c r="F1916" s="6" t="s">
        <v>109</v>
      </c>
      <c r="G1916" s="4">
        <v>34184</v>
      </c>
      <c r="H1916" s="6" t="s">
        <v>85</v>
      </c>
      <c r="I1916">
        <v>150</v>
      </c>
      <c r="J1916">
        <v>1</v>
      </c>
      <c r="K1916">
        <v>150</v>
      </c>
      <c r="L1916" s="6" t="s">
        <v>19</v>
      </c>
      <c r="M1916" s="6" t="s">
        <v>55</v>
      </c>
      <c r="N1916" s="6" t="s">
        <v>56</v>
      </c>
    </row>
    <row r="1917" spans="1:14" x14ac:dyDescent="0.25">
      <c r="A1917" s="6" t="s">
        <v>2684</v>
      </c>
      <c r="B1917" s="4">
        <v>45927</v>
      </c>
      <c r="C1917" s="6" t="s">
        <v>2797</v>
      </c>
      <c r="D1917" s="7">
        <v>0.46108796296296295</v>
      </c>
      <c r="E1917" s="6" t="s">
        <v>16</v>
      </c>
      <c r="F1917" s="6" t="s">
        <v>328</v>
      </c>
      <c r="G1917" s="4">
        <v>27287</v>
      </c>
      <c r="H1917" s="6" t="s">
        <v>164</v>
      </c>
      <c r="I1917">
        <v>323</v>
      </c>
      <c r="J1917">
        <v>1</v>
      </c>
      <c r="K1917">
        <v>324</v>
      </c>
      <c r="L1917" s="6" t="s">
        <v>19</v>
      </c>
      <c r="M1917" s="6" t="s">
        <v>32</v>
      </c>
      <c r="N1917" s="6" t="s">
        <v>56</v>
      </c>
    </row>
    <row r="1918" spans="1:14" x14ac:dyDescent="0.25">
      <c r="A1918" s="6" t="s">
        <v>2685</v>
      </c>
      <c r="B1918" s="4">
        <v>45938</v>
      </c>
      <c r="C1918" s="6" t="s">
        <v>2791</v>
      </c>
      <c r="D1918" s="7">
        <v>0.9145833333333333</v>
      </c>
      <c r="E1918" s="6" t="s">
        <v>16</v>
      </c>
      <c r="F1918" s="6" t="s">
        <v>66</v>
      </c>
      <c r="G1918" s="4">
        <v>33898</v>
      </c>
      <c r="H1918" s="6" t="s">
        <v>45</v>
      </c>
      <c r="I1918">
        <v>343</v>
      </c>
      <c r="J1918">
        <v>1</v>
      </c>
      <c r="K1918">
        <v>344</v>
      </c>
      <c r="L1918" s="6" t="s">
        <v>54</v>
      </c>
      <c r="M1918" s="6" t="s">
        <v>32</v>
      </c>
      <c r="N1918" s="6" t="s">
        <v>48</v>
      </c>
    </row>
    <row r="1919" spans="1:14" x14ac:dyDescent="0.25">
      <c r="A1919" s="6" t="s">
        <v>2686</v>
      </c>
      <c r="B1919" s="4">
        <v>45831</v>
      </c>
      <c r="C1919" s="6" t="s">
        <v>2800</v>
      </c>
      <c r="D1919" s="7">
        <v>0.96009259259259261</v>
      </c>
      <c r="E1919" s="6" t="s">
        <v>16</v>
      </c>
      <c r="F1919" s="6" t="s">
        <v>79</v>
      </c>
      <c r="G1919" s="4">
        <v>27630</v>
      </c>
      <c r="H1919" s="6" t="s">
        <v>116</v>
      </c>
      <c r="I1919">
        <v>316</v>
      </c>
      <c r="J1919">
        <v>1</v>
      </c>
      <c r="K1919">
        <v>317</v>
      </c>
      <c r="L1919" s="6" t="s">
        <v>2787</v>
      </c>
      <c r="M1919" s="6" t="s">
        <v>89</v>
      </c>
      <c r="N1919" s="6" t="s">
        <v>21</v>
      </c>
    </row>
    <row r="1920" spans="1:14" x14ac:dyDescent="0.25">
      <c r="A1920" s="6" t="s">
        <v>2687</v>
      </c>
      <c r="B1920" s="4">
        <v>45736</v>
      </c>
      <c r="C1920" s="6" t="s">
        <v>2798</v>
      </c>
      <c r="D1920" s="7">
        <v>0.64930555555555558</v>
      </c>
      <c r="E1920" s="6" t="s">
        <v>16</v>
      </c>
      <c r="F1920" s="6" t="s">
        <v>2677</v>
      </c>
      <c r="G1920" s="4">
        <v>36526</v>
      </c>
      <c r="H1920" s="6" t="s">
        <v>213</v>
      </c>
      <c r="I1920">
        <v>53</v>
      </c>
      <c r="J1920">
        <v>1</v>
      </c>
      <c r="K1920">
        <v>53</v>
      </c>
      <c r="L1920" s="6" t="s">
        <v>67</v>
      </c>
      <c r="M1920" s="6" t="s">
        <v>37</v>
      </c>
      <c r="N1920" s="6" t="s">
        <v>21</v>
      </c>
    </row>
    <row r="1921" spans="1:14" x14ac:dyDescent="0.25">
      <c r="A1921" s="6" t="s">
        <v>2688</v>
      </c>
      <c r="B1921" s="4">
        <v>45818</v>
      </c>
      <c r="C1921" s="6" t="s">
        <v>2800</v>
      </c>
      <c r="D1921" s="7">
        <v>0.47506944444444443</v>
      </c>
      <c r="E1921" s="6" t="s">
        <v>16</v>
      </c>
      <c r="F1921" s="6" t="s">
        <v>411</v>
      </c>
      <c r="G1921" s="4">
        <v>32785</v>
      </c>
      <c r="H1921" s="6" t="s">
        <v>40</v>
      </c>
      <c r="I1921">
        <v>209</v>
      </c>
      <c r="J1921">
        <v>1</v>
      </c>
      <c r="L1921" s="6" t="s">
        <v>54</v>
      </c>
      <c r="M1921" s="6" t="s">
        <v>32</v>
      </c>
      <c r="N1921" s="6" t="s">
        <v>21</v>
      </c>
    </row>
    <row r="1922" spans="1:14" x14ac:dyDescent="0.25">
      <c r="A1922" s="6" t="s">
        <v>2690</v>
      </c>
      <c r="B1922" s="4">
        <v>45658</v>
      </c>
      <c r="C1922" s="6" t="s">
        <v>2794</v>
      </c>
      <c r="D1922" s="7">
        <v>0.85555555555555551</v>
      </c>
      <c r="E1922" s="6" t="s">
        <v>16</v>
      </c>
      <c r="F1922" s="6" t="s">
        <v>473</v>
      </c>
      <c r="G1922" s="4">
        <v>39519</v>
      </c>
      <c r="H1922" s="6" t="s">
        <v>77</v>
      </c>
      <c r="I1922">
        <v>290</v>
      </c>
      <c r="J1922">
        <v>1</v>
      </c>
      <c r="K1922">
        <v>290</v>
      </c>
      <c r="L1922" s="6" t="s">
        <v>67</v>
      </c>
      <c r="M1922" s="6" t="s">
        <v>20</v>
      </c>
      <c r="N1922" s="6" t="s">
        <v>56</v>
      </c>
    </row>
    <row r="1923" spans="1:14" x14ac:dyDescent="0.25">
      <c r="A1923" s="6" t="s">
        <v>2691</v>
      </c>
      <c r="B1923" s="4">
        <v>45789</v>
      </c>
      <c r="C1923" s="6" t="s">
        <v>2792</v>
      </c>
      <c r="D1923" s="7">
        <v>0.98750000000000004</v>
      </c>
      <c r="E1923" s="6" t="s">
        <v>16</v>
      </c>
      <c r="F1923" s="6" t="s">
        <v>2692</v>
      </c>
      <c r="G1923" s="4">
        <v>30217</v>
      </c>
      <c r="H1923" s="6" t="s">
        <v>243</v>
      </c>
      <c r="I1923">
        <v>143</v>
      </c>
      <c r="J1923">
        <v>1</v>
      </c>
      <c r="K1923">
        <v>144</v>
      </c>
      <c r="L1923" s="6" t="s">
        <v>19</v>
      </c>
      <c r="M1923" s="6" t="s">
        <v>89</v>
      </c>
      <c r="N1923" s="6" t="s">
        <v>74</v>
      </c>
    </row>
    <row r="1924" spans="1:14" x14ac:dyDescent="0.25">
      <c r="A1924" s="6" t="s">
        <v>2693</v>
      </c>
      <c r="B1924" s="4">
        <v>45675</v>
      </c>
      <c r="C1924" s="6" t="s">
        <v>2794</v>
      </c>
      <c r="D1924" s="7">
        <v>0.49027777777777776</v>
      </c>
      <c r="E1924" s="6" t="s">
        <v>16</v>
      </c>
      <c r="F1924" s="6" t="s">
        <v>101</v>
      </c>
      <c r="G1924" s="4">
        <v>30217</v>
      </c>
      <c r="H1924" s="6" t="s">
        <v>243</v>
      </c>
      <c r="I1924">
        <v>155</v>
      </c>
      <c r="J1924">
        <v>1</v>
      </c>
      <c r="K1924">
        <v>155</v>
      </c>
      <c r="L1924" s="6" t="s">
        <v>19</v>
      </c>
      <c r="M1924" s="6" t="s">
        <v>47</v>
      </c>
      <c r="N1924" s="6" t="s">
        <v>48</v>
      </c>
    </row>
    <row r="1925" spans="1:14" x14ac:dyDescent="0.25">
      <c r="A1925" s="6" t="s">
        <v>2694</v>
      </c>
      <c r="B1925" s="4">
        <v>45927</v>
      </c>
      <c r="C1925" s="6" t="s">
        <v>2797</v>
      </c>
      <c r="D1925" s="7">
        <v>0.54937499999999995</v>
      </c>
      <c r="E1925" s="6" t="s">
        <v>16</v>
      </c>
      <c r="F1925" s="6" t="s">
        <v>92</v>
      </c>
      <c r="G1925" s="4">
        <v>40053</v>
      </c>
      <c r="H1925" s="6" t="s">
        <v>104</v>
      </c>
      <c r="I1925">
        <v>311</v>
      </c>
      <c r="J1925">
        <v>1</v>
      </c>
      <c r="K1925">
        <v>312</v>
      </c>
      <c r="L1925" s="6" t="s">
        <v>19</v>
      </c>
      <c r="M1925" s="6" t="s">
        <v>26</v>
      </c>
      <c r="N1925" s="6" t="s">
        <v>48</v>
      </c>
    </row>
    <row r="1926" spans="1:14" x14ac:dyDescent="0.25">
      <c r="A1926" s="6" t="s">
        <v>2695</v>
      </c>
      <c r="B1926" s="4">
        <v>45733</v>
      </c>
      <c r="C1926" s="6" t="s">
        <v>2798</v>
      </c>
      <c r="D1926" s="7">
        <v>0.50665509259259256</v>
      </c>
      <c r="E1926" s="6" t="s">
        <v>16</v>
      </c>
      <c r="F1926" s="6" t="s">
        <v>2696</v>
      </c>
      <c r="G1926" s="4">
        <v>39306</v>
      </c>
      <c r="H1926" s="6" t="s">
        <v>18</v>
      </c>
      <c r="I1926">
        <v>85</v>
      </c>
      <c r="J1926">
        <v>1</v>
      </c>
      <c r="K1926">
        <v>86</v>
      </c>
      <c r="L1926" s="6" t="s">
        <v>2787</v>
      </c>
      <c r="M1926" s="6" t="s">
        <v>26</v>
      </c>
      <c r="N1926" s="6" t="s">
        <v>74</v>
      </c>
    </row>
    <row r="1927" spans="1:14" x14ac:dyDescent="0.25">
      <c r="A1927" s="6" t="s">
        <v>2697</v>
      </c>
      <c r="B1927" s="4">
        <v>45736</v>
      </c>
      <c r="C1927" s="6" t="s">
        <v>2798</v>
      </c>
      <c r="D1927" s="7">
        <v>0.60486111111111107</v>
      </c>
      <c r="E1927" s="6" t="s">
        <v>16</v>
      </c>
      <c r="F1927" s="6" t="s">
        <v>161</v>
      </c>
      <c r="G1927" s="4">
        <v>39306</v>
      </c>
      <c r="H1927" s="6" t="s">
        <v>40</v>
      </c>
      <c r="I1927">
        <v>223</v>
      </c>
      <c r="J1927">
        <v>1</v>
      </c>
      <c r="K1927">
        <v>223</v>
      </c>
      <c r="L1927" s="6" t="s">
        <v>2787</v>
      </c>
      <c r="M1927" s="6" t="s">
        <v>47</v>
      </c>
      <c r="N1927" s="6" t="s">
        <v>48</v>
      </c>
    </row>
    <row r="1928" spans="1:14" x14ac:dyDescent="0.25">
      <c r="A1928" s="6" t="s">
        <v>2698</v>
      </c>
      <c r="B1928" s="4">
        <v>45936</v>
      </c>
      <c r="C1928" s="6" t="s">
        <v>2791</v>
      </c>
      <c r="D1928" s="7">
        <v>0.6645833333333333</v>
      </c>
      <c r="E1928" s="6" t="s">
        <v>16</v>
      </c>
      <c r="F1928" s="6" t="s">
        <v>377</v>
      </c>
      <c r="G1928" s="4">
        <v>32271</v>
      </c>
      <c r="H1928" s="6" t="s">
        <v>202</v>
      </c>
      <c r="I1928">
        <v>223</v>
      </c>
      <c r="J1928">
        <v>1</v>
      </c>
      <c r="K1928">
        <v>223</v>
      </c>
      <c r="L1928" s="6" t="s">
        <v>67</v>
      </c>
      <c r="M1928" s="6" t="s">
        <v>26</v>
      </c>
      <c r="N1928" s="6" t="s">
        <v>21</v>
      </c>
    </row>
    <row r="1929" spans="1:14" x14ac:dyDescent="0.25">
      <c r="A1929" s="6" t="s">
        <v>2699</v>
      </c>
      <c r="B1929" s="4">
        <v>45676</v>
      </c>
      <c r="C1929" s="6" t="s">
        <v>2794</v>
      </c>
      <c r="D1929" s="7">
        <v>0.72361111111111109</v>
      </c>
      <c r="E1929" s="6" t="s">
        <v>16</v>
      </c>
      <c r="F1929" s="6" t="s">
        <v>240</v>
      </c>
      <c r="G1929" s="4">
        <v>35164</v>
      </c>
      <c r="H1929" s="6" t="s">
        <v>129</v>
      </c>
      <c r="I1929">
        <v>161</v>
      </c>
      <c r="J1929">
        <v>3</v>
      </c>
      <c r="K1929">
        <v>483</v>
      </c>
      <c r="L1929" s="6" t="s">
        <v>41</v>
      </c>
      <c r="M1929" s="6" t="s">
        <v>26</v>
      </c>
      <c r="N1929" s="6" t="s">
        <v>74</v>
      </c>
    </row>
    <row r="1930" spans="1:14" x14ac:dyDescent="0.25">
      <c r="A1930" s="6" t="s">
        <v>2700</v>
      </c>
      <c r="B1930" s="4">
        <v>45658</v>
      </c>
      <c r="C1930" s="6" t="s">
        <v>2794</v>
      </c>
      <c r="D1930" s="7">
        <v>0.83723379629629635</v>
      </c>
      <c r="E1930" s="6" t="s">
        <v>16</v>
      </c>
      <c r="F1930" s="6" t="s">
        <v>256</v>
      </c>
      <c r="G1930" s="4">
        <v>37007</v>
      </c>
      <c r="H1930" s="6" t="s">
        <v>40</v>
      </c>
      <c r="I1930">
        <v>182</v>
      </c>
      <c r="J1930">
        <v>3</v>
      </c>
      <c r="K1930">
        <v>547</v>
      </c>
      <c r="L1930" s="6" t="s">
        <v>41</v>
      </c>
      <c r="M1930" s="6" t="s">
        <v>47</v>
      </c>
      <c r="N1930" s="6" t="s">
        <v>74</v>
      </c>
    </row>
    <row r="1931" spans="1:14" x14ac:dyDescent="0.25">
      <c r="A1931" s="6" t="s">
        <v>2701</v>
      </c>
      <c r="B1931" s="4">
        <v>45731</v>
      </c>
      <c r="C1931" s="6" t="s">
        <v>2798</v>
      </c>
      <c r="D1931" s="7">
        <v>0.7104166666666667</v>
      </c>
      <c r="E1931" s="6" t="s">
        <v>16</v>
      </c>
      <c r="F1931" s="6" t="s">
        <v>330</v>
      </c>
      <c r="G1931" s="4">
        <v>32148</v>
      </c>
      <c r="H1931" s="6" t="s">
        <v>45</v>
      </c>
      <c r="I1931">
        <v>111</v>
      </c>
      <c r="J1931">
        <v>3</v>
      </c>
      <c r="K1931">
        <v>333</v>
      </c>
      <c r="L1931" s="6" t="s">
        <v>19</v>
      </c>
      <c r="M1931" s="6" t="s">
        <v>89</v>
      </c>
      <c r="N1931" s="6" t="s">
        <v>33</v>
      </c>
    </row>
    <row r="1932" spans="1:14" x14ac:dyDescent="0.25">
      <c r="A1932" s="6" t="s">
        <v>2702</v>
      </c>
      <c r="B1932" s="4">
        <v>45954</v>
      </c>
      <c r="C1932" s="6" t="s">
        <v>2791</v>
      </c>
      <c r="D1932" s="7">
        <v>0.71805555555555556</v>
      </c>
      <c r="E1932" s="6" t="s">
        <v>16</v>
      </c>
      <c r="F1932" s="6" t="s">
        <v>923</v>
      </c>
      <c r="G1932" s="4">
        <v>31992</v>
      </c>
      <c r="H1932" s="6" t="s">
        <v>259</v>
      </c>
      <c r="I1932">
        <v>315</v>
      </c>
      <c r="J1932">
        <v>1</v>
      </c>
      <c r="K1932">
        <v>315</v>
      </c>
      <c r="L1932" s="6" t="s">
        <v>19</v>
      </c>
      <c r="M1932" s="6" t="s">
        <v>47</v>
      </c>
      <c r="N1932" s="6" t="s">
        <v>33</v>
      </c>
    </row>
    <row r="1933" spans="1:14" x14ac:dyDescent="0.25">
      <c r="A1933" s="6" t="s">
        <v>2703</v>
      </c>
      <c r="B1933" s="4">
        <v>45858</v>
      </c>
      <c r="C1933" s="6" t="s">
        <v>2795</v>
      </c>
      <c r="D1933" s="7">
        <v>0.64027777777777772</v>
      </c>
      <c r="E1933" s="6" t="s">
        <v>16</v>
      </c>
      <c r="F1933" s="6" t="s">
        <v>95</v>
      </c>
      <c r="G1933" s="4">
        <v>31471</v>
      </c>
      <c r="H1933" s="6" t="s">
        <v>259</v>
      </c>
      <c r="I1933">
        <v>108</v>
      </c>
      <c r="J1933">
        <v>2</v>
      </c>
      <c r="K1933">
        <v>217</v>
      </c>
      <c r="L1933" s="6" t="s">
        <v>19</v>
      </c>
      <c r="M1933" s="6" t="s">
        <v>26</v>
      </c>
      <c r="N1933" s="6" t="s">
        <v>48</v>
      </c>
    </row>
    <row r="1934" spans="1:14" x14ac:dyDescent="0.25">
      <c r="A1934" s="6" t="s">
        <v>2704</v>
      </c>
      <c r="B1934" s="4">
        <v>45671</v>
      </c>
      <c r="C1934" s="6" t="s">
        <v>2794</v>
      </c>
      <c r="D1934" s="7">
        <v>0.93630787037037033</v>
      </c>
      <c r="E1934" s="6" t="s">
        <v>16</v>
      </c>
      <c r="F1934" s="6" t="s">
        <v>1427</v>
      </c>
      <c r="G1934" s="4">
        <v>33584</v>
      </c>
      <c r="H1934" s="6" t="s">
        <v>73</v>
      </c>
      <c r="I1934">
        <v>53</v>
      </c>
      <c r="J1934">
        <v>2</v>
      </c>
      <c r="K1934">
        <v>107</v>
      </c>
      <c r="L1934" s="6" t="s">
        <v>19</v>
      </c>
      <c r="M1934" s="6" t="s">
        <v>37</v>
      </c>
      <c r="N1934" s="6" t="s">
        <v>21</v>
      </c>
    </row>
    <row r="1935" spans="1:14" x14ac:dyDescent="0.25">
      <c r="A1935" s="6" t="s">
        <v>2705</v>
      </c>
      <c r="B1935" s="4">
        <v>45766</v>
      </c>
      <c r="C1935" s="6" t="s">
        <v>2801</v>
      </c>
      <c r="D1935" s="7">
        <v>0.7104166666666667</v>
      </c>
      <c r="E1935" s="6" t="s">
        <v>16</v>
      </c>
      <c r="F1935" s="6" t="s">
        <v>332</v>
      </c>
      <c r="G1935" s="4">
        <v>31496</v>
      </c>
      <c r="H1935" s="6" t="s">
        <v>164</v>
      </c>
      <c r="I1935">
        <v>240</v>
      </c>
      <c r="J1935">
        <v>3</v>
      </c>
      <c r="K1935">
        <v>721</v>
      </c>
      <c r="L1935" s="6" t="s">
        <v>67</v>
      </c>
      <c r="M1935" s="6" t="s">
        <v>32</v>
      </c>
      <c r="N1935" s="6" t="s">
        <v>27</v>
      </c>
    </row>
    <row r="1936" spans="1:14" x14ac:dyDescent="0.25">
      <c r="A1936" s="6" t="s">
        <v>2706</v>
      </c>
      <c r="B1936" s="4">
        <v>45667</v>
      </c>
      <c r="C1936" s="6" t="s">
        <v>2794</v>
      </c>
      <c r="D1936" s="7">
        <v>0.58472222222222225</v>
      </c>
      <c r="E1936" s="6" t="s">
        <v>16</v>
      </c>
      <c r="F1936" s="6" t="s">
        <v>50</v>
      </c>
      <c r="G1936" s="4">
        <v>39928</v>
      </c>
      <c r="H1936" s="6" t="s">
        <v>110</v>
      </c>
      <c r="I1936">
        <v>113</v>
      </c>
      <c r="J1936">
        <v>2</v>
      </c>
      <c r="K1936">
        <v>228</v>
      </c>
      <c r="L1936" s="6" t="s">
        <v>19</v>
      </c>
      <c r="M1936" s="6" t="s">
        <v>89</v>
      </c>
      <c r="N1936" s="6" t="s">
        <v>27</v>
      </c>
    </row>
    <row r="1937" spans="1:14" x14ac:dyDescent="0.25">
      <c r="A1937" s="6" t="s">
        <v>2707</v>
      </c>
      <c r="B1937" s="4">
        <v>45977</v>
      </c>
      <c r="C1937" s="6" t="s">
        <v>2802</v>
      </c>
      <c r="D1937" s="7">
        <v>0.97638888888888886</v>
      </c>
      <c r="E1937" s="6" t="s">
        <v>16</v>
      </c>
      <c r="F1937" s="6" t="s">
        <v>237</v>
      </c>
      <c r="G1937" s="4">
        <v>29426</v>
      </c>
      <c r="H1937" s="6" t="s">
        <v>53</v>
      </c>
      <c r="I1937">
        <v>100</v>
      </c>
      <c r="J1937">
        <v>2</v>
      </c>
      <c r="K1937">
        <v>202</v>
      </c>
      <c r="L1937" s="6" t="s">
        <v>2787</v>
      </c>
      <c r="M1937" s="6" t="s">
        <v>89</v>
      </c>
      <c r="N1937" s="6" t="s">
        <v>27</v>
      </c>
    </row>
    <row r="1938" spans="1:14" x14ac:dyDescent="0.25">
      <c r="A1938" s="6" t="s">
        <v>2708</v>
      </c>
      <c r="B1938" s="4">
        <v>45862</v>
      </c>
      <c r="C1938" s="6" t="s">
        <v>2795</v>
      </c>
      <c r="D1938" s="7">
        <v>0.92847222222222225</v>
      </c>
      <c r="E1938" s="6" t="s">
        <v>16</v>
      </c>
      <c r="F1938" s="6" t="s">
        <v>425</v>
      </c>
      <c r="G1938" s="4">
        <v>36437</v>
      </c>
      <c r="H1938" s="6" t="s">
        <v>18</v>
      </c>
      <c r="I1938">
        <v>95</v>
      </c>
      <c r="J1938">
        <v>1</v>
      </c>
      <c r="K1938">
        <v>95</v>
      </c>
      <c r="L1938" s="6" t="s">
        <v>19</v>
      </c>
      <c r="M1938" s="6" t="s">
        <v>61</v>
      </c>
      <c r="N1938" s="6" t="s">
        <v>27</v>
      </c>
    </row>
    <row r="1939" spans="1:14" x14ac:dyDescent="0.25">
      <c r="A1939" s="6" t="s">
        <v>2709</v>
      </c>
      <c r="B1939" s="4">
        <v>45868</v>
      </c>
      <c r="C1939" s="6" t="s">
        <v>2795</v>
      </c>
      <c r="D1939" s="7">
        <v>0.97638888888888886</v>
      </c>
      <c r="E1939" s="6" t="s">
        <v>16</v>
      </c>
      <c r="F1939" s="6" t="s">
        <v>458</v>
      </c>
      <c r="G1939" s="4">
        <v>38407</v>
      </c>
      <c r="H1939" s="6" t="s">
        <v>243</v>
      </c>
      <c r="I1939">
        <v>121</v>
      </c>
      <c r="J1939">
        <v>2</v>
      </c>
      <c r="K1939">
        <v>242</v>
      </c>
      <c r="L1939" s="6" t="s">
        <v>41</v>
      </c>
      <c r="M1939" s="6" t="s">
        <v>32</v>
      </c>
      <c r="N1939" s="6" t="s">
        <v>105</v>
      </c>
    </row>
    <row r="1940" spans="1:14" x14ac:dyDescent="0.25">
      <c r="A1940" s="6" t="s">
        <v>2710</v>
      </c>
      <c r="B1940" s="4">
        <v>45635</v>
      </c>
      <c r="C1940" s="6" t="s">
        <v>2796</v>
      </c>
      <c r="D1940" s="7">
        <v>0.82171296296296292</v>
      </c>
      <c r="E1940" s="6" t="s">
        <v>16</v>
      </c>
      <c r="F1940" s="6" t="s">
        <v>79</v>
      </c>
      <c r="G1940" s="4">
        <v>35007</v>
      </c>
      <c r="H1940" s="6" t="s">
        <v>45</v>
      </c>
      <c r="I1940">
        <v>94</v>
      </c>
      <c r="J1940">
        <v>2</v>
      </c>
      <c r="K1940">
        <v>190</v>
      </c>
      <c r="L1940" s="6" t="s">
        <v>41</v>
      </c>
      <c r="M1940" s="6" t="s">
        <v>47</v>
      </c>
      <c r="N1940" s="6" t="s">
        <v>74</v>
      </c>
    </row>
    <row r="1941" spans="1:14" x14ac:dyDescent="0.25">
      <c r="A1941" s="6" t="s">
        <v>2711</v>
      </c>
      <c r="B1941" s="4">
        <v>45814</v>
      </c>
      <c r="C1941" s="6" t="s">
        <v>2800</v>
      </c>
      <c r="D1941" s="7">
        <v>0.5210069444444444</v>
      </c>
      <c r="E1941" s="6" t="s">
        <v>16</v>
      </c>
      <c r="F1941" s="6" t="s">
        <v>66</v>
      </c>
      <c r="G1941" s="4">
        <v>35007</v>
      </c>
      <c r="H1941" s="6" t="s">
        <v>45</v>
      </c>
      <c r="I1941">
        <v>162</v>
      </c>
      <c r="J1941">
        <v>1</v>
      </c>
      <c r="K1941">
        <v>163</v>
      </c>
      <c r="L1941" s="6" t="s">
        <v>54</v>
      </c>
      <c r="M1941" s="6" t="s">
        <v>61</v>
      </c>
      <c r="N1941" s="6" t="s">
        <v>105</v>
      </c>
    </row>
    <row r="1942" spans="1:14" x14ac:dyDescent="0.25">
      <c r="A1942" s="6" t="s">
        <v>2712</v>
      </c>
      <c r="B1942" s="4">
        <v>45871</v>
      </c>
      <c r="C1942" s="6" t="s">
        <v>2793</v>
      </c>
      <c r="D1942" s="7">
        <v>0.49861111111111112</v>
      </c>
      <c r="E1942" s="6" t="s">
        <v>16</v>
      </c>
      <c r="F1942" s="6" t="s">
        <v>222</v>
      </c>
      <c r="G1942" s="4">
        <v>35007</v>
      </c>
      <c r="H1942" s="6" t="s">
        <v>45</v>
      </c>
      <c r="I1942">
        <v>175</v>
      </c>
      <c r="J1942">
        <v>2</v>
      </c>
      <c r="K1942">
        <v>350</v>
      </c>
      <c r="L1942" s="6" t="s">
        <v>19</v>
      </c>
      <c r="M1942" s="6" t="s">
        <v>20</v>
      </c>
      <c r="N1942" s="6" t="s">
        <v>74</v>
      </c>
    </row>
    <row r="1943" spans="1:14" x14ac:dyDescent="0.25">
      <c r="A1943" s="6" t="s">
        <v>2713</v>
      </c>
      <c r="B1943" s="4">
        <v>45826</v>
      </c>
      <c r="C1943" s="6" t="s">
        <v>2800</v>
      </c>
      <c r="D1943" s="7">
        <v>0.64652777777777781</v>
      </c>
      <c r="E1943" s="6" t="s">
        <v>16</v>
      </c>
      <c r="F1943" s="6" t="s">
        <v>330</v>
      </c>
      <c r="G1943" s="4">
        <v>30230</v>
      </c>
      <c r="H1943" s="6" t="s">
        <v>178</v>
      </c>
      <c r="I1943">
        <v>321</v>
      </c>
      <c r="J1943">
        <v>2</v>
      </c>
      <c r="K1943">
        <v>644</v>
      </c>
      <c r="L1943" s="6" t="s">
        <v>19</v>
      </c>
      <c r="M1943" s="6" t="s">
        <v>89</v>
      </c>
      <c r="N1943" s="6" t="s">
        <v>105</v>
      </c>
    </row>
    <row r="1944" spans="1:14" x14ac:dyDescent="0.25">
      <c r="A1944" s="6" t="s">
        <v>2714</v>
      </c>
      <c r="B1944" s="4">
        <v>45964</v>
      </c>
      <c r="C1944" s="6" t="s">
        <v>2802</v>
      </c>
      <c r="D1944" s="7">
        <v>0.44921296296296298</v>
      </c>
      <c r="E1944" s="6" t="s">
        <v>16</v>
      </c>
      <c r="F1944" s="6" t="s">
        <v>166</v>
      </c>
      <c r="G1944" s="4">
        <v>28680</v>
      </c>
      <c r="H1944" s="6" t="s">
        <v>243</v>
      </c>
      <c r="I1944">
        <v>151</v>
      </c>
      <c r="J1944">
        <v>2</v>
      </c>
      <c r="K1944">
        <v>302</v>
      </c>
      <c r="L1944" s="6" t="s">
        <v>19</v>
      </c>
      <c r="M1944" s="6" t="s">
        <v>55</v>
      </c>
      <c r="N1944" s="6" t="s">
        <v>105</v>
      </c>
    </row>
    <row r="1945" spans="1:14" x14ac:dyDescent="0.25">
      <c r="A1945" s="6" t="s">
        <v>2716</v>
      </c>
      <c r="B1945" s="4">
        <v>45657</v>
      </c>
      <c r="C1945" s="6" t="s">
        <v>2796</v>
      </c>
      <c r="D1945" s="7">
        <v>0.72569444444444442</v>
      </c>
      <c r="E1945" s="6" t="s">
        <v>16</v>
      </c>
      <c r="F1945" s="6" t="s">
        <v>2717</v>
      </c>
      <c r="G1945" s="4">
        <v>31404</v>
      </c>
      <c r="H1945" s="6" t="s">
        <v>129</v>
      </c>
      <c r="I1945">
        <v>169</v>
      </c>
      <c r="J1945">
        <v>2</v>
      </c>
      <c r="K1945">
        <v>339</v>
      </c>
      <c r="L1945" s="6" t="s">
        <v>41</v>
      </c>
      <c r="M1945" s="6" t="s">
        <v>55</v>
      </c>
      <c r="N1945" s="6" t="s">
        <v>27</v>
      </c>
    </row>
    <row r="1946" spans="1:14" x14ac:dyDescent="0.25">
      <c r="A1946" s="6" t="s">
        <v>2718</v>
      </c>
      <c r="B1946" s="4">
        <v>45801</v>
      </c>
      <c r="C1946" s="6" t="s">
        <v>2792</v>
      </c>
      <c r="D1946" s="7">
        <v>0.80277777777777781</v>
      </c>
      <c r="E1946" s="6" t="s">
        <v>16</v>
      </c>
      <c r="F1946" s="6" t="s">
        <v>699</v>
      </c>
      <c r="G1946" s="4">
        <v>33674</v>
      </c>
      <c r="H1946" s="6" t="s">
        <v>73</v>
      </c>
      <c r="I1946">
        <v>42</v>
      </c>
      <c r="J1946">
        <v>3</v>
      </c>
      <c r="K1946">
        <v>126</v>
      </c>
      <c r="L1946" s="6" t="s">
        <v>41</v>
      </c>
      <c r="M1946" s="6" t="s">
        <v>37</v>
      </c>
      <c r="N1946" s="6" t="s">
        <v>105</v>
      </c>
    </row>
    <row r="1947" spans="1:14" x14ac:dyDescent="0.25">
      <c r="A1947" s="6" t="s">
        <v>2719</v>
      </c>
      <c r="B1947" s="4">
        <v>45956</v>
      </c>
      <c r="C1947" s="6" t="s">
        <v>2791</v>
      </c>
      <c r="D1947" s="7">
        <v>0.61388888888888893</v>
      </c>
      <c r="E1947" s="6" t="s">
        <v>16</v>
      </c>
      <c r="F1947" s="6" t="s">
        <v>882</v>
      </c>
      <c r="G1947" s="4">
        <v>37511</v>
      </c>
      <c r="H1947" s="6" t="s">
        <v>73</v>
      </c>
      <c r="I1947">
        <v>47</v>
      </c>
      <c r="J1947">
        <v>1</v>
      </c>
      <c r="K1947">
        <v>48</v>
      </c>
      <c r="L1947" s="6" t="s">
        <v>41</v>
      </c>
      <c r="M1947" s="6" t="s">
        <v>26</v>
      </c>
      <c r="N1947" s="6" t="s">
        <v>21</v>
      </c>
    </row>
    <row r="1948" spans="1:14" x14ac:dyDescent="0.25">
      <c r="A1948" s="6" t="s">
        <v>2720</v>
      </c>
      <c r="B1948" s="4">
        <v>45731</v>
      </c>
      <c r="C1948" s="6" t="s">
        <v>2798</v>
      </c>
      <c r="D1948" s="7">
        <v>0.69027777777777777</v>
      </c>
      <c r="E1948" s="6" t="s">
        <v>16</v>
      </c>
      <c r="F1948" s="6" t="s">
        <v>191</v>
      </c>
      <c r="G1948" s="4">
        <v>33117</v>
      </c>
      <c r="H1948" s="6" t="s">
        <v>77</v>
      </c>
      <c r="I1948">
        <v>82</v>
      </c>
      <c r="J1948">
        <v>3</v>
      </c>
      <c r="K1948">
        <v>248</v>
      </c>
      <c r="L1948" s="6" t="s">
        <v>2787</v>
      </c>
      <c r="M1948" s="6" t="s">
        <v>37</v>
      </c>
      <c r="N1948" s="6" t="s">
        <v>21</v>
      </c>
    </row>
    <row r="1949" spans="1:14" x14ac:dyDescent="0.25">
      <c r="A1949" s="6" t="s">
        <v>2721</v>
      </c>
      <c r="B1949" s="4">
        <v>45945</v>
      </c>
      <c r="C1949" s="6" t="s">
        <v>2791</v>
      </c>
      <c r="D1949" s="7">
        <v>0.82496527777777773</v>
      </c>
      <c r="E1949" s="6" t="s">
        <v>16</v>
      </c>
      <c r="F1949" s="6" t="s">
        <v>101</v>
      </c>
      <c r="G1949" s="4">
        <v>25577</v>
      </c>
      <c r="H1949" s="6" t="s">
        <v>259</v>
      </c>
      <c r="I1949">
        <v>195</v>
      </c>
      <c r="J1949">
        <v>1</v>
      </c>
      <c r="K1949">
        <v>196</v>
      </c>
      <c r="L1949" s="6" t="s">
        <v>54</v>
      </c>
      <c r="M1949" s="6" t="s">
        <v>20</v>
      </c>
      <c r="N1949" s="6" t="s">
        <v>56</v>
      </c>
    </row>
    <row r="1950" spans="1:14" x14ac:dyDescent="0.25">
      <c r="A1950" s="6" t="s">
        <v>2722</v>
      </c>
      <c r="B1950" s="4">
        <v>45896</v>
      </c>
      <c r="C1950" s="6" t="s">
        <v>2793</v>
      </c>
      <c r="D1950" s="7">
        <v>0.55318287037037039</v>
      </c>
      <c r="E1950" s="6" t="s">
        <v>16</v>
      </c>
      <c r="F1950" s="6" t="s">
        <v>23</v>
      </c>
      <c r="G1950" s="4">
        <v>29254</v>
      </c>
      <c r="H1950" s="6" t="s">
        <v>18</v>
      </c>
      <c r="I1950">
        <v>78</v>
      </c>
      <c r="J1950">
        <v>1</v>
      </c>
      <c r="K1950">
        <v>79</v>
      </c>
      <c r="L1950" s="6" t="s">
        <v>67</v>
      </c>
      <c r="M1950" s="6" t="s">
        <v>37</v>
      </c>
      <c r="N1950" s="6" t="s">
        <v>21</v>
      </c>
    </row>
    <row r="1951" spans="1:14" x14ac:dyDescent="0.25">
      <c r="A1951" s="6" t="s">
        <v>2723</v>
      </c>
      <c r="B1951" s="4">
        <v>45914</v>
      </c>
      <c r="C1951" s="6" t="s">
        <v>2797</v>
      </c>
      <c r="D1951" s="7">
        <v>0.60416666666666663</v>
      </c>
      <c r="E1951" s="6" t="s">
        <v>16</v>
      </c>
      <c r="F1951" s="6" t="s">
        <v>131</v>
      </c>
      <c r="G1951" s="4">
        <v>26765</v>
      </c>
      <c r="H1951" s="6" t="s">
        <v>145</v>
      </c>
      <c r="I1951">
        <v>163</v>
      </c>
      <c r="J1951">
        <v>2</v>
      </c>
      <c r="K1951">
        <v>327</v>
      </c>
      <c r="L1951" s="6" t="s">
        <v>41</v>
      </c>
      <c r="M1951" s="6" t="s">
        <v>20</v>
      </c>
      <c r="N1951" s="6" t="s">
        <v>33</v>
      </c>
    </row>
    <row r="1952" spans="1:14" x14ac:dyDescent="0.25">
      <c r="A1952" s="6" t="s">
        <v>2724</v>
      </c>
      <c r="B1952" s="4">
        <v>45914</v>
      </c>
      <c r="C1952" s="6" t="s">
        <v>2797</v>
      </c>
      <c r="D1952" s="7">
        <v>0.99583333333333335</v>
      </c>
      <c r="E1952" s="6" t="s">
        <v>16</v>
      </c>
      <c r="F1952" s="6" t="s">
        <v>473</v>
      </c>
      <c r="G1952" s="4">
        <v>39146</v>
      </c>
      <c r="H1952" s="6" t="s">
        <v>30</v>
      </c>
      <c r="I1952">
        <v>308</v>
      </c>
      <c r="J1952">
        <v>1</v>
      </c>
      <c r="K1952">
        <v>308</v>
      </c>
      <c r="L1952" s="6" t="s">
        <v>41</v>
      </c>
      <c r="M1952" s="6" t="s">
        <v>55</v>
      </c>
      <c r="N1952" s="6" t="s">
        <v>33</v>
      </c>
    </row>
    <row r="1953" spans="1:14" x14ac:dyDescent="0.25">
      <c r="A1953" s="6" t="s">
        <v>2726</v>
      </c>
      <c r="B1953" s="4">
        <v>45701</v>
      </c>
      <c r="C1953" s="6" t="s">
        <v>2799</v>
      </c>
      <c r="D1953" s="7">
        <v>0.43472222222222223</v>
      </c>
      <c r="E1953" s="6" t="s">
        <v>16</v>
      </c>
      <c r="F1953" s="6" t="s">
        <v>307</v>
      </c>
      <c r="G1953" s="4">
        <v>28775</v>
      </c>
      <c r="H1953" s="6" t="s">
        <v>129</v>
      </c>
      <c r="I1953">
        <v>187</v>
      </c>
      <c r="J1953">
        <v>2</v>
      </c>
      <c r="K1953">
        <v>375</v>
      </c>
      <c r="L1953" s="6" t="s">
        <v>2787</v>
      </c>
      <c r="M1953" s="6" t="s">
        <v>61</v>
      </c>
      <c r="N1953" s="6" t="s">
        <v>74</v>
      </c>
    </row>
    <row r="1954" spans="1:14" x14ac:dyDescent="0.25">
      <c r="A1954" s="6" t="s">
        <v>2727</v>
      </c>
      <c r="B1954" s="4">
        <v>45802</v>
      </c>
      <c r="C1954" s="6" t="s">
        <v>2792</v>
      </c>
      <c r="D1954" s="7">
        <v>0.5229166666666667</v>
      </c>
      <c r="E1954" s="6" t="s">
        <v>16</v>
      </c>
      <c r="F1954" s="6" t="s">
        <v>107</v>
      </c>
      <c r="G1954" s="4">
        <v>32936</v>
      </c>
      <c r="H1954" s="6" t="s">
        <v>53</v>
      </c>
      <c r="I1954">
        <v>119</v>
      </c>
      <c r="J1954">
        <v>1</v>
      </c>
      <c r="K1954">
        <v>120</v>
      </c>
      <c r="L1954" s="6" t="s">
        <v>41</v>
      </c>
      <c r="M1954" s="6" t="s">
        <v>37</v>
      </c>
      <c r="N1954" s="6" t="s">
        <v>74</v>
      </c>
    </row>
    <row r="1955" spans="1:14" x14ac:dyDescent="0.25">
      <c r="A1955" s="6" t="s">
        <v>2728</v>
      </c>
      <c r="B1955" s="4">
        <v>45967</v>
      </c>
      <c r="C1955" s="6" t="s">
        <v>2802</v>
      </c>
      <c r="D1955" s="7">
        <v>0.4284722222222222</v>
      </c>
      <c r="E1955" s="6" t="s">
        <v>16</v>
      </c>
      <c r="F1955" s="6" t="s">
        <v>218</v>
      </c>
      <c r="G1955" s="4">
        <v>40005</v>
      </c>
      <c r="H1955" s="6" t="s">
        <v>129</v>
      </c>
      <c r="I1955">
        <v>164</v>
      </c>
      <c r="J1955">
        <v>1</v>
      </c>
      <c r="K1955">
        <v>165</v>
      </c>
      <c r="L1955" s="6" t="s">
        <v>67</v>
      </c>
      <c r="M1955" s="6" t="s">
        <v>61</v>
      </c>
      <c r="N1955" s="6" t="s">
        <v>74</v>
      </c>
    </row>
    <row r="1956" spans="1:14" x14ac:dyDescent="0.25">
      <c r="A1956" s="6" t="s">
        <v>2729</v>
      </c>
      <c r="B1956" s="4">
        <v>45887</v>
      </c>
      <c r="C1956" s="6" t="s">
        <v>2793</v>
      </c>
      <c r="D1956" s="7">
        <v>0.81944444444444442</v>
      </c>
      <c r="E1956" s="6" t="s">
        <v>16</v>
      </c>
      <c r="F1956" s="6" t="s">
        <v>299</v>
      </c>
      <c r="G1956" s="4">
        <v>29055</v>
      </c>
      <c r="H1956" s="6" t="s">
        <v>40</v>
      </c>
      <c r="I1956">
        <v>210</v>
      </c>
      <c r="J1956">
        <v>1</v>
      </c>
      <c r="K1956">
        <v>211</v>
      </c>
      <c r="L1956" s="6" t="s">
        <v>67</v>
      </c>
      <c r="M1956" s="6" t="s">
        <v>55</v>
      </c>
      <c r="N1956" s="6" t="s">
        <v>74</v>
      </c>
    </row>
    <row r="1957" spans="1:14" x14ac:dyDescent="0.25">
      <c r="A1957" s="6" t="s">
        <v>2730</v>
      </c>
      <c r="B1957" s="4">
        <v>45874</v>
      </c>
      <c r="C1957" s="6" t="s">
        <v>2793</v>
      </c>
      <c r="D1957" s="7">
        <v>0.54236111111111107</v>
      </c>
      <c r="E1957" s="6" t="s">
        <v>16</v>
      </c>
      <c r="F1957" s="6" t="s">
        <v>628</v>
      </c>
      <c r="G1957" s="4">
        <v>36374</v>
      </c>
      <c r="H1957" s="6" t="s">
        <v>104</v>
      </c>
      <c r="I1957">
        <v>300</v>
      </c>
      <c r="J1957">
        <v>1</v>
      </c>
      <c r="K1957">
        <v>301</v>
      </c>
      <c r="L1957" s="6" t="s">
        <v>19</v>
      </c>
      <c r="M1957" s="6" t="s">
        <v>89</v>
      </c>
      <c r="N1957" s="6" t="s">
        <v>105</v>
      </c>
    </row>
    <row r="1958" spans="1:14" x14ac:dyDescent="0.25">
      <c r="A1958" s="6" t="s">
        <v>2731</v>
      </c>
      <c r="B1958" s="4">
        <v>45772</v>
      </c>
      <c r="C1958" s="6" t="s">
        <v>2801</v>
      </c>
      <c r="D1958" s="7">
        <v>0.52152777777777781</v>
      </c>
      <c r="E1958" s="6" t="s">
        <v>16</v>
      </c>
      <c r="F1958" s="6" t="s">
        <v>458</v>
      </c>
      <c r="G1958" s="4">
        <v>27755</v>
      </c>
      <c r="H1958" s="6" t="s">
        <v>199</v>
      </c>
      <c r="I1958">
        <v>175</v>
      </c>
      <c r="J1958">
        <v>1</v>
      </c>
      <c r="K1958">
        <v>175</v>
      </c>
      <c r="L1958" s="6" t="s">
        <v>67</v>
      </c>
      <c r="M1958" s="6" t="s">
        <v>61</v>
      </c>
      <c r="N1958" s="6" t="s">
        <v>105</v>
      </c>
    </row>
    <row r="1959" spans="1:14" x14ac:dyDescent="0.25">
      <c r="A1959" s="6" t="s">
        <v>2732</v>
      </c>
      <c r="B1959" s="4">
        <v>45964</v>
      </c>
      <c r="C1959" s="6" t="s">
        <v>2802</v>
      </c>
      <c r="D1959" s="7">
        <v>0.54166666666666663</v>
      </c>
      <c r="E1959" s="6" t="s">
        <v>16</v>
      </c>
      <c r="F1959" s="6" t="s">
        <v>181</v>
      </c>
      <c r="G1959" s="4">
        <v>40360</v>
      </c>
      <c r="H1959" s="6" t="s">
        <v>202</v>
      </c>
      <c r="I1959">
        <v>356</v>
      </c>
      <c r="J1959">
        <v>1</v>
      </c>
      <c r="K1959">
        <v>356</v>
      </c>
      <c r="L1959" s="6" t="s">
        <v>41</v>
      </c>
      <c r="M1959" s="6" t="s">
        <v>47</v>
      </c>
      <c r="N1959" s="6" t="s">
        <v>48</v>
      </c>
    </row>
    <row r="1960" spans="1:14" x14ac:dyDescent="0.25">
      <c r="A1960" s="6" t="s">
        <v>2733</v>
      </c>
      <c r="B1960" s="4">
        <v>45719</v>
      </c>
      <c r="C1960" s="6" t="s">
        <v>2798</v>
      </c>
      <c r="D1960" s="7">
        <v>0.64097222222222228</v>
      </c>
      <c r="E1960" s="6" t="s">
        <v>16</v>
      </c>
      <c r="F1960" s="6" t="s">
        <v>229</v>
      </c>
      <c r="G1960" s="4">
        <v>27470</v>
      </c>
      <c r="H1960" s="6" t="s">
        <v>53</v>
      </c>
      <c r="I1960">
        <v>94</v>
      </c>
      <c r="J1960">
        <v>1</v>
      </c>
      <c r="K1960">
        <v>80</v>
      </c>
      <c r="L1960" s="6" t="s">
        <v>19</v>
      </c>
      <c r="M1960" s="6" t="s">
        <v>20</v>
      </c>
      <c r="N1960" s="6" t="s">
        <v>48</v>
      </c>
    </row>
    <row r="1961" spans="1:14" x14ac:dyDescent="0.25">
      <c r="A1961" s="6" t="s">
        <v>2734</v>
      </c>
      <c r="B1961" s="4">
        <v>45798</v>
      </c>
      <c r="C1961" s="6" t="s">
        <v>2792</v>
      </c>
      <c r="D1961" s="7">
        <v>0.8979166666666667</v>
      </c>
      <c r="E1961" s="6" t="s">
        <v>16</v>
      </c>
      <c r="F1961" s="6" t="s">
        <v>420</v>
      </c>
      <c r="G1961" s="4">
        <v>36551</v>
      </c>
      <c r="H1961" s="6" t="s">
        <v>110</v>
      </c>
      <c r="I1961">
        <v>129</v>
      </c>
      <c r="J1961">
        <v>2</v>
      </c>
      <c r="K1961">
        <v>260</v>
      </c>
      <c r="L1961" s="6" t="s">
        <v>41</v>
      </c>
      <c r="M1961" s="6" t="s">
        <v>47</v>
      </c>
      <c r="N1961" s="6" t="s">
        <v>27</v>
      </c>
    </row>
    <row r="1962" spans="1:14" x14ac:dyDescent="0.25">
      <c r="A1962" s="6" t="s">
        <v>2735</v>
      </c>
      <c r="B1962" s="4">
        <v>45752</v>
      </c>
      <c r="C1962" s="6" t="s">
        <v>2801</v>
      </c>
      <c r="D1962" s="7">
        <v>0.98333333333333328</v>
      </c>
      <c r="E1962" s="6" t="s">
        <v>16</v>
      </c>
      <c r="F1962" s="6" t="s">
        <v>76</v>
      </c>
      <c r="G1962" s="4">
        <v>36986</v>
      </c>
      <c r="H1962" s="6" t="s">
        <v>77</v>
      </c>
      <c r="I1962">
        <v>318</v>
      </c>
      <c r="J1962">
        <v>3</v>
      </c>
      <c r="K1962">
        <v>955</v>
      </c>
      <c r="L1962" s="6" t="s">
        <v>19</v>
      </c>
      <c r="M1962" s="6" t="s">
        <v>20</v>
      </c>
      <c r="N1962" s="6" t="s">
        <v>27</v>
      </c>
    </row>
    <row r="1963" spans="1:14" x14ac:dyDescent="0.25">
      <c r="A1963" s="6" t="s">
        <v>2737</v>
      </c>
      <c r="B1963" s="4">
        <v>45846</v>
      </c>
      <c r="C1963" s="6" t="s">
        <v>2795</v>
      </c>
      <c r="D1963" s="7">
        <v>0.45763888888888887</v>
      </c>
      <c r="E1963" s="6" t="s">
        <v>16</v>
      </c>
      <c r="F1963" s="6" t="s">
        <v>131</v>
      </c>
      <c r="G1963" s="4">
        <v>29405</v>
      </c>
      <c r="H1963" s="6" t="s">
        <v>18</v>
      </c>
      <c r="I1963">
        <v>97</v>
      </c>
      <c r="J1963">
        <v>2</v>
      </c>
      <c r="K1963">
        <v>194</v>
      </c>
      <c r="L1963" s="6" t="s">
        <v>2787</v>
      </c>
      <c r="M1963" s="6" t="s">
        <v>61</v>
      </c>
      <c r="N1963" s="6" t="s">
        <v>74</v>
      </c>
    </row>
    <row r="1964" spans="1:14" x14ac:dyDescent="0.25">
      <c r="A1964" s="6" t="s">
        <v>2738</v>
      </c>
      <c r="B1964" s="4">
        <v>45641</v>
      </c>
      <c r="C1964" s="6" t="s">
        <v>2796</v>
      </c>
      <c r="D1964" s="7">
        <v>0.42996527777777777</v>
      </c>
      <c r="E1964" s="6" t="s">
        <v>16</v>
      </c>
      <c r="F1964" s="6" t="s">
        <v>420</v>
      </c>
      <c r="G1964" s="4">
        <v>33059</v>
      </c>
      <c r="H1964" s="6" t="s">
        <v>199</v>
      </c>
      <c r="I1964">
        <v>241</v>
      </c>
      <c r="J1964">
        <v>2</v>
      </c>
      <c r="K1964">
        <v>482</v>
      </c>
      <c r="L1964" s="6" t="s">
        <v>54</v>
      </c>
      <c r="M1964" s="6" t="s">
        <v>32</v>
      </c>
      <c r="N1964" s="6" t="s">
        <v>33</v>
      </c>
    </row>
    <row r="1965" spans="1:14" x14ac:dyDescent="0.25">
      <c r="A1965" s="6" t="s">
        <v>2740</v>
      </c>
      <c r="B1965" s="4">
        <v>45653</v>
      </c>
      <c r="C1965" s="6" t="s">
        <v>2796</v>
      </c>
      <c r="D1965" s="7">
        <v>0.93973379629629628</v>
      </c>
      <c r="E1965" s="6" t="s">
        <v>16</v>
      </c>
      <c r="F1965" s="6" t="s">
        <v>166</v>
      </c>
      <c r="G1965" s="4">
        <v>39554</v>
      </c>
      <c r="H1965" s="6" t="s">
        <v>110</v>
      </c>
      <c r="I1965">
        <v>98</v>
      </c>
      <c r="J1965">
        <v>1</v>
      </c>
      <c r="K1965">
        <v>98</v>
      </c>
      <c r="L1965" s="6" t="s">
        <v>41</v>
      </c>
      <c r="M1965" s="6" t="s">
        <v>20</v>
      </c>
      <c r="N1965" s="6" t="s">
        <v>21</v>
      </c>
    </row>
    <row r="1966" spans="1:14" x14ac:dyDescent="0.25">
      <c r="A1966" s="6" t="s">
        <v>2741</v>
      </c>
      <c r="B1966" s="4">
        <v>45698</v>
      </c>
      <c r="C1966" s="6" t="s">
        <v>2799</v>
      </c>
      <c r="D1966" s="7">
        <v>0.73472222222222228</v>
      </c>
      <c r="E1966" s="6" t="s">
        <v>16</v>
      </c>
      <c r="F1966" s="6" t="s">
        <v>158</v>
      </c>
      <c r="G1966" s="4">
        <v>26503</v>
      </c>
      <c r="H1966" s="6" t="s">
        <v>259</v>
      </c>
      <c r="I1966">
        <v>188</v>
      </c>
      <c r="J1966">
        <v>1</v>
      </c>
      <c r="K1966">
        <v>188</v>
      </c>
      <c r="L1966" s="6" t="s">
        <v>41</v>
      </c>
      <c r="M1966" s="6" t="s">
        <v>89</v>
      </c>
      <c r="N1966" s="6" t="s">
        <v>21</v>
      </c>
    </row>
    <row r="1967" spans="1:14" x14ac:dyDescent="0.25">
      <c r="A1967" s="6" t="s">
        <v>2744</v>
      </c>
      <c r="B1967" s="4">
        <v>45653</v>
      </c>
      <c r="C1967" s="6" t="s">
        <v>2796</v>
      </c>
      <c r="D1967" s="7">
        <v>0.60351851851851857</v>
      </c>
      <c r="E1967" s="6" t="s">
        <v>16</v>
      </c>
      <c r="F1967" s="6" t="s">
        <v>222</v>
      </c>
      <c r="G1967" s="4">
        <v>38335</v>
      </c>
      <c r="H1967" s="6" t="s">
        <v>40</v>
      </c>
      <c r="I1967">
        <v>220</v>
      </c>
      <c r="J1967">
        <v>1</v>
      </c>
      <c r="K1967">
        <v>220</v>
      </c>
      <c r="L1967" s="6" t="s">
        <v>41</v>
      </c>
      <c r="M1967" s="6" t="s">
        <v>37</v>
      </c>
      <c r="N1967" s="6" t="s">
        <v>105</v>
      </c>
    </row>
    <row r="1968" spans="1:14" x14ac:dyDescent="0.25">
      <c r="A1968" s="6" t="s">
        <v>2745</v>
      </c>
      <c r="B1968" s="4">
        <v>45694</v>
      </c>
      <c r="C1968" s="6" t="s">
        <v>2799</v>
      </c>
      <c r="D1968" s="7">
        <v>0.67222222222222228</v>
      </c>
      <c r="E1968" s="6" t="s">
        <v>16</v>
      </c>
      <c r="F1968" s="6" t="s">
        <v>520</v>
      </c>
      <c r="G1968" s="4">
        <v>27145</v>
      </c>
      <c r="H1968" s="6" t="s">
        <v>129</v>
      </c>
      <c r="I1968">
        <v>167</v>
      </c>
      <c r="J1968">
        <v>1</v>
      </c>
      <c r="K1968">
        <v>100</v>
      </c>
      <c r="L1968" s="6" t="s">
        <v>41</v>
      </c>
      <c r="M1968" s="6" t="s">
        <v>47</v>
      </c>
      <c r="N1968" s="6" t="s">
        <v>105</v>
      </c>
    </row>
    <row r="1969" spans="1:14" x14ac:dyDescent="0.25">
      <c r="A1969" s="6" t="s">
        <v>2746</v>
      </c>
      <c r="B1969" s="4">
        <v>45798</v>
      </c>
      <c r="C1969" s="6" t="s">
        <v>2792</v>
      </c>
      <c r="D1969" s="7">
        <v>0.51249999999999996</v>
      </c>
      <c r="E1969" s="6" t="s">
        <v>16</v>
      </c>
      <c r="F1969" s="6" t="s">
        <v>919</v>
      </c>
      <c r="G1969" s="4">
        <v>27754</v>
      </c>
      <c r="H1969" s="6" t="s">
        <v>40</v>
      </c>
      <c r="I1969">
        <v>200</v>
      </c>
      <c r="J1969">
        <v>2</v>
      </c>
      <c r="K1969">
        <v>401</v>
      </c>
      <c r="L1969" s="6" t="s">
        <v>19</v>
      </c>
      <c r="M1969" s="6" t="s">
        <v>32</v>
      </c>
      <c r="N1969" s="6" t="s">
        <v>105</v>
      </c>
    </row>
    <row r="1970" spans="1:14" x14ac:dyDescent="0.25">
      <c r="A1970" s="6" t="s">
        <v>2748</v>
      </c>
      <c r="B1970" s="4">
        <v>45937</v>
      </c>
      <c r="C1970" s="6" t="s">
        <v>2791</v>
      </c>
      <c r="D1970" s="7">
        <v>0.51657407407407407</v>
      </c>
      <c r="E1970" s="6" t="s">
        <v>16</v>
      </c>
      <c r="F1970" s="6" t="s">
        <v>582</v>
      </c>
      <c r="G1970" s="4">
        <v>34537</v>
      </c>
      <c r="H1970" s="6" t="s">
        <v>145</v>
      </c>
      <c r="I1970">
        <v>159</v>
      </c>
      <c r="J1970">
        <v>1</v>
      </c>
      <c r="K1970">
        <v>159</v>
      </c>
      <c r="L1970" s="6" t="s">
        <v>19</v>
      </c>
      <c r="M1970" s="6" t="s">
        <v>32</v>
      </c>
      <c r="N1970" s="6" t="s">
        <v>48</v>
      </c>
    </row>
    <row r="1971" spans="1:14" x14ac:dyDescent="0.25">
      <c r="A1971" s="6" t="s">
        <v>2749</v>
      </c>
      <c r="B1971" s="4">
        <v>45962</v>
      </c>
      <c r="C1971" s="6" t="s">
        <v>2802</v>
      </c>
      <c r="D1971" s="7">
        <v>0.70208333333333328</v>
      </c>
      <c r="E1971" s="6" t="s">
        <v>16</v>
      </c>
      <c r="F1971" s="6" t="s">
        <v>324</v>
      </c>
      <c r="G1971" s="4">
        <v>34540</v>
      </c>
      <c r="H1971" s="6" t="s">
        <v>126</v>
      </c>
      <c r="I1971">
        <v>172</v>
      </c>
      <c r="J1971">
        <v>2</v>
      </c>
      <c r="K1971">
        <v>345</v>
      </c>
      <c r="L1971" s="6" t="s">
        <v>19</v>
      </c>
      <c r="M1971" s="6" t="s">
        <v>26</v>
      </c>
      <c r="N1971" s="6" t="s">
        <v>56</v>
      </c>
    </row>
    <row r="1972" spans="1:14" x14ac:dyDescent="0.25">
      <c r="A1972" s="6" t="s">
        <v>2750</v>
      </c>
      <c r="B1972" s="4">
        <v>45796</v>
      </c>
      <c r="C1972" s="6" t="s">
        <v>2792</v>
      </c>
      <c r="D1972" s="7">
        <v>0.70694444444444449</v>
      </c>
      <c r="E1972" s="6" t="s">
        <v>16</v>
      </c>
      <c r="F1972" s="6" t="s">
        <v>232</v>
      </c>
      <c r="G1972" s="4">
        <v>34540</v>
      </c>
      <c r="H1972" s="6" t="s">
        <v>85</v>
      </c>
      <c r="I1972">
        <v>235</v>
      </c>
      <c r="J1972">
        <v>2</v>
      </c>
      <c r="K1972">
        <v>471</v>
      </c>
      <c r="L1972" s="6" t="s">
        <v>54</v>
      </c>
      <c r="M1972" s="6" t="s">
        <v>61</v>
      </c>
      <c r="N1972" s="6" t="s">
        <v>48</v>
      </c>
    </row>
    <row r="1973" spans="1:14" x14ac:dyDescent="0.25">
      <c r="A1973" s="6" t="s">
        <v>2751</v>
      </c>
      <c r="B1973" s="4">
        <v>45894</v>
      </c>
      <c r="C1973" s="6" t="s">
        <v>2793</v>
      </c>
      <c r="D1973" s="7">
        <v>0.73472222222222228</v>
      </c>
      <c r="E1973" s="6" t="s">
        <v>16</v>
      </c>
      <c r="F1973" s="6" t="s">
        <v>279</v>
      </c>
      <c r="G1973" s="4">
        <v>29955</v>
      </c>
      <c r="H1973" s="6" t="s">
        <v>53</v>
      </c>
      <c r="I1973">
        <v>118</v>
      </c>
      <c r="J1973">
        <v>3</v>
      </c>
      <c r="K1973">
        <v>356</v>
      </c>
      <c r="L1973" s="6" t="s">
        <v>2787</v>
      </c>
      <c r="M1973" s="6" t="s">
        <v>47</v>
      </c>
      <c r="N1973" s="6" t="s">
        <v>48</v>
      </c>
    </row>
    <row r="1974" spans="1:14" x14ac:dyDescent="0.25">
      <c r="A1974" s="6" t="s">
        <v>2752</v>
      </c>
      <c r="B1974" s="4">
        <v>45833</v>
      </c>
      <c r="C1974" s="6" t="s">
        <v>2800</v>
      </c>
      <c r="D1974" s="7">
        <v>0.96805555555555556</v>
      </c>
      <c r="E1974" s="6" t="s">
        <v>16</v>
      </c>
      <c r="F1974" s="6" t="s">
        <v>201</v>
      </c>
      <c r="G1974" s="4">
        <v>32674</v>
      </c>
      <c r="H1974" s="6" t="s">
        <v>30</v>
      </c>
      <c r="I1974">
        <v>270</v>
      </c>
      <c r="J1974">
        <v>1</v>
      </c>
      <c r="K1974">
        <v>271</v>
      </c>
      <c r="L1974" s="6" t="s">
        <v>41</v>
      </c>
      <c r="M1974" s="6" t="s">
        <v>26</v>
      </c>
      <c r="N1974" s="6" t="s">
        <v>33</v>
      </c>
    </row>
    <row r="1975" spans="1:14" x14ac:dyDescent="0.25">
      <c r="A1975" s="6" t="s">
        <v>2753</v>
      </c>
      <c r="B1975" s="4">
        <v>45833</v>
      </c>
      <c r="C1975" s="6" t="s">
        <v>2800</v>
      </c>
      <c r="D1975" s="7">
        <v>0.94444444444444442</v>
      </c>
      <c r="E1975" s="6" t="s">
        <v>16</v>
      </c>
      <c r="F1975" s="6" t="s">
        <v>187</v>
      </c>
      <c r="G1975" s="4">
        <v>35054</v>
      </c>
      <c r="H1975" s="6" t="s">
        <v>53</v>
      </c>
      <c r="I1975">
        <v>104</v>
      </c>
      <c r="J1975">
        <v>3</v>
      </c>
      <c r="K1975">
        <v>314</v>
      </c>
      <c r="L1975" s="6" t="s">
        <v>41</v>
      </c>
      <c r="M1975" s="6" t="s">
        <v>32</v>
      </c>
      <c r="N1975" s="6" t="s">
        <v>33</v>
      </c>
    </row>
    <row r="1976" spans="1:14" x14ac:dyDescent="0.25">
      <c r="A1976" s="6" t="s">
        <v>2754</v>
      </c>
      <c r="B1976" s="4">
        <v>45753</v>
      </c>
      <c r="C1976" s="6" t="s">
        <v>2801</v>
      </c>
      <c r="D1976" s="7">
        <v>0.4861111111111111</v>
      </c>
      <c r="E1976" s="6" t="s">
        <v>16</v>
      </c>
      <c r="F1976" s="6" t="s">
        <v>50</v>
      </c>
      <c r="G1976" s="4">
        <v>28182</v>
      </c>
      <c r="H1976" s="6" t="s">
        <v>24</v>
      </c>
      <c r="I1976">
        <v>232</v>
      </c>
      <c r="J1976">
        <v>3</v>
      </c>
      <c r="K1976">
        <v>697</v>
      </c>
      <c r="L1976" s="6" t="s">
        <v>41</v>
      </c>
      <c r="M1976" s="6" t="s">
        <v>37</v>
      </c>
      <c r="N1976" s="6" t="s">
        <v>33</v>
      </c>
    </row>
    <row r="1977" spans="1:14" x14ac:dyDescent="0.25">
      <c r="A1977" s="6" t="s">
        <v>2755</v>
      </c>
      <c r="B1977" s="4">
        <v>45875</v>
      </c>
      <c r="C1977" s="6" t="s">
        <v>2793</v>
      </c>
      <c r="D1977" s="7">
        <v>0.5493055555555556</v>
      </c>
      <c r="E1977" s="6" t="s">
        <v>16</v>
      </c>
      <c r="F1977" s="6" t="s">
        <v>95</v>
      </c>
      <c r="G1977" s="4">
        <v>38924</v>
      </c>
      <c r="H1977" s="6" t="s">
        <v>85</v>
      </c>
      <c r="I1977">
        <v>349</v>
      </c>
      <c r="J1977">
        <v>2</v>
      </c>
      <c r="K1977">
        <v>699</v>
      </c>
      <c r="L1977" s="6" t="s">
        <v>19</v>
      </c>
      <c r="M1977" s="6" t="s">
        <v>20</v>
      </c>
      <c r="N1977" s="6" t="s">
        <v>21</v>
      </c>
    </row>
    <row r="1978" spans="1:14" x14ac:dyDescent="0.25">
      <c r="A1978" s="6" t="s">
        <v>2757</v>
      </c>
      <c r="B1978" s="4">
        <v>45943</v>
      </c>
      <c r="C1978" s="6" t="s">
        <v>2791</v>
      </c>
      <c r="D1978" s="7">
        <v>0.91666666666666663</v>
      </c>
      <c r="E1978" s="6" t="s">
        <v>16</v>
      </c>
      <c r="F1978" s="6" t="s">
        <v>138</v>
      </c>
      <c r="G1978" s="4">
        <v>39441</v>
      </c>
      <c r="H1978" s="6" t="s">
        <v>53</v>
      </c>
      <c r="I1978">
        <v>349</v>
      </c>
      <c r="J1978">
        <v>2</v>
      </c>
      <c r="K1978">
        <v>699</v>
      </c>
      <c r="L1978" s="6" t="s">
        <v>41</v>
      </c>
      <c r="M1978" s="6" t="s">
        <v>32</v>
      </c>
      <c r="N1978" s="6" t="s">
        <v>33</v>
      </c>
    </row>
    <row r="1979" spans="1:14" x14ac:dyDescent="0.25">
      <c r="A1979" s="6" t="s">
        <v>2759</v>
      </c>
      <c r="B1979" s="4">
        <v>45642</v>
      </c>
      <c r="C1979" s="6" t="s">
        <v>2796</v>
      </c>
      <c r="D1979" s="7">
        <v>0.64583333333333337</v>
      </c>
      <c r="E1979" s="6" t="s">
        <v>16</v>
      </c>
      <c r="F1979" s="6" t="s">
        <v>338</v>
      </c>
      <c r="G1979" s="4">
        <v>39877</v>
      </c>
      <c r="H1979" s="6" t="s">
        <v>213</v>
      </c>
      <c r="I1979">
        <v>315</v>
      </c>
      <c r="J1979">
        <v>1</v>
      </c>
      <c r="K1979">
        <v>315</v>
      </c>
      <c r="L1979" s="6" t="s">
        <v>54</v>
      </c>
      <c r="M1979" s="6" t="s">
        <v>47</v>
      </c>
      <c r="N1979" s="6" t="s">
        <v>48</v>
      </c>
    </row>
    <row r="1980" spans="1:14" x14ac:dyDescent="0.25">
      <c r="A1980" s="6" t="s">
        <v>2760</v>
      </c>
      <c r="B1980" s="4">
        <v>45642</v>
      </c>
      <c r="C1980" s="6" t="s">
        <v>2796</v>
      </c>
      <c r="D1980" s="7">
        <v>0.69861111111111107</v>
      </c>
      <c r="E1980" s="6" t="s">
        <v>16</v>
      </c>
      <c r="F1980" s="6" t="s">
        <v>2761</v>
      </c>
      <c r="G1980" s="4">
        <v>39877</v>
      </c>
      <c r="H1980" s="6" t="s">
        <v>36</v>
      </c>
      <c r="I1980">
        <v>113</v>
      </c>
      <c r="J1980">
        <v>2</v>
      </c>
      <c r="K1980">
        <v>227</v>
      </c>
      <c r="L1980" s="6" t="s">
        <v>2787</v>
      </c>
      <c r="M1980" s="6" t="s">
        <v>20</v>
      </c>
      <c r="N1980" s="6" t="s">
        <v>56</v>
      </c>
    </row>
    <row r="1981" spans="1:14" x14ac:dyDescent="0.25">
      <c r="A1981" s="6" t="s">
        <v>2762</v>
      </c>
      <c r="B1981" s="4">
        <v>45876</v>
      </c>
      <c r="C1981" s="6" t="s">
        <v>2793</v>
      </c>
      <c r="D1981" s="7">
        <v>0.93263888888888891</v>
      </c>
      <c r="E1981" s="6" t="s">
        <v>16</v>
      </c>
      <c r="F1981" s="6" t="s">
        <v>140</v>
      </c>
      <c r="G1981" s="4">
        <v>27963</v>
      </c>
      <c r="H1981" s="6" t="s">
        <v>213</v>
      </c>
      <c r="I1981">
        <v>287</v>
      </c>
      <c r="J1981">
        <v>1</v>
      </c>
      <c r="K1981">
        <v>288</v>
      </c>
      <c r="L1981" s="6" t="s">
        <v>67</v>
      </c>
      <c r="M1981" s="6" t="s">
        <v>55</v>
      </c>
      <c r="N1981" s="6" t="s">
        <v>56</v>
      </c>
    </row>
    <row r="1982" spans="1:14" x14ac:dyDescent="0.25">
      <c r="A1982" s="6" t="s">
        <v>2763</v>
      </c>
      <c r="B1982" s="4">
        <v>45629</v>
      </c>
      <c r="C1982" s="6" t="s">
        <v>2796</v>
      </c>
      <c r="D1982" s="7">
        <v>0.96875</v>
      </c>
      <c r="E1982" s="6" t="s">
        <v>16</v>
      </c>
      <c r="F1982" s="6" t="s">
        <v>166</v>
      </c>
      <c r="G1982" s="4">
        <v>37867</v>
      </c>
      <c r="H1982" s="6" t="s">
        <v>110</v>
      </c>
      <c r="I1982">
        <v>124</v>
      </c>
      <c r="J1982">
        <v>2</v>
      </c>
      <c r="K1982">
        <v>250</v>
      </c>
      <c r="L1982" s="6" t="s">
        <v>67</v>
      </c>
      <c r="M1982" s="6" t="s">
        <v>32</v>
      </c>
      <c r="N1982" s="6" t="s">
        <v>74</v>
      </c>
    </row>
    <row r="1983" spans="1:14" x14ac:dyDescent="0.25">
      <c r="A1983" s="6" t="s">
        <v>2764</v>
      </c>
      <c r="B1983" s="4">
        <v>45836</v>
      </c>
      <c r="C1983" s="6" t="s">
        <v>2800</v>
      </c>
      <c r="D1983" s="7">
        <v>0.98472222222222228</v>
      </c>
      <c r="E1983" s="6" t="s">
        <v>16</v>
      </c>
      <c r="F1983" s="6" t="s">
        <v>52</v>
      </c>
      <c r="G1983" s="4">
        <v>39161</v>
      </c>
      <c r="H1983" s="6" t="s">
        <v>213</v>
      </c>
      <c r="I1983">
        <v>216</v>
      </c>
      <c r="J1983">
        <v>3</v>
      </c>
      <c r="K1983">
        <v>649</v>
      </c>
      <c r="L1983" s="6" t="s">
        <v>67</v>
      </c>
      <c r="M1983" s="6" t="s">
        <v>55</v>
      </c>
      <c r="N1983" s="6" t="s">
        <v>56</v>
      </c>
    </row>
    <row r="1984" spans="1:14" x14ac:dyDescent="0.25">
      <c r="A1984" s="6" t="s">
        <v>2765</v>
      </c>
      <c r="B1984" s="4">
        <v>45954</v>
      </c>
      <c r="C1984" s="6" t="s">
        <v>2791</v>
      </c>
      <c r="D1984" s="7">
        <v>0.80138888888888893</v>
      </c>
      <c r="E1984" s="6" t="s">
        <v>16</v>
      </c>
      <c r="F1984" s="6" t="s">
        <v>63</v>
      </c>
      <c r="G1984" s="4">
        <v>26064</v>
      </c>
      <c r="H1984" s="6" t="s">
        <v>77</v>
      </c>
      <c r="I1984">
        <v>37</v>
      </c>
      <c r="J1984">
        <v>1</v>
      </c>
      <c r="K1984">
        <v>38</v>
      </c>
      <c r="L1984" s="6" t="s">
        <v>54</v>
      </c>
      <c r="M1984" s="6" t="s">
        <v>32</v>
      </c>
      <c r="N1984" s="6" t="s">
        <v>27</v>
      </c>
    </row>
    <row r="1985" spans="1:14" x14ac:dyDescent="0.25">
      <c r="A1985" s="6" t="s">
        <v>2766</v>
      </c>
      <c r="B1985" s="4">
        <v>45861</v>
      </c>
      <c r="C1985" s="6" t="s">
        <v>2795</v>
      </c>
      <c r="D1985" s="7">
        <v>0.9412962962962963</v>
      </c>
      <c r="E1985" s="6" t="s">
        <v>16</v>
      </c>
      <c r="F1985" s="6" t="s">
        <v>222</v>
      </c>
      <c r="G1985" s="4">
        <v>31814</v>
      </c>
      <c r="H1985" s="6" t="s">
        <v>104</v>
      </c>
      <c r="I1985">
        <v>222</v>
      </c>
      <c r="J1985">
        <v>1</v>
      </c>
      <c r="K1985">
        <v>223</v>
      </c>
      <c r="L1985" s="6" t="s">
        <v>2787</v>
      </c>
      <c r="M1985" s="6" t="s">
        <v>89</v>
      </c>
      <c r="N1985" s="6" t="s">
        <v>48</v>
      </c>
    </row>
    <row r="1986" spans="1:14" x14ac:dyDescent="0.25">
      <c r="A1986" s="6" t="s">
        <v>2767</v>
      </c>
      <c r="B1986" s="4">
        <v>45631</v>
      </c>
      <c r="C1986" s="6" t="s">
        <v>2796</v>
      </c>
      <c r="D1986" s="7">
        <v>0.70763888888888893</v>
      </c>
      <c r="E1986" s="6" t="s">
        <v>16</v>
      </c>
      <c r="F1986" s="6" t="s">
        <v>206</v>
      </c>
      <c r="G1986" s="4">
        <v>28509</v>
      </c>
      <c r="H1986" s="6" t="s">
        <v>164</v>
      </c>
      <c r="I1986">
        <v>305</v>
      </c>
      <c r="J1986">
        <v>1</v>
      </c>
      <c r="K1986">
        <v>306</v>
      </c>
      <c r="L1986" s="6" t="s">
        <v>19</v>
      </c>
      <c r="M1986" s="6" t="s">
        <v>61</v>
      </c>
      <c r="N1986" s="6" t="s">
        <v>27</v>
      </c>
    </row>
    <row r="1987" spans="1:14" x14ac:dyDescent="0.25">
      <c r="A1987" s="6" t="s">
        <v>2768</v>
      </c>
      <c r="B1987" s="4">
        <v>45760</v>
      </c>
      <c r="C1987" s="6" t="s">
        <v>2801</v>
      </c>
      <c r="D1987" s="7">
        <v>0.93194444444444446</v>
      </c>
      <c r="E1987" s="6" t="s">
        <v>16</v>
      </c>
      <c r="F1987" s="6" t="s">
        <v>2692</v>
      </c>
      <c r="G1987" s="4">
        <v>33584</v>
      </c>
      <c r="H1987" s="6" t="s">
        <v>116</v>
      </c>
      <c r="I1987">
        <v>114</v>
      </c>
      <c r="J1987">
        <v>1</v>
      </c>
      <c r="K1987">
        <v>115</v>
      </c>
      <c r="L1987" s="6" t="s">
        <v>19</v>
      </c>
      <c r="M1987" s="6" t="s">
        <v>61</v>
      </c>
      <c r="N1987" s="6" t="s">
        <v>105</v>
      </c>
    </row>
    <row r="1988" spans="1:14" x14ac:dyDescent="0.25">
      <c r="A1988" s="6" t="s">
        <v>2769</v>
      </c>
      <c r="B1988" s="4">
        <v>45731</v>
      </c>
      <c r="C1988" s="6" t="s">
        <v>2798</v>
      </c>
      <c r="D1988" s="7">
        <v>0.79953703703703705</v>
      </c>
      <c r="E1988" s="6" t="s">
        <v>16</v>
      </c>
      <c r="F1988" s="6" t="s">
        <v>640</v>
      </c>
      <c r="G1988" s="4">
        <v>36854</v>
      </c>
      <c r="H1988" s="6" t="s">
        <v>164</v>
      </c>
      <c r="I1988">
        <v>328</v>
      </c>
      <c r="J1988">
        <v>1</v>
      </c>
      <c r="K1988">
        <v>329</v>
      </c>
      <c r="L1988" s="6" t="s">
        <v>19</v>
      </c>
      <c r="M1988" s="6" t="s">
        <v>37</v>
      </c>
      <c r="N1988" s="6" t="s">
        <v>105</v>
      </c>
    </row>
    <row r="1989" spans="1:14" x14ac:dyDescent="0.25">
      <c r="A1989" s="6" t="s">
        <v>2770</v>
      </c>
      <c r="B1989" s="4">
        <v>45644</v>
      </c>
      <c r="C1989" s="6" t="s">
        <v>2796</v>
      </c>
      <c r="D1989" s="7">
        <v>0.4597222222222222</v>
      </c>
      <c r="E1989" s="6" t="s">
        <v>16</v>
      </c>
      <c r="F1989" s="6" t="s">
        <v>194</v>
      </c>
      <c r="G1989" s="4">
        <v>36854</v>
      </c>
      <c r="H1989" s="6" t="s">
        <v>213</v>
      </c>
      <c r="I1989">
        <v>142</v>
      </c>
      <c r="J1989">
        <v>2</v>
      </c>
      <c r="K1989">
        <v>285</v>
      </c>
      <c r="L1989" s="6" t="s">
        <v>67</v>
      </c>
      <c r="M1989" s="6" t="s">
        <v>26</v>
      </c>
      <c r="N1989" s="6" t="s">
        <v>21</v>
      </c>
    </row>
    <row r="1990" spans="1:14" x14ac:dyDescent="0.25">
      <c r="A1990" s="6" t="s">
        <v>2771</v>
      </c>
      <c r="B1990" s="4">
        <v>45978</v>
      </c>
      <c r="C1990" s="6" t="s">
        <v>2802</v>
      </c>
      <c r="D1990" s="7">
        <v>0.54374999999999996</v>
      </c>
      <c r="E1990" s="6" t="s">
        <v>16</v>
      </c>
      <c r="F1990" s="6" t="s">
        <v>52</v>
      </c>
      <c r="G1990" s="4">
        <v>38246</v>
      </c>
      <c r="H1990" s="6" t="s">
        <v>141</v>
      </c>
      <c r="I1990">
        <v>116</v>
      </c>
      <c r="J1990">
        <v>1</v>
      </c>
      <c r="K1990">
        <v>116</v>
      </c>
      <c r="L1990" s="6" t="s">
        <v>67</v>
      </c>
      <c r="M1990" s="6" t="s">
        <v>20</v>
      </c>
      <c r="N1990" s="6" t="s">
        <v>48</v>
      </c>
    </row>
    <row r="1991" spans="1:14" x14ac:dyDescent="0.25">
      <c r="A1991" s="6" t="s">
        <v>2772</v>
      </c>
      <c r="B1991" s="4">
        <v>45697</v>
      </c>
      <c r="C1991" s="6" t="s">
        <v>2799</v>
      </c>
      <c r="D1991" s="7">
        <v>0.87682870370370369</v>
      </c>
      <c r="E1991" s="6" t="s">
        <v>16</v>
      </c>
      <c r="F1991" s="6" t="s">
        <v>218</v>
      </c>
      <c r="G1991" s="4">
        <v>39358</v>
      </c>
      <c r="H1991" s="6" t="s">
        <v>104</v>
      </c>
      <c r="I1991">
        <v>319</v>
      </c>
      <c r="J1991">
        <v>3</v>
      </c>
      <c r="K1991">
        <v>958</v>
      </c>
      <c r="L1991" s="6" t="s">
        <v>41</v>
      </c>
      <c r="M1991" s="6" t="s">
        <v>47</v>
      </c>
      <c r="N1991" s="6" t="s">
        <v>33</v>
      </c>
    </row>
    <row r="1992" spans="1:14" x14ac:dyDescent="0.25">
      <c r="A1992" s="6" t="s">
        <v>2773</v>
      </c>
      <c r="B1992" s="4">
        <v>45750</v>
      </c>
      <c r="C1992" s="6" t="s">
        <v>2801</v>
      </c>
      <c r="D1992" s="7">
        <v>0.65625</v>
      </c>
      <c r="E1992" s="6" t="s">
        <v>16</v>
      </c>
      <c r="F1992" s="6" t="s">
        <v>218</v>
      </c>
      <c r="G1992" s="4">
        <v>25828</v>
      </c>
      <c r="H1992" s="6" t="s">
        <v>145</v>
      </c>
      <c r="I1992">
        <v>180</v>
      </c>
      <c r="J1992">
        <v>3</v>
      </c>
      <c r="K1992">
        <v>541</v>
      </c>
      <c r="L1992" s="6" t="s">
        <v>41</v>
      </c>
      <c r="M1992" s="6" t="s">
        <v>55</v>
      </c>
      <c r="N1992" s="6" t="s">
        <v>33</v>
      </c>
    </row>
    <row r="1993" spans="1:14" x14ac:dyDescent="0.25">
      <c r="A1993" s="6" t="s">
        <v>2774</v>
      </c>
      <c r="B1993" s="4">
        <v>45846</v>
      </c>
      <c r="C1993" s="6" t="s">
        <v>2795</v>
      </c>
      <c r="D1993" s="7">
        <v>0.60549768518518521</v>
      </c>
      <c r="E1993" s="6" t="s">
        <v>16</v>
      </c>
      <c r="F1993" s="6" t="s">
        <v>163</v>
      </c>
      <c r="G1993" s="4">
        <v>38407</v>
      </c>
      <c r="H1993" s="6" t="s">
        <v>116</v>
      </c>
      <c r="I1993">
        <v>93</v>
      </c>
      <c r="J1993">
        <v>1</v>
      </c>
      <c r="K1993">
        <v>94</v>
      </c>
      <c r="L1993" s="6" t="s">
        <v>41</v>
      </c>
      <c r="M1993" s="6" t="s">
        <v>89</v>
      </c>
      <c r="N1993" s="6" t="s">
        <v>48</v>
      </c>
    </row>
    <row r="1994" spans="1:14" x14ac:dyDescent="0.25">
      <c r="A1994" s="6" t="s">
        <v>2775</v>
      </c>
      <c r="B1994" s="4">
        <v>45832</v>
      </c>
      <c r="C1994" s="6" t="s">
        <v>2800</v>
      </c>
      <c r="D1994" s="7">
        <v>0.47638888888888886</v>
      </c>
      <c r="E1994" s="6" t="s">
        <v>16</v>
      </c>
      <c r="F1994" s="6" t="s">
        <v>324</v>
      </c>
      <c r="G1994" s="4">
        <v>38407</v>
      </c>
      <c r="H1994" s="6" t="s">
        <v>24</v>
      </c>
      <c r="I1994">
        <v>255</v>
      </c>
      <c r="J1994">
        <v>1</v>
      </c>
      <c r="K1994">
        <v>255</v>
      </c>
      <c r="L1994" s="6" t="s">
        <v>41</v>
      </c>
      <c r="M1994" s="6" t="s">
        <v>26</v>
      </c>
      <c r="N1994" s="6" t="s">
        <v>105</v>
      </c>
    </row>
    <row r="1995" spans="1:14" x14ac:dyDescent="0.25">
      <c r="A1995" s="6" t="s">
        <v>2776</v>
      </c>
      <c r="B1995" s="4">
        <v>45675</v>
      </c>
      <c r="C1995" s="6" t="s">
        <v>2794</v>
      </c>
      <c r="D1995" s="7">
        <v>0.94021990740740746</v>
      </c>
      <c r="E1995" s="6" t="s">
        <v>16</v>
      </c>
      <c r="F1995" s="6" t="s">
        <v>764</v>
      </c>
      <c r="G1995" s="4">
        <v>36211</v>
      </c>
      <c r="H1995" s="6" t="s">
        <v>116</v>
      </c>
      <c r="I1995">
        <v>119</v>
      </c>
      <c r="J1995">
        <v>1</v>
      </c>
      <c r="K1995">
        <v>120</v>
      </c>
      <c r="L1995" s="6" t="s">
        <v>67</v>
      </c>
      <c r="M1995" s="6" t="s">
        <v>32</v>
      </c>
      <c r="N1995" s="6" t="s">
        <v>56</v>
      </c>
    </row>
    <row r="1996" spans="1:14" x14ac:dyDescent="0.25">
      <c r="A1996" s="6" t="s">
        <v>2777</v>
      </c>
      <c r="B1996" s="4">
        <v>45675</v>
      </c>
      <c r="C1996" s="6" t="s">
        <v>2794</v>
      </c>
      <c r="D1996" s="7">
        <v>0.49843749999999998</v>
      </c>
      <c r="E1996" s="6" t="s">
        <v>16</v>
      </c>
      <c r="F1996" s="6" t="s">
        <v>281</v>
      </c>
      <c r="G1996" s="4">
        <v>28586</v>
      </c>
      <c r="H1996" s="6" t="s">
        <v>45</v>
      </c>
      <c r="I1996">
        <v>129</v>
      </c>
      <c r="J1996">
        <v>1</v>
      </c>
      <c r="K1996">
        <v>130</v>
      </c>
      <c r="L1996" s="6" t="s">
        <v>19</v>
      </c>
      <c r="M1996" s="6" t="s">
        <v>89</v>
      </c>
      <c r="N1996" s="6" t="s">
        <v>27</v>
      </c>
    </row>
    <row r="1997" spans="1:14" x14ac:dyDescent="0.25">
      <c r="A1997" s="6" t="s">
        <v>2778</v>
      </c>
      <c r="B1997" s="4">
        <v>45855</v>
      </c>
      <c r="C1997" s="6" t="s">
        <v>2795</v>
      </c>
      <c r="D1997" s="7">
        <v>0.90239583333333329</v>
      </c>
      <c r="E1997" s="6" t="s">
        <v>16</v>
      </c>
      <c r="F1997" s="6" t="s">
        <v>232</v>
      </c>
      <c r="G1997" s="4">
        <v>33584</v>
      </c>
      <c r="H1997" s="6" t="s">
        <v>30</v>
      </c>
      <c r="I1997">
        <v>315</v>
      </c>
      <c r="J1997">
        <v>2</v>
      </c>
      <c r="K1997">
        <v>631</v>
      </c>
      <c r="L1997" s="6" t="s">
        <v>2787</v>
      </c>
      <c r="M1997" s="6" t="s">
        <v>37</v>
      </c>
      <c r="N1997" s="6" t="s">
        <v>56</v>
      </c>
    </row>
    <row r="1998" spans="1:14" x14ac:dyDescent="0.25">
      <c r="A1998" s="6" t="s">
        <v>2779</v>
      </c>
      <c r="B1998" s="4">
        <v>45727</v>
      </c>
      <c r="C1998" s="6" t="s">
        <v>2798</v>
      </c>
      <c r="D1998" s="7">
        <v>0.69236111111111109</v>
      </c>
      <c r="E1998" s="6" t="s">
        <v>16</v>
      </c>
      <c r="F1998" s="6" t="s">
        <v>2780</v>
      </c>
      <c r="G1998" s="4">
        <v>38205</v>
      </c>
      <c r="H1998" s="6" t="s">
        <v>178</v>
      </c>
      <c r="I1998">
        <v>229</v>
      </c>
      <c r="J1998">
        <v>2</v>
      </c>
      <c r="K1998">
        <v>459</v>
      </c>
      <c r="L1998" s="6" t="s">
        <v>67</v>
      </c>
      <c r="M1998" s="6" t="s">
        <v>20</v>
      </c>
      <c r="N1998" s="6" t="s">
        <v>21</v>
      </c>
    </row>
    <row r="1999" spans="1:14" x14ac:dyDescent="0.25">
      <c r="A1999" s="6" t="s">
        <v>2782</v>
      </c>
      <c r="B1999" s="4">
        <v>45825</v>
      </c>
      <c r="C1999" s="6" t="s">
        <v>2800</v>
      </c>
      <c r="D1999" s="7">
        <v>0.78611111111111109</v>
      </c>
      <c r="E1999" s="6" t="s">
        <v>16</v>
      </c>
      <c r="F1999" s="6" t="s">
        <v>659</v>
      </c>
      <c r="G1999" s="4">
        <v>35743</v>
      </c>
      <c r="H1999" s="6" t="s">
        <v>213</v>
      </c>
      <c r="I1999">
        <v>318</v>
      </c>
      <c r="J1999">
        <v>1</v>
      </c>
      <c r="K1999">
        <v>318</v>
      </c>
      <c r="L1999" s="6" t="s">
        <v>2787</v>
      </c>
      <c r="M1999" s="6" t="s">
        <v>61</v>
      </c>
      <c r="N1999" s="6" t="s">
        <v>48</v>
      </c>
    </row>
    <row r="2000" spans="1:14" x14ac:dyDescent="0.25">
      <c r="A2000" s="6" t="s">
        <v>2783</v>
      </c>
      <c r="B2000" s="4">
        <v>45649</v>
      </c>
      <c r="C2000" s="6" t="s">
        <v>2796</v>
      </c>
      <c r="D2000" s="7">
        <v>0.52314814814814814</v>
      </c>
      <c r="E2000" s="6" t="s">
        <v>16</v>
      </c>
      <c r="F2000" s="6" t="s">
        <v>95</v>
      </c>
      <c r="G2000" s="4">
        <v>35370</v>
      </c>
      <c r="H2000" s="6" t="s">
        <v>116</v>
      </c>
      <c r="I2000">
        <v>189</v>
      </c>
      <c r="J2000">
        <v>1</v>
      </c>
      <c r="K2000">
        <v>229</v>
      </c>
      <c r="L2000" s="6" t="s">
        <v>54</v>
      </c>
      <c r="M2000" s="6" t="s">
        <v>37</v>
      </c>
      <c r="N2000" s="6" t="s">
        <v>48</v>
      </c>
    </row>
    <row r="2001" spans="1:14" x14ac:dyDescent="0.25">
      <c r="A2001" s="6" t="s">
        <v>2784</v>
      </c>
      <c r="B2001" s="4">
        <v>45660</v>
      </c>
      <c r="C2001" s="6" t="s">
        <v>2794</v>
      </c>
      <c r="D2001" s="7">
        <v>0.85630787037037037</v>
      </c>
      <c r="E2001" s="6" t="s">
        <v>16</v>
      </c>
      <c r="F2001" s="6" t="s">
        <v>387</v>
      </c>
      <c r="G2001" s="4">
        <v>33424</v>
      </c>
      <c r="H2001" s="6" t="s">
        <v>53</v>
      </c>
      <c r="I2001">
        <v>123</v>
      </c>
      <c r="J2001">
        <v>2</v>
      </c>
      <c r="K2001">
        <v>247</v>
      </c>
      <c r="L2001" s="6" t="s">
        <v>19</v>
      </c>
      <c r="M2001" s="6" t="s">
        <v>89</v>
      </c>
      <c r="N2001" s="6" t="s">
        <v>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0326D-AB51-44BB-B690-FEB0F4AFDB83}">
  <dimension ref="A1"/>
  <sheetViews>
    <sheetView showGridLines="0" tabSelected="1" zoomScaleNormal="100" workbookViewId="0"/>
  </sheetViews>
  <sheetFormatPr defaultRowHeight="15" x14ac:dyDescent="0.25"/>
  <sheetData>
    <row r="1" spans="1:1" x14ac:dyDescent="0.25">
      <c r="A1" t="s">
        <v>2808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topLeftCell="A10" workbookViewId="0">
      <selection activeCell="E1" sqref="E1"/>
    </sheetView>
  </sheetViews>
  <sheetFormatPr defaultRowHeight="15" x14ac:dyDescent="0.25"/>
  <cols>
    <col min="1" max="1" width="10.140625" customWidth="1"/>
    <col min="4" max="4" width="12.7109375" customWidth="1"/>
    <col min="5" max="5" width="17" customWidth="1"/>
    <col min="6" max="6" width="11" customWidth="1"/>
    <col min="7" max="7" width="11.42578125" customWidth="1"/>
    <col min="8" max="8" width="13.42578125" customWidth="1"/>
    <col min="9" max="9" width="10.7109375" customWidth="1"/>
    <col min="12" max="12" width="10.85546875" customWidth="1"/>
    <col min="14" max="14" width="18.140625" customWidth="1"/>
    <col min="15" max="15" width="11.42578125" customWidth="1"/>
  </cols>
  <sheetData>
    <row r="1" spans="1:16" x14ac:dyDescent="0.25">
      <c r="A1" t="s">
        <v>0</v>
      </c>
      <c r="B1" t="s">
        <v>1</v>
      </c>
      <c r="C1" t="s">
        <v>2</v>
      </c>
      <c r="D1" t="s">
        <v>3</v>
      </c>
      <c r="E1" t="s">
        <v>4</v>
      </c>
      <c r="F1" t="s">
        <v>2785</v>
      </c>
      <c r="G1" t="s">
        <v>5</v>
      </c>
      <c r="H1" t="s">
        <v>6</v>
      </c>
      <c r="I1" t="s">
        <v>7</v>
      </c>
      <c r="J1" t="s">
        <v>8</v>
      </c>
      <c r="K1" t="s">
        <v>9</v>
      </c>
      <c r="L1" t="s">
        <v>10</v>
      </c>
      <c r="M1" t="s">
        <v>11</v>
      </c>
      <c r="N1" t="s">
        <v>12</v>
      </c>
      <c r="O1" t="s">
        <v>13</v>
      </c>
      <c r="P1" t="s">
        <v>14</v>
      </c>
    </row>
    <row r="2" spans="1:16" x14ac:dyDescent="0.25">
      <c r="A2" t="s">
        <v>15</v>
      </c>
      <c r="B2" s="1">
        <v>45944</v>
      </c>
      <c r="C2" s="2">
        <v>0.55138888888888893</v>
      </c>
      <c r="D2" t="s">
        <v>16</v>
      </c>
      <c r="E2" t="s">
        <v>17</v>
      </c>
      <c r="F2" s="1"/>
      <c r="G2">
        <v>1971</v>
      </c>
      <c r="H2">
        <v>2</v>
      </c>
      <c r="I2">
        <v>7</v>
      </c>
      <c r="J2" t="s">
        <v>18</v>
      </c>
      <c r="K2">
        <v>89.97</v>
      </c>
      <c r="L2">
        <v>1</v>
      </c>
      <c r="M2">
        <v>89.97</v>
      </c>
      <c r="N2" t="s">
        <v>19</v>
      </c>
      <c r="O2" t="s">
        <v>20</v>
      </c>
      <c r="P2" t="s">
        <v>21</v>
      </c>
    </row>
    <row r="3" spans="1:16" x14ac:dyDescent="0.25">
      <c r="A3" t="s">
        <v>22</v>
      </c>
      <c r="B3" s="1">
        <v>45800</v>
      </c>
      <c r="C3" s="3">
        <v>0.91858796296296297</v>
      </c>
      <c r="D3" t="s">
        <v>16</v>
      </c>
      <c r="E3" t="s">
        <v>23</v>
      </c>
      <c r="F3" s="4"/>
      <c r="G3">
        <v>2005</v>
      </c>
      <c r="H3">
        <v>5</v>
      </c>
      <c r="I3">
        <v>27</v>
      </c>
      <c r="J3" t="s">
        <v>24</v>
      </c>
      <c r="K3">
        <v>258.43</v>
      </c>
      <c r="L3">
        <v>2</v>
      </c>
      <c r="M3">
        <v>516.86</v>
      </c>
      <c r="N3" t="s">
        <v>25</v>
      </c>
      <c r="O3" t="s">
        <v>26</v>
      </c>
      <c r="P3" t="s">
        <v>27</v>
      </c>
    </row>
    <row r="4" spans="1:16" x14ac:dyDescent="0.25">
      <c r="A4" t="s">
        <v>28</v>
      </c>
      <c r="B4" s="4">
        <v>45890</v>
      </c>
      <c r="C4" s="2">
        <v>0.72499999999999998</v>
      </c>
      <c r="D4" t="s">
        <v>16</v>
      </c>
      <c r="E4" t="s">
        <v>29</v>
      </c>
      <c r="G4">
        <v>1973</v>
      </c>
      <c r="H4">
        <v>4</v>
      </c>
      <c r="I4">
        <v>27</v>
      </c>
      <c r="J4" t="s">
        <v>30</v>
      </c>
      <c r="K4">
        <v>282.38</v>
      </c>
      <c r="L4">
        <v>2</v>
      </c>
      <c r="M4">
        <v>564.76</v>
      </c>
      <c r="N4" t="s">
        <v>31</v>
      </c>
      <c r="O4" t="s">
        <v>32</v>
      </c>
      <c r="P4" t="s">
        <v>33</v>
      </c>
    </row>
    <row r="5" spans="1:16" x14ac:dyDescent="0.25">
      <c r="A5" t="s">
        <v>34</v>
      </c>
      <c r="B5" s="4">
        <v>45687</v>
      </c>
      <c r="C5" s="5">
        <v>0.91874999999999996</v>
      </c>
      <c r="D5" t="s">
        <v>16</v>
      </c>
      <c r="E5" t="s">
        <v>35</v>
      </c>
      <c r="F5" s="4"/>
      <c r="G5">
        <v>1974</v>
      </c>
      <c r="H5">
        <v>7</v>
      </c>
      <c r="I5">
        <v>13</v>
      </c>
      <c r="J5" t="s">
        <v>36</v>
      </c>
      <c r="K5">
        <v>162.74</v>
      </c>
      <c r="L5">
        <v>1</v>
      </c>
      <c r="M5">
        <v>162.74</v>
      </c>
      <c r="N5" t="s">
        <v>25</v>
      </c>
      <c r="O5" t="s">
        <v>37</v>
      </c>
    </row>
    <row r="6" spans="1:16" x14ac:dyDescent="0.25">
      <c r="A6" t="s">
        <v>38</v>
      </c>
      <c r="B6" s="1">
        <v>45671</v>
      </c>
      <c r="C6" s="2">
        <v>0.98611111111111116</v>
      </c>
      <c r="D6" t="s">
        <v>16</v>
      </c>
      <c r="E6" t="s">
        <v>39</v>
      </c>
      <c r="J6" t="s">
        <v>40</v>
      </c>
      <c r="K6">
        <v>227.69</v>
      </c>
      <c r="L6">
        <v>2</v>
      </c>
      <c r="M6">
        <v>455.38</v>
      </c>
      <c r="N6" t="s">
        <v>41</v>
      </c>
      <c r="O6" t="s">
        <v>37</v>
      </c>
    </row>
    <row r="7" spans="1:16" x14ac:dyDescent="0.25">
      <c r="A7" t="s">
        <v>42</v>
      </c>
      <c r="B7" t="s">
        <v>43</v>
      </c>
      <c r="C7" s="2">
        <v>0.58263888888888893</v>
      </c>
      <c r="D7" t="s">
        <v>16</v>
      </c>
      <c r="E7" t="s">
        <v>44</v>
      </c>
      <c r="J7" t="s">
        <v>45</v>
      </c>
      <c r="K7" t="s">
        <v>46</v>
      </c>
      <c r="L7">
        <v>1</v>
      </c>
      <c r="M7">
        <v>286.61</v>
      </c>
      <c r="N7" t="s">
        <v>19</v>
      </c>
      <c r="O7" t="s">
        <v>47</v>
      </c>
      <c r="P7" t="s">
        <v>48</v>
      </c>
    </row>
    <row r="8" spans="1:16" x14ac:dyDescent="0.25">
      <c r="A8" t="s">
        <v>49</v>
      </c>
      <c r="B8" s="4">
        <v>45959</v>
      </c>
      <c r="C8" s="2">
        <v>0.91597222222222219</v>
      </c>
      <c r="D8" t="s">
        <v>16</v>
      </c>
      <c r="E8" t="s">
        <v>50</v>
      </c>
      <c r="F8" s="4"/>
      <c r="G8">
        <v>1996</v>
      </c>
      <c r="H8">
        <v>4</v>
      </c>
      <c r="I8">
        <v>4</v>
      </c>
      <c r="J8" t="s">
        <v>36</v>
      </c>
      <c r="K8">
        <v>222.73</v>
      </c>
      <c r="L8">
        <v>2</v>
      </c>
      <c r="M8">
        <v>445.46</v>
      </c>
      <c r="O8" t="s">
        <v>47</v>
      </c>
      <c r="P8" t="s">
        <v>21</v>
      </c>
    </row>
    <row r="9" spans="1:16" x14ac:dyDescent="0.25">
      <c r="A9" t="s">
        <v>51</v>
      </c>
      <c r="B9" s="4">
        <v>45843</v>
      </c>
      <c r="C9" s="5">
        <v>0.44513888888888886</v>
      </c>
      <c r="D9" t="s">
        <v>16</v>
      </c>
      <c r="E9" t="s">
        <v>52</v>
      </c>
      <c r="J9" t="s">
        <v>53</v>
      </c>
      <c r="K9">
        <v>92.93</v>
      </c>
      <c r="L9">
        <v>2</v>
      </c>
      <c r="M9">
        <v>185.86</v>
      </c>
      <c r="N9" t="s">
        <v>54</v>
      </c>
      <c r="O9" t="s">
        <v>55</v>
      </c>
      <c r="P9" t="s">
        <v>56</v>
      </c>
    </row>
    <row r="10" spans="1:16" x14ac:dyDescent="0.25">
      <c r="A10" t="s">
        <v>57</v>
      </c>
      <c r="B10" t="s">
        <v>58</v>
      </c>
      <c r="C10" s="2">
        <v>0.79027777777777775</v>
      </c>
      <c r="D10" t="s">
        <v>16</v>
      </c>
      <c r="E10" t="s">
        <v>59</v>
      </c>
      <c r="F10" s="4"/>
      <c r="G10">
        <v>1981</v>
      </c>
      <c r="H10">
        <v>2</v>
      </c>
      <c r="I10">
        <v>20</v>
      </c>
      <c r="J10" t="s">
        <v>60</v>
      </c>
      <c r="K10">
        <v>110.38</v>
      </c>
      <c r="L10">
        <v>2</v>
      </c>
      <c r="M10">
        <v>220.76</v>
      </c>
      <c r="N10" t="s">
        <v>25</v>
      </c>
      <c r="O10" t="s">
        <v>61</v>
      </c>
      <c r="P10" t="s">
        <v>56</v>
      </c>
    </row>
    <row r="11" spans="1:16" x14ac:dyDescent="0.25">
      <c r="A11" t="s">
        <v>62</v>
      </c>
      <c r="C11" s="5">
        <v>0.81666666666666665</v>
      </c>
      <c r="D11" t="s">
        <v>16</v>
      </c>
      <c r="E11" t="s">
        <v>63</v>
      </c>
      <c r="F11" s="4"/>
      <c r="G11">
        <v>1992</v>
      </c>
      <c r="H11">
        <v>2</v>
      </c>
      <c r="I11">
        <v>8</v>
      </c>
      <c r="J11" t="s">
        <v>36</v>
      </c>
      <c r="K11">
        <v>47.09</v>
      </c>
      <c r="L11">
        <v>1</v>
      </c>
      <c r="M11">
        <v>47.09</v>
      </c>
      <c r="N11" t="s">
        <v>64</v>
      </c>
      <c r="O11" t="s">
        <v>47</v>
      </c>
      <c r="P11" t="s">
        <v>48</v>
      </c>
    </row>
    <row r="12" spans="1:16" x14ac:dyDescent="0.25">
      <c r="A12" t="s">
        <v>65</v>
      </c>
      <c r="B12" s="4">
        <v>45875</v>
      </c>
      <c r="C12" s="3">
        <v>0.4864236111111111</v>
      </c>
      <c r="D12" t="s">
        <v>16</v>
      </c>
      <c r="E12" t="s">
        <v>66</v>
      </c>
      <c r="F12" s="4"/>
      <c r="G12">
        <v>1986</v>
      </c>
      <c r="H12">
        <v>3</v>
      </c>
      <c r="I12">
        <v>24</v>
      </c>
      <c r="J12" t="s">
        <v>45</v>
      </c>
      <c r="K12">
        <v>237.11</v>
      </c>
      <c r="L12">
        <v>1</v>
      </c>
      <c r="M12">
        <v>237.11</v>
      </c>
      <c r="N12" t="s">
        <v>67</v>
      </c>
      <c r="O12" t="s">
        <v>26</v>
      </c>
      <c r="P12" t="s">
        <v>56</v>
      </c>
    </row>
    <row r="13" spans="1:16" x14ac:dyDescent="0.25">
      <c r="A13" t="s">
        <v>68</v>
      </c>
      <c r="B13" t="s">
        <v>69</v>
      </c>
      <c r="C13" s="5">
        <v>0.82430555555555551</v>
      </c>
      <c r="D13" t="s">
        <v>16</v>
      </c>
      <c r="E13" t="s">
        <v>70</v>
      </c>
      <c r="F13" s="4"/>
      <c r="G13">
        <v>1991</v>
      </c>
      <c r="H13">
        <v>7</v>
      </c>
      <c r="I13">
        <v>26</v>
      </c>
      <c r="J13" t="s">
        <v>53</v>
      </c>
      <c r="K13">
        <v>120.25</v>
      </c>
      <c r="L13">
        <v>1</v>
      </c>
      <c r="M13">
        <v>120.25</v>
      </c>
      <c r="N13" t="s">
        <v>31</v>
      </c>
      <c r="O13" t="s">
        <v>32</v>
      </c>
      <c r="P13" t="s">
        <v>48</v>
      </c>
    </row>
    <row r="14" spans="1:16" x14ac:dyDescent="0.25">
      <c r="A14" t="s">
        <v>71</v>
      </c>
      <c r="B14" s="1">
        <v>45652</v>
      </c>
      <c r="C14" s="3">
        <v>0.65384259259259259</v>
      </c>
      <c r="D14" t="s">
        <v>16</v>
      </c>
      <c r="E14" t="s">
        <v>72</v>
      </c>
      <c r="G14">
        <v>1986</v>
      </c>
      <c r="H14">
        <v>3</v>
      </c>
      <c r="I14">
        <v>19</v>
      </c>
      <c r="J14" t="s">
        <v>73</v>
      </c>
      <c r="K14">
        <v>48.12</v>
      </c>
      <c r="L14">
        <v>-1</v>
      </c>
      <c r="M14">
        <v>-48.12</v>
      </c>
      <c r="N14" t="s">
        <v>67</v>
      </c>
      <c r="O14" t="s">
        <v>32</v>
      </c>
      <c r="P14" t="s">
        <v>74</v>
      </c>
    </row>
    <row r="15" spans="1:16" x14ac:dyDescent="0.25">
      <c r="A15" t="s">
        <v>75</v>
      </c>
      <c r="B15" s="1">
        <v>45652</v>
      </c>
      <c r="C15" s="5">
        <v>0.80555555555555558</v>
      </c>
      <c r="D15" t="s">
        <v>16</v>
      </c>
      <c r="E15" t="s">
        <v>76</v>
      </c>
      <c r="F15" s="4"/>
      <c r="G15">
        <v>1990</v>
      </c>
      <c r="H15">
        <v>7</v>
      </c>
      <c r="I15">
        <v>23</v>
      </c>
      <c r="J15" t="s">
        <v>77</v>
      </c>
      <c r="K15">
        <v>-126.06</v>
      </c>
      <c r="L15">
        <v>3</v>
      </c>
      <c r="M15">
        <v>-378.18</v>
      </c>
      <c r="O15" t="s">
        <v>61</v>
      </c>
      <c r="P15" t="s">
        <v>33</v>
      </c>
    </row>
    <row r="16" spans="1:16" x14ac:dyDescent="0.25">
      <c r="A16" t="s">
        <v>78</v>
      </c>
      <c r="B16" s="4">
        <v>45878</v>
      </c>
      <c r="C16" s="2">
        <v>0.83680555555555558</v>
      </c>
      <c r="D16" t="s">
        <v>16</v>
      </c>
      <c r="E16" t="s">
        <v>79</v>
      </c>
      <c r="G16">
        <v>1991</v>
      </c>
      <c r="H16">
        <v>12</v>
      </c>
      <c r="I16">
        <v>12</v>
      </c>
      <c r="J16" t="s">
        <v>18</v>
      </c>
      <c r="K16">
        <v>111.36</v>
      </c>
      <c r="L16">
        <v>2</v>
      </c>
      <c r="M16">
        <v>222.72</v>
      </c>
      <c r="N16" t="s">
        <v>54</v>
      </c>
      <c r="O16" t="s">
        <v>26</v>
      </c>
      <c r="P16" t="s">
        <v>74</v>
      </c>
    </row>
    <row r="17" spans="1:16" x14ac:dyDescent="0.25">
      <c r="A17" t="s">
        <v>80</v>
      </c>
      <c r="B17" t="s">
        <v>81</v>
      </c>
      <c r="C17" s="5">
        <v>0.44097222222222221</v>
      </c>
      <c r="D17" t="s">
        <v>16</v>
      </c>
      <c r="E17" t="s">
        <v>82</v>
      </c>
      <c r="F17" s="1"/>
      <c r="G17">
        <v>2005</v>
      </c>
      <c r="H17">
        <v>10</v>
      </c>
      <c r="I17">
        <v>11</v>
      </c>
      <c r="J17" t="s">
        <v>45</v>
      </c>
      <c r="K17">
        <v>107.89</v>
      </c>
      <c r="L17">
        <v>3</v>
      </c>
      <c r="M17">
        <v>323.67</v>
      </c>
      <c r="O17" t="s">
        <v>26</v>
      </c>
      <c r="P17" t="s">
        <v>48</v>
      </c>
    </row>
    <row r="18" spans="1:16" x14ac:dyDescent="0.25">
      <c r="A18" t="s">
        <v>83</v>
      </c>
      <c r="B18" s="1">
        <v>45737</v>
      </c>
      <c r="C18" s="5">
        <v>0.75347222222222221</v>
      </c>
      <c r="D18" t="s">
        <v>16</v>
      </c>
      <c r="E18" t="s">
        <v>84</v>
      </c>
      <c r="F18" s="1"/>
      <c r="G18">
        <v>1974</v>
      </c>
      <c r="H18">
        <v>7</v>
      </c>
      <c r="I18">
        <v>14</v>
      </c>
      <c r="J18" t="s">
        <v>85</v>
      </c>
      <c r="K18" t="s">
        <v>86</v>
      </c>
      <c r="L18">
        <v>2</v>
      </c>
      <c r="M18">
        <v>324.52</v>
      </c>
      <c r="N18" t="s">
        <v>31</v>
      </c>
      <c r="O18" t="s">
        <v>20</v>
      </c>
    </row>
    <row r="19" spans="1:16" x14ac:dyDescent="0.25">
      <c r="A19" t="s">
        <v>87</v>
      </c>
      <c r="B19" s="4">
        <v>45896</v>
      </c>
      <c r="C19" s="3">
        <v>0.71825231481481477</v>
      </c>
      <c r="D19" t="s">
        <v>16</v>
      </c>
      <c r="E19" t="s">
        <v>88</v>
      </c>
      <c r="F19" s="1"/>
      <c r="G19">
        <v>1995</v>
      </c>
      <c r="H19">
        <v>12</v>
      </c>
      <c r="I19">
        <v>6</v>
      </c>
      <c r="J19" t="s">
        <v>60</v>
      </c>
      <c r="K19">
        <v>147.78</v>
      </c>
      <c r="L19">
        <v>2</v>
      </c>
      <c r="M19">
        <v>295.56</v>
      </c>
      <c r="N19" t="s">
        <v>31</v>
      </c>
      <c r="O19" t="s">
        <v>89</v>
      </c>
      <c r="P19" t="s">
        <v>74</v>
      </c>
    </row>
    <row r="20" spans="1:16" x14ac:dyDescent="0.25">
      <c r="A20" t="s">
        <v>90</v>
      </c>
      <c r="B20" t="s">
        <v>91</v>
      </c>
      <c r="C20" s="5">
        <v>0.44930555555555557</v>
      </c>
      <c r="D20" t="s">
        <v>16</v>
      </c>
      <c r="E20" t="s">
        <v>92</v>
      </c>
      <c r="J20" t="s">
        <v>93</v>
      </c>
      <c r="K20">
        <v>173.28</v>
      </c>
      <c r="L20">
        <v>3</v>
      </c>
      <c r="M20">
        <v>519.84</v>
      </c>
      <c r="N20" t="s">
        <v>19</v>
      </c>
      <c r="O20" t="s">
        <v>37</v>
      </c>
      <c r="P20" t="s">
        <v>48</v>
      </c>
    </row>
    <row r="21" spans="1:16" x14ac:dyDescent="0.25">
      <c r="A21" t="s">
        <v>94</v>
      </c>
      <c r="B21" s="1">
        <v>45672</v>
      </c>
      <c r="C21" s="3">
        <v>0.82219907407407411</v>
      </c>
      <c r="D21" t="s">
        <v>16</v>
      </c>
      <c r="E21" t="s">
        <v>95</v>
      </c>
      <c r="F21" s="4"/>
      <c r="G21">
        <v>2010</v>
      </c>
      <c r="H21">
        <v>4</v>
      </c>
      <c r="I21">
        <v>4</v>
      </c>
      <c r="J21" t="s">
        <v>40</v>
      </c>
      <c r="K21" t="s">
        <v>96</v>
      </c>
      <c r="L21">
        <v>2</v>
      </c>
      <c r="M21">
        <v>396.57</v>
      </c>
      <c r="O21" t="s">
        <v>37</v>
      </c>
      <c r="P21" t="s">
        <v>74</v>
      </c>
    </row>
    <row r="22" spans="1:16" x14ac:dyDescent="0.25">
      <c r="A22" t="s">
        <v>97</v>
      </c>
      <c r="B22" s="1">
        <v>45707</v>
      </c>
      <c r="C22" s="2">
        <v>0.82708333333333328</v>
      </c>
      <c r="D22" t="s">
        <v>16</v>
      </c>
      <c r="E22" t="s">
        <v>98</v>
      </c>
      <c r="F22" s="1"/>
      <c r="G22">
        <v>1987</v>
      </c>
      <c r="H22">
        <v>6</v>
      </c>
      <c r="I22">
        <v>28</v>
      </c>
      <c r="J22" t="s">
        <v>60</v>
      </c>
      <c r="K22">
        <v>148.09</v>
      </c>
      <c r="L22">
        <v>2</v>
      </c>
      <c r="M22">
        <v>296.18</v>
      </c>
      <c r="N22" t="s">
        <v>25</v>
      </c>
      <c r="O22" t="s">
        <v>55</v>
      </c>
    </row>
    <row r="23" spans="1:16" x14ac:dyDescent="0.25">
      <c r="A23" t="s">
        <v>99</v>
      </c>
      <c r="B23" t="s">
        <v>100</v>
      </c>
      <c r="C23" s="5">
        <v>0.73263888888888884</v>
      </c>
      <c r="D23" t="s">
        <v>16</v>
      </c>
      <c r="E23" t="s">
        <v>101</v>
      </c>
      <c r="F23" s="1"/>
      <c r="G23">
        <v>1971</v>
      </c>
      <c r="H23">
        <v>2</v>
      </c>
      <c r="I23">
        <v>10</v>
      </c>
      <c r="J23" t="s">
        <v>45</v>
      </c>
      <c r="K23">
        <v>107.19</v>
      </c>
      <c r="L23">
        <v>1</v>
      </c>
      <c r="M23">
        <v>107.19</v>
      </c>
      <c r="N23" t="s">
        <v>41</v>
      </c>
      <c r="O23" t="s">
        <v>47</v>
      </c>
      <c r="P23" t="s">
        <v>33</v>
      </c>
    </row>
    <row r="24" spans="1:16" x14ac:dyDescent="0.25">
      <c r="A24" t="s">
        <v>102</v>
      </c>
      <c r="B24" s="1">
        <v>45864</v>
      </c>
      <c r="C24" s="3">
        <v>0.49527777777777776</v>
      </c>
      <c r="D24" t="s">
        <v>16</v>
      </c>
      <c r="E24" t="s">
        <v>103</v>
      </c>
      <c r="F24" s="1"/>
      <c r="G24">
        <v>2004</v>
      </c>
      <c r="H24">
        <v>3</v>
      </c>
      <c r="I24">
        <v>9</v>
      </c>
      <c r="J24" t="s">
        <v>104</v>
      </c>
      <c r="K24">
        <v>320.73</v>
      </c>
      <c r="L24">
        <v>2</v>
      </c>
      <c r="M24">
        <v>641.46</v>
      </c>
      <c r="O24" t="s">
        <v>26</v>
      </c>
      <c r="P24" t="s">
        <v>105</v>
      </c>
    </row>
    <row r="25" spans="1:16" x14ac:dyDescent="0.25">
      <c r="A25" t="s">
        <v>106</v>
      </c>
      <c r="B25" s="1">
        <v>45694</v>
      </c>
      <c r="C25" s="2">
        <v>0.46875</v>
      </c>
      <c r="D25" t="s">
        <v>16</v>
      </c>
      <c r="E25" t="s">
        <v>107</v>
      </c>
      <c r="F25" s="4"/>
      <c r="G25">
        <v>2003</v>
      </c>
      <c r="H25">
        <v>7</v>
      </c>
      <c r="I25">
        <v>15</v>
      </c>
      <c r="J25" t="s">
        <v>77</v>
      </c>
      <c r="K25">
        <v>161.43</v>
      </c>
      <c r="L25">
        <v>1</v>
      </c>
      <c r="M25">
        <v>168.43</v>
      </c>
      <c r="O25" t="s">
        <v>89</v>
      </c>
      <c r="P25" t="s">
        <v>105</v>
      </c>
    </row>
    <row r="26" spans="1:16" x14ac:dyDescent="0.25">
      <c r="A26" t="s">
        <v>108</v>
      </c>
      <c r="B26" s="1">
        <v>45735</v>
      </c>
      <c r="C26" s="5">
        <v>0.91319444444444442</v>
      </c>
      <c r="D26" t="s">
        <v>16</v>
      </c>
      <c r="E26" t="s">
        <v>109</v>
      </c>
      <c r="F26" s="4"/>
      <c r="G26">
        <v>2010</v>
      </c>
      <c r="H26">
        <v>10</v>
      </c>
      <c r="I26">
        <v>22</v>
      </c>
      <c r="J26" t="s">
        <v>110</v>
      </c>
      <c r="K26">
        <v>131.33000000000001</v>
      </c>
      <c r="L26">
        <v>1</v>
      </c>
      <c r="M26">
        <v>131.33000000000001</v>
      </c>
      <c r="N26" t="s">
        <v>31</v>
      </c>
      <c r="O26" t="s">
        <v>89</v>
      </c>
    </row>
    <row r="27" spans="1:16" x14ac:dyDescent="0.25">
      <c r="A27" t="s">
        <v>111</v>
      </c>
      <c r="B27" s="4">
        <v>45893</v>
      </c>
      <c r="C27" s="3">
        <v>0.79370370370370369</v>
      </c>
      <c r="D27" t="s">
        <v>16</v>
      </c>
      <c r="E27" t="s">
        <v>112</v>
      </c>
      <c r="G27">
        <v>1991</v>
      </c>
      <c r="H27">
        <v>12</v>
      </c>
      <c r="I27">
        <v>12</v>
      </c>
      <c r="J27" t="s">
        <v>85</v>
      </c>
      <c r="K27">
        <v>209.71</v>
      </c>
      <c r="L27">
        <v>3</v>
      </c>
      <c r="M27">
        <v>629.13</v>
      </c>
      <c r="N27" t="s">
        <v>19</v>
      </c>
      <c r="O27" t="s">
        <v>61</v>
      </c>
      <c r="P27" t="s">
        <v>56</v>
      </c>
    </row>
    <row r="28" spans="1:16" x14ac:dyDescent="0.25">
      <c r="A28" t="s">
        <v>113</v>
      </c>
      <c r="B28" s="4">
        <v>45826</v>
      </c>
      <c r="C28" s="3">
        <v>0.96552083333333338</v>
      </c>
      <c r="D28" t="s">
        <v>16</v>
      </c>
      <c r="E28" t="s">
        <v>101</v>
      </c>
      <c r="F28" s="4"/>
      <c r="G28">
        <v>2005</v>
      </c>
      <c r="H28">
        <v>1</v>
      </c>
      <c r="I28">
        <v>15</v>
      </c>
      <c r="J28" t="s">
        <v>36</v>
      </c>
      <c r="K28">
        <v>46.85</v>
      </c>
      <c r="L28">
        <v>1</v>
      </c>
      <c r="M28">
        <v>46.85</v>
      </c>
      <c r="N28" t="s">
        <v>25</v>
      </c>
      <c r="O28" t="s">
        <v>61</v>
      </c>
    </row>
    <row r="29" spans="1:16" x14ac:dyDescent="0.25">
      <c r="A29" t="s">
        <v>114</v>
      </c>
      <c r="C29" s="5">
        <v>0.85972222222222228</v>
      </c>
      <c r="D29" t="s">
        <v>16</v>
      </c>
      <c r="E29" t="s">
        <v>115</v>
      </c>
      <c r="F29" s="4"/>
      <c r="G29">
        <v>1996</v>
      </c>
      <c r="H29">
        <v>2</v>
      </c>
      <c r="I29">
        <v>8</v>
      </c>
      <c r="J29" t="s">
        <v>116</v>
      </c>
      <c r="K29">
        <v>151</v>
      </c>
      <c r="L29">
        <v>2</v>
      </c>
      <c r="M29">
        <v>302</v>
      </c>
      <c r="N29" t="s">
        <v>41</v>
      </c>
      <c r="O29" t="s">
        <v>26</v>
      </c>
      <c r="P29" t="s">
        <v>48</v>
      </c>
    </row>
    <row r="30" spans="1:16" x14ac:dyDescent="0.25">
      <c r="A30" t="s">
        <v>117</v>
      </c>
      <c r="B30" s="1">
        <v>45829</v>
      </c>
      <c r="C30" s="2">
        <v>0.95833333333333337</v>
      </c>
      <c r="D30" t="s">
        <v>16</v>
      </c>
      <c r="E30" t="s">
        <v>118</v>
      </c>
      <c r="G30">
        <v>1979</v>
      </c>
      <c r="H30">
        <v>8</v>
      </c>
      <c r="I30">
        <v>18</v>
      </c>
      <c r="J30" t="s">
        <v>30</v>
      </c>
      <c r="K30">
        <v>319.79000000000002</v>
      </c>
      <c r="L30">
        <v>2</v>
      </c>
      <c r="M30">
        <v>639.58000000000004</v>
      </c>
      <c r="N30" t="s">
        <v>41</v>
      </c>
      <c r="O30" t="s">
        <v>61</v>
      </c>
      <c r="P30" t="s">
        <v>105</v>
      </c>
    </row>
    <row r="31" spans="1:16" x14ac:dyDescent="0.25">
      <c r="A31" t="s">
        <v>119</v>
      </c>
      <c r="B31" s="1">
        <v>45681</v>
      </c>
      <c r="C31" s="3">
        <v>0.96313657407407405</v>
      </c>
      <c r="D31" t="s">
        <v>16</v>
      </c>
      <c r="E31" t="s">
        <v>120</v>
      </c>
      <c r="G31">
        <v>1979</v>
      </c>
      <c r="H31">
        <v>7</v>
      </c>
      <c r="I31">
        <v>28</v>
      </c>
      <c r="J31" t="s">
        <v>77</v>
      </c>
      <c r="K31">
        <v>186.79</v>
      </c>
      <c r="L31">
        <v>2</v>
      </c>
      <c r="M31">
        <v>373.58</v>
      </c>
      <c r="N31" t="s">
        <v>19</v>
      </c>
      <c r="O31" t="s">
        <v>47</v>
      </c>
      <c r="P31" t="s">
        <v>48</v>
      </c>
    </row>
    <row r="32" spans="1:16" x14ac:dyDescent="0.25">
      <c r="A32" t="s">
        <v>121</v>
      </c>
      <c r="B32" t="s">
        <v>122</v>
      </c>
      <c r="C32" s="2">
        <v>0.49166666666666664</v>
      </c>
      <c r="D32" t="s">
        <v>16</v>
      </c>
      <c r="E32" t="s">
        <v>123</v>
      </c>
      <c r="F32" s="1"/>
      <c r="G32">
        <v>1971</v>
      </c>
      <c r="H32">
        <v>1</v>
      </c>
      <c r="I32">
        <v>11</v>
      </c>
      <c r="J32" t="s">
        <v>60</v>
      </c>
      <c r="K32">
        <v>207.4</v>
      </c>
      <c r="L32">
        <v>1</v>
      </c>
      <c r="M32">
        <v>207.4</v>
      </c>
      <c r="O32" t="s">
        <v>89</v>
      </c>
      <c r="P32" t="s">
        <v>105</v>
      </c>
    </row>
    <row r="33" spans="1:16" x14ac:dyDescent="0.25">
      <c r="A33" t="s">
        <v>124</v>
      </c>
      <c r="B33" s="4">
        <v>45855</v>
      </c>
      <c r="C33" s="2">
        <v>0.4777777777777778</v>
      </c>
      <c r="D33" t="s">
        <v>16</v>
      </c>
      <c r="E33" t="s">
        <v>125</v>
      </c>
      <c r="G33">
        <v>1989</v>
      </c>
      <c r="H33">
        <v>4</v>
      </c>
      <c r="I33">
        <v>13</v>
      </c>
      <c r="J33" t="s">
        <v>126</v>
      </c>
      <c r="L33">
        <v>1</v>
      </c>
      <c r="O33" t="s">
        <v>89</v>
      </c>
      <c r="P33" t="s">
        <v>33</v>
      </c>
    </row>
    <row r="34" spans="1:16" x14ac:dyDescent="0.25">
      <c r="A34" t="s">
        <v>127</v>
      </c>
      <c r="B34" s="4">
        <v>45927</v>
      </c>
      <c r="C34" s="3">
        <v>0.84211805555555552</v>
      </c>
      <c r="D34" t="s">
        <v>16</v>
      </c>
      <c r="E34" t="s">
        <v>128</v>
      </c>
      <c r="G34">
        <v>1972</v>
      </c>
      <c r="H34">
        <v>5</v>
      </c>
      <c r="I34">
        <v>26</v>
      </c>
      <c r="J34" t="s">
        <v>129</v>
      </c>
      <c r="K34">
        <v>203.8</v>
      </c>
      <c r="L34">
        <v>1</v>
      </c>
      <c r="M34">
        <v>203.8</v>
      </c>
      <c r="O34" t="s">
        <v>89</v>
      </c>
      <c r="P34" t="s">
        <v>56</v>
      </c>
    </row>
    <row r="35" spans="1:16" x14ac:dyDescent="0.25">
      <c r="A35" t="s">
        <v>130</v>
      </c>
      <c r="B35" s="4">
        <v>45675</v>
      </c>
      <c r="C35" s="2">
        <v>0.53333333333333333</v>
      </c>
      <c r="D35" t="s">
        <v>16</v>
      </c>
      <c r="E35" t="s">
        <v>131</v>
      </c>
      <c r="G35">
        <v>1993</v>
      </c>
      <c r="H35">
        <v>2</v>
      </c>
      <c r="I35">
        <v>26</v>
      </c>
      <c r="J35" t="s">
        <v>60</v>
      </c>
      <c r="K35">
        <v>301.58</v>
      </c>
      <c r="L35">
        <v>3</v>
      </c>
      <c r="M35">
        <v>904.74</v>
      </c>
      <c r="O35" t="s">
        <v>89</v>
      </c>
      <c r="P35" t="s">
        <v>74</v>
      </c>
    </row>
    <row r="36" spans="1:16" x14ac:dyDescent="0.25">
      <c r="A36" t="s">
        <v>132</v>
      </c>
      <c r="B36" s="4">
        <v>45676</v>
      </c>
      <c r="C36" s="5">
        <v>0.60486111111111107</v>
      </c>
      <c r="D36" t="s">
        <v>16</v>
      </c>
      <c r="E36" t="s">
        <v>133</v>
      </c>
      <c r="F36" s="1"/>
      <c r="G36">
        <v>2004</v>
      </c>
      <c r="H36">
        <v>7</v>
      </c>
      <c r="I36">
        <v>19</v>
      </c>
      <c r="J36" t="s">
        <v>77</v>
      </c>
      <c r="K36">
        <v>314.99</v>
      </c>
      <c r="L36">
        <v>2</v>
      </c>
      <c r="M36">
        <v>629.98</v>
      </c>
      <c r="N36" t="s">
        <v>64</v>
      </c>
      <c r="O36" t="s">
        <v>55</v>
      </c>
      <c r="P36" t="s">
        <v>74</v>
      </c>
    </row>
    <row r="37" spans="1:16" x14ac:dyDescent="0.25">
      <c r="A37" t="s">
        <v>134</v>
      </c>
      <c r="B37" s="4">
        <v>45758</v>
      </c>
      <c r="C37" s="5">
        <v>0.99444444444444446</v>
      </c>
      <c r="D37" t="s">
        <v>16</v>
      </c>
      <c r="E37" t="s">
        <v>109</v>
      </c>
      <c r="F37" s="4"/>
      <c r="G37">
        <v>1971</v>
      </c>
      <c r="H37">
        <v>1</v>
      </c>
      <c r="I37">
        <v>26</v>
      </c>
      <c r="J37" t="s">
        <v>60</v>
      </c>
      <c r="K37">
        <v>313.57</v>
      </c>
      <c r="L37">
        <v>1</v>
      </c>
      <c r="M37">
        <v>313.57</v>
      </c>
      <c r="N37" t="s">
        <v>19</v>
      </c>
      <c r="O37" t="s">
        <v>55</v>
      </c>
      <c r="P37" t="s">
        <v>27</v>
      </c>
    </row>
    <row r="38" spans="1:16" x14ac:dyDescent="0.25">
      <c r="A38" t="s">
        <v>135</v>
      </c>
      <c r="B38" s="4">
        <v>45624</v>
      </c>
      <c r="C38" s="5">
        <v>0.80555555555555558</v>
      </c>
      <c r="D38" t="s">
        <v>16</v>
      </c>
      <c r="E38" t="s">
        <v>136</v>
      </c>
      <c r="F38" s="4"/>
      <c r="G38">
        <v>1977</v>
      </c>
      <c r="H38">
        <v>12</v>
      </c>
      <c r="I38">
        <v>3</v>
      </c>
      <c r="J38" t="s">
        <v>77</v>
      </c>
      <c r="K38">
        <v>227.45</v>
      </c>
      <c r="L38">
        <v>2</v>
      </c>
      <c r="M38">
        <v>454.9</v>
      </c>
      <c r="O38" t="s">
        <v>26</v>
      </c>
      <c r="P38" t="s">
        <v>21</v>
      </c>
    </row>
    <row r="39" spans="1:16" x14ac:dyDescent="0.25">
      <c r="A39" t="s">
        <v>137</v>
      </c>
      <c r="B39" s="4">
        <v>45781</v>
      </c>
      <c r="C39" s="2">
        <v>0.51180555555555551</v>
      </c>
      <c r="D39" t="s">
        <v>16</v>
      </c>
      <c r="E39" t="s">
        <v>138</v>
      </c>
      <c r="F39" s="4"/>
      <c r="G39">
        <v>2008</v>
      </c>
      <c r="H39">
        <v>9</v>
      </c>
      <c r="I39">
        <v>10</v>
      </c>
      <c r="J39" t="s">
        <v>73</v>
      </c>
      <c r="K39">
        <v>45.03</v>
      </c>
      <c r="L39">
        <v>2</v>
      </c>
      <c r="M39">
        <v>90.06</v>
      </c>
      <c r="O39" t="s">
        <v>26</v>
      </c>
      <c r="P39" t="s">
        <v>21</v>
      </c>
    </row>
    <row r="40" spans="1:16" x14ac:dyDescent="0.25">
      <c r="A40" t="s">
        <v>139</v>
      </c>
      <c r="B40" s="4">
        <v>45660</v>
      </c>
      <c r="C40" s="5">
        <v>0.90763888888888888</v>
      </c>
      <c r="D40" t="s">
        <v>16</v>
      </c>
      <c r="E40" t="s">
        <v>140</v>
      </c>
      <c r="F40" s="4"/>
      <c r="G40">
        <v>1991</v>
      </c>
      <c r="H40">
        <v>11</v>
      </c>
      <c r="I40">
        <v>4</v>
      </c>
      <c r="J40" t="s">
        <v>141</v>
      </c>
      <c r="K40">
        <v>144.02000000000001</v>
      </c>
      <c r="L40">
        <v>3</v>
      </c>
      <c r="M40">
        <v>432.06</v>
      </c>
      <c r="N40" t="s">
        <v>67</v>
      </c>
      <c r="O40" t="s">
        <v>20</v>
      </c>
    </row>
    <row r="41" spans="1:16" x14ac:dyDescent="0.25">
      <c r="A41" t="s">
        <v>142</v>
      </c>
      <c r="B41" s="4">
        <v>45935</v>
      </c>
      <c r="C41" s="2">
        <v>0.83263888888888893</v>
      </c>
      <c r="D41" t="s">
        <v>16</v>
      </c>
      <c r="E41" t="s">
        <v>136</v>
      </c>
      <c r="J41" t="s">
        <v>93</v>
      </c>
      <c r="K41">
        <v>201.14</v>
      </c>
      <c r="L41">
        <v>2</v>
      </c>
      <c r="M41">
        <v>402.28</v>
      </c>
      <c r="N41" t="s">
        <v>25</v>
      </c>
      <c r="O41" t="s">
        <v>32</v>
      </c>
      <c r="P41" t="s">
        <v>21</v>
      </c>
    </row>
    <row r="42" spans="1:16" x14ac:dyDescent="0.25">
      <c r="A42" t="s">
        <v>143</v>
      </c>
      <c r="B42" s="4">
        <v>45643</v>
      </c>
      <c r="C42" s="3">
        <v>0.8370023148148148</v>
      </c>
      <c r="D42" t="s">
        <v>16</v>
      </c>
      <c r="E42" t="s">
        <v>144</v>
      </c>
      <c r="F42" s="1"/>
      <c r="G42">
        <v>1987</v>
      </c>
      <c r="H42">
        <v>4</v>
      </c>
      <c r="I42">
        <v>25</v>
      </c>
      <c r="J42" t="s">
        <v>145</v>
      </c>
      <c r="K42">
        <v>168.67</v>
      </c>
      <c r="L42">
        <v>2</v>
      </c>
      <c r="M42">
        <v>337.34</v>
      </c>
      <c r="O42" t="s">
        <v>20</v>
      </c>
      <c r="P42" t="s">
        <v>27</v>
      </c>
    </row>
    <row r="43" spans="1:16" x14ac:dyDescent="0.25">
      <c r="A43" t="s">
        <v>146</v>
      </c>
      <c r="B43" s="4">
        <v>45683</v>
      </c>
      <c r="C43" s="2">
        <v>0.77430555555555558</v>
      </c>
      <c r="D43" t="s">
        <v>16</v>
      </c>
      <c r="E43" t="s">
        <v>147</v>
      </c>
      <c r="F43" s="1"/>
      <c r="G43">
        <v>1997</v>
      </c>
      <c r="H43">
        <v>1</v>
      </c>
      <c r="I43">
        <v>15</v>
      </c>
      <c r="J43" t="s">
        <v>141</v>
      </c>
      <c r="K43" t="s">
        <v>148</v>
      </c>
      <c r="L43">
        <v>3</v>
      </c>
      <c r="M43">
        <v>344.73</v>
      </c>
      <c r="N43" t="s">
        <v>64</v>
      </c>
      <c r="O43" t="s">
        <v>26</v>
      </c>
      <c r="P43" t="s">
        <v>74</v>
      </c>
    </row>
    <row r="44" spans="1:16" x14ac:dyDescent="0.25">
      <c r="A44" t="s">
        <v>149</v>
      </c>
      <c r="B44" t="s">
        <v>150</v>
      </c>
      <c r="C44" s="3">
        <v>0.75376157407407407</v>
      </c>
      <c r="D44" t="s">
        <v>16</v>
      </c>
      <c r="E44" t="s">
        <v>151</v>
      </c>
      <c r="F44" s="4"/>
      <c r="G44">
        <v>1974</v>
      </c>
      <c r="H44">
        <v>9</v>
      </c>
      <c r="I44">
        <v>21</v>
      </c>
      <c r="J44" t="s">
        <v>18</v>
      </c>
      <c r="K44">
        <v>76.11</v>
      </c>
      <c r="L44">
        <v>2</v>
      </c>
      <c r="M44">
        <v>152.22</v>
      </c>
      <c r="O44" t="s">
        <v>32</v>
      </c>
      <c r="P44" t="s">
        <v>56</v>
      </c>
    </row>
    <row r="45" spans="1:16" x14ac:dyDescent="0.25">
      <c r="A45" t="s">
        <v>152</v>
      </c>
      <c r="B45" t="s">
        <v>153</v>
      </c>
      <c r="C45" s="3">
        <v>0.73633101851851857</v>
      </c>
      <c r="D45" t="s">
        <v>16</v>
      </c>
      <c r="E45" t="s">
        <v>154</v>
      </c>
      <c r="F45" s="4"/>
      <c r="G45">
        <v>1999</v>
      </c>
      <c r="H45">
        <v>8</v>
      </c>
      <c r="I45">
        <v>2</v>
      </c>
      <c r="J45" t="s">
        <v>77</v>
      </c>
      <c r="K45">
        <v>138.41999999999999</v>
      </c>
      <c r="L45">
        <v>1</v>
      </c>
      <c r="M45">
        <v>138.41999999999999</v>
      </c>
      <c r="N45" t="s">
        <v>41</v>
      </c>
      <c r="O45" t="s">
        <v>55</v>
      </c>
    </row>
    <row r="46" spans="1:16" x14ac:dyDescent="0.25">
      <c r="A46" t="s">
        <v>155</v>
      </c>
      <c r="B46" s="1">
        <v>45669</v>
      </c>
      <c r="C46" s="2">
        <v>0.87847222222222221</v>
      </c>
      <c r="D46" t="s">
        <v>16</v>
      </c>
      <c r="E46" t="s">
        <v>59</v>
      </c>
      <c r="G46">
        <v>1998</v>
      </c>
      <c r="H46">
        <v>9</v>
      </c>
      <c r="I46">
        <v>17</v>
      </c>
      <c r="J46" t="s">
        <v>36</v>
      </c>
      <c r="K46">
        <v>111.14</v>
      </c>
      <c r="L46">
        <v>3</v>
      </c>
      <c r="M46">
        <v>333.42</v>
      </c>
      <c r="N46" t="s">
        <v>41</v>
      </c>
      <c r="O46" t="s">
        <v>32</v>
      </c>
      <c r="P46" t="s">
        <v>48</v>
      </c>
    </row>
    <row r="47" spans="1:16" x14ac:dyDescent="0.25">
      <c r="A47" t="s">
        <v>156</v>
      </c>
      <c r="B47" t="s">
        <v>157</v>
      </c>
      <c r="C47" s="5">
        <v>0.52638888888888891</v>
      </c>
      <c r="D47" t="s">
        <v>16</v>
      </c>
      <c r="E47" t="s">
        <v>158</v>
      </c>
      <c r="F47" s="1"/>
      <c r="G47">
        <v>1978</v>
      </c>
      <c r="H47">
        <v>11</v>
      </c>
      <c r="I47">
        <v>23</v>
      </c>
      <c r="J47" t="s">
        <v>145</v>
      </c>
      <c r="K47">
        <v>227.28</v>
      </c>
      <c r="L47">
        <v>1</v>
      </c>
      <c r="M47">
        <v>227.28</v>
      </c>
      <c r="N47" t="s">
        <v>19</v>
      </c>
      <c r="O47" t="s">
        <v>55</v>
      </c>
      <c r="P47" t="s">
        <v>56</v>
      </c>
    </row>
    <row r="48" spans="1:16" x14ac:dyDescent="0.25">
      <c r="A48" t="s">
        <v>159</v>
      </c>
      <c r="B48" t="s">
        <v>160</v>
      </c>
      <c r="C48" s="2">
        <v>0.50694444444444442</v>
      </c>
      <c r="D48" t="s">
        <v>16</v>
      </c>
      <c r="E48" t="s">
        <v>161</v>
      </c>
      <c r="F48" s="1"/>
      <c r="G48">
        <v>1993</v>
      </c>
      <c r="H48">
        <v>11</v>
      </c>
      <c r="I48">
        <v>24</v>
      </c>
      <c r="J48" t="s">
        <v>18</v>
      </c>
      <c r="K48">
        <v>93.36</v>
      </c>
      <c r="L48">
        <v>2</v>
      </c>
      <c r="M48">
        <v>186.72</v>
      </c>
      <c r="N48" t="s">
        <v>31</v>
      </c>
      <c r="O48" t="s">
        <v>20</v>
      </c>
      <c r="P48" t="s">
        <v>27</v>
      </c>
    </row>
    <row r="49" spans="1:16" x14ac:dyDescent="0.25">
      <c r="A49" t="s">
        <v>162</v>
      </c>
      <c r="B49" s="4">
        <v>45719</v>
      </c>
      <c r="C49" s="2">
        <v>0.96944444444444444</v>
      </c>
      <c r="D49" t="s">
        <v>16</v>
      </c>
      <c r="E49" t="s">
        <v>163</v>
      </c>
      <c r="F49" s="1"/>
      <c r="G49">
        <v>2003</v>
      </c>
      <c r="H49">
        <v>2</v>
      </c>
      <c r="I49">
        <v>10</v>
      </c>
      <c r="J49" t="s">
        <v>164</v>
      </c>
      <c r="K49">
        <v>357.03</v>
      </c>
      <c r="L49">
        <v>1</v>
      </c>
      <c r="M49">
        <v>357.03</v>
      </c>
      <c r="N49" t="s">
        <v>67</v>
      </c>
      <c r="O49" t="s">
        <v>55</v>
      </c>
      <c r="P49" t="s">
        <v>56</v>
      </c>
    </row>
    <row r="50" spans="1:16" x14ac:dyDescent="0.25">
      <c r="A50" t="s">
        <v>165</v>
      </c>
      <c r="B50" s="1">
        <v>45667</v>
      </c>
      <c r="C50" s="5">
        <v>0.92291666666666672</v>
      </c>
      <c r="D50" t="s">
        <v>16</v>
      </c>
      <c r="E50" t="s">
        <v>166</v>
      </c>
      <c r="J50" t="s">
        <v>164</v>
      </c>
      <c r="K50">
        <v>236.47</v>
      </c>
      <c r="L50">
        <v>1</v>
      </c>
      <c r="M50">
        <v>236.47</v>
      </c>
      <c r="N50" t="s">
        <v>31</v>
      </c>
      <c r="O50" t="s">
        <v>61</v>
      </c>
      <c r="P50" t="s">
        <v>21</v>
      </c>
    </row>
    <row r="51" spans="1:16" x14ac:dyDescent="0.25">
      <c r="A51" t="s">
        <v>167</v>
      </c>
      <c r="B51" t="s">
        <v>168</v>
      </c>
      <c r="C51" s="2">
        <v>0.81527777777777777</v>
      </c>
      <c r="D51" t="s">
        <v>16</v>
      </c>
      <c r="E51" t="s">
        <v>169</v>
      </c>
      <c r="G51">
        <v>1997</v>
      </c>
      <c r="H51">
        <v>1</v>
      </c>
      <c r="I51">
        <v>20</v>
      </c>
      <c r="J51" t="s">
        <v>164</v>
      </c>
      <c r="K51">
        <v>357.94</v>
      </c>
      <c r="L51">
        <v>2</v>
      </c>
      <c r="M51">
        <v>715.88</v>
      </c>
      <c r="N51" t="s">
        <v>54</v>
      </c>
      <c r="O51" t="s">
        <v>32</v>
      </c>
      <c r="P51" t="s">
        <v>21</v>
      </c>
    </row>
    <row r="52" spans="1:16" x14ac:dyDescent="0.25">
      <c r="A52" t="s">
        <v>170</v>
      </c>
      <c r="B52" s="4">
        <v>45793</v>
      </c>
      <c r="C52" s="3">
        <v>0.94290509259259259</v>
      </c>
      <c r="D52" t="s">
        <v>16</v>
      </c>
      <c r="E52" t="s">
        <v>59</v>
      </c>
      <c r="F52" s="1"/>
      <c r="G52">
        <v>1981</v>
      </c>
      <c r="H52">
        <v>11</v>
      </c>
      <c r="I52">
        <v>15</v>
      </c>
      <c r="J52" t="s">
        <v>24</v>
      </c>
      <c r="K52" t="s">
        <v>171</v>
      </c>
      <c r="L52">
        <v>2</v>
      </c>
      <c r="M52">
        <v>439.62</v>
      </c>
      <c r="O52" t="s">
        <v>89</v>
      </c>
      <c r="P52" t="s">
        <v>105</v>
      </c>
    </row>
    <row r="53" spans="1:16" x14ac:dyDescent="0.25">
      <c r="A53" t="s">
        <v>172</v>
      </c>
      <c r="B53" s="1">
        <v>45948</v>
      </c>
      <c r="C53" s="2">
        <v>0.99236111111111114</v>
      </c>
      <c r="D53" t="s">
        <v>16</v>
      </c>
      <c r="E53" t="s">
        <v>173</v>
      </c>
      <c r="F53" s="1"/>
      <c r="G53">
        <v>1995</v>
      </c>
      <c r="H53">
        <v>12</v>
      </c>
      <c r="I53">
        <v>15</v>
      </c>
      <c r="J53" t="s">
        <v>40</v>
      </c>
      <c r="K53">
        <v>231.57</v>
      </c>
      <c r="L53">
        <v>3</v>
      </c>
      <c r="M53">
        <v>694.71</v>
      </c>
      <c r="N53" t="s">
        <v>64</v>
      </c>
      <c r="O53" t="s">
        <v>89</v>
      </c>
      <c r="P53" t="s">
        <v>48</v>
      </c>
    </row>
    <row r="54" spans="1:16" x14ac:dyDescent="0.25">
      <c r="A54" t="s">
        <v>174</v>
      </c>
      <c r="B54" t="s">
        <v>175</v>
      </c>
      <c r="C54" s="3">
        <v>0.53087962962962965</v>
      </c>
      <c r="D54" t="s">
        <v>16</v>
      </c>
      <c r="E54" t="s">
        <v>88</v>
      </c>
      <c r="F54" s="1"/>
      <c r="G54">
        <v>2009</v>
      </c>
      <c r="H54">
        <v>7</v>
      </c>
      <c r="I54">
        <v>9</v>
      </c>
      <c r="J54" t="s">
        <v>40</v>
      </c>
      <c r="K54">
        <v>196.61</v>
      </c>
      <c r="L54">
        <v>1</v>
      </c>
      <c r="M54">
        <v>245.61</v>
      </c>
      <c r="N54" t="s">
        <v>64</v>
      </c>
      <c r="O54" t="s">
        <v>20</v>
      </c>
      <c r="P54" t="s">
        <v>105</v>
      </c>
    </row>
    <row r="55" spans="1:16" x14ac:dyDescent="0.25">
      <c r="A55" t="s">
        <v>176</v>
      </c>
      <c r="B55" t="s">
        <v>177</v>
      </c>
      <c r="C55" s="5">
        <v>0.64097222222222228</v>
      </c>
      <c r="D55" t="s">
        <v>16</v>
      </c>
      <c r="E55" t="s">
        <v>161</v>
      </c>
      <c r="J55" t="s">
        <v>178</v>
      </c>
      <c r="K55">
        <v>287.38</v>
      </c>
      <c r="L55">
        <v>2</v>
      </c>
      <c r="M55">
        <v>574.76</v>
      </c>
      <c r="N55" t="s">
        <v>67</v>
      </c>
      <c r="O55" t="s">
        <v>26</v>
      </c>
      <c r="P55" t="s">
        <v>27</v>
      </c>
    </row>
    <row r="56" spans="1:16" x14ac:dyDescent="0.25">
      <c r="A56" t="s">
        <v>179</v>
      </c>
      <c r="B56" t="s">
        <v>180</v>
      </c>
      <c r="C56" s="3">
        <v>0.49424768518518519</v>
      </c>
      <c r="D56" t="s">
        <v>16</v>
      </c>
      <c r="E56" t="s">
        <v>181</v>
      </c>
      <c r="G56">
        <v>1988</v>
      </c>
      <c r="H56">
        <v>5</v>
      </c>
      <c r="I56">
        <v>28</v>
      </c>
      <c r="J56" t="s">
        <v>145</v>
      </c>
      <c r="K56">
        <v>230.56</v>
      </c>
      <c r="L56">
        <v>3</v>
      </c>
      <c r="M56">
        <v>691.68</v>
      </c>
      <c r="N56" t="s">
        <v>19</v>
      </c>
      <c r="O56" t="s">
        <v>89</v>
      </c>
      <c r="P56" t="s">
        <v>74</v>
      </c>
    </row>
    <row r="57" spans="1:16" x14ac:dyDescent="0.25">
      <c r="A57" t="s">
        <v>182</v>
      </c>
      <c r="B57" t="s">
        <v>183</v>
      </c>
      <c r="C57" s="5">
        <v>0.98333333333333328</v>
      </c>
      <c r="D57" t="s">
        <v>16</v>
      </c>
      <c r="E57" t="s">
        <v>147</v>
      </c>
      <c r="F57" s="1"/>
      <c r="G57">
        <v>1992</v>
      </c>
      <c r="H57">
        <v>3</v>
      </c>
      <c r="I57">
        <v>27</v>
      </c>
      <c r="J57" t="s">
        <v>145</v>
      </c>
      <c r="K57">
        <v>160.09</v>
      </c>
      <c r="L57">
        <v>3</v>
      </c>
      <c r="M57">
        <v>480.27</v>
      </c>
      <c r="N57" t="s">
        <v>25</v>
      </c>
      <c r="O57" t="s">
        <v>47</v>
      </c>
    </row>
    <row r="58" spans="1:16" x14ac:dyDescent="0.25">
      <c r="A58" t="s">
        <v>184</v>
      </c>
      <c r="B58" s="1">
        <v>45757</v>
      </c>
      <c r="C58" s="2">
        <v>0.81527777777777777</v>
      </c>
      <c r="D58" t="s">
        <v>16</v>
      </c>
      <c r="E58" t="s">
        <v>128</v>
      </c>
      <c r="F58" s="4"/>
      <c r="G58">
        <v>1980</v>
      </c>
      <c r="H58">
        <v>11</v>
      </c>
      <c r="I58">
        <v>20</v>
      </c>
      <c r="J58" t="s">
        <v>164</v>
      </c>
      <c r="K58">
        <v>239.91</v>
      </c>
      <c r="L58">
        <v>2</v>
      </c>
      <c r="M58">
        <v>479.82</v>
      </c>
      <c r="N58" t="s">
        <v>25</v>
      </c>
      <c r="O58" t="s">
        <v>61</v>
      </c>
      <c r="P58" t="s">
        <v>33</v>
      </c>
    </row>
    <row r="59" spans="1:16" x14ac:dyDescent="0.25">
      <c r="A59" t="s">
        <v>185</v>
      </c>
      <c r="B59" t="s">
        <v>186</v>
      </c>
      <c r="C59" s="5">
        <v>0.48888888888888887</v>
      </c>
      <c r="D59" t="s">
        <v>16</v>
      </c>
      <c r="E59" t="s">
        <v>187</v>
      </c>
      <c r="F59" s="1"/>
      <c r="G59">
        <v>2008</v>
      </c>
      <c r="H59">
        <v>3</v>
      </c>
      <c r="I59">
        <v>11</v>
      </c>
      <c r="J59" t="s">
        <v>93</v>
      </c>
      <c r="K59">
        <v>217.66</v>
      </c>
      <c r="L59">
        <v>1</v>
      </c>
      <c r="M59">
        <v>217.66</v>
      </c>
      <c r="N59" t="s">
        <v>31</v>
      </c>
      <c r="O59" t="s">
        <v>47</v>
      </c>
      <c r="P59" t="s">
        <v>27</v>
      </c>
    </row>
    <row r="60" spans="1:16" x14ac:dyDescent="0.25">
      <c r="A60" t="s">
        <v>188</v>
      </c>
      <c r="B60" s="1">
        <v>45784</v>
      </c>
      <c r="C60" s="3">
        <v>0.57511574074074079</v>
      </c>
      <c r="D60" t="s">
        <v>16</v>
      </c>
      <c r="E60" t="s">
        <v>189</v>
      </c>
      <c r="F60" s="4"/>
      <c r="G60">
        <v>1971</v>
      </c>
      <c r="H60">
        <v>2</v>
      </c>
      <c r="I60">
        <v>13</v>
      </c>
      <c r="J60" t="s">
        <v>141</v>
      </c>
      <c r="K60">
        <v>137.69</v>
      </c>
      <c r="L60">
        <v>2</v>
      </c>
      <c r="M60">
        <v>275.38</v>
      </c>
      <c r="N60" t="s">
        <v>64</v>
      </c>
      <c r="O60" t="s">
        <v>55</v>
      </c>
      <c r="P60" t="s">
        <v>74</v>
      </c>
    </row>
    <row r="61" spans="1:16" x14ac:dyDescent="0.25">
      <c r="A61" t="s">
        <v>190</v>
      </c>
      <c r="B61" s="4">
        <v>45643</v>
      </c>
      <c r="C61" s="5">
        <v>0.64930555555555558</v>
      </c>
      <c r="D61" t="s">
        <v>16</v>
      </c>
      <c r="E61" t="s">
        <v>191</v>
      </c>
      <c r="G61">
        <v>2009</v>
      </c>
      <c r="H61">
        <v>11</v>
      </c>
      <c r="I61">
        <v>20</v>
      </c>
      <c r="J61" t="s">
        <v>45</v>
      </c>
      <c r="K61">
        <v>319.37</v>
      </c>
      <c r="L61">
        <v>2</v>
      </c>
      <c r="M61">
        <v>638.74</v>
      </c>
      <c r="N61" t="s">
        <v>41</v>
      </c>
      <c r="O61" t="s">
        <v>32</v>
      </c>
      <c r="P61" t="s">
        <v>56</v>
      </c>
    </row>
    <row r="62" spans="1:16" x14ac:dyDescent="0.25">
      <c r="A62" t="s">
        <v>192</v>
      </c>
      <c r="B62" s="1">
        <v>45700</v>
      </c>
      <c r="C62" s="2">
        <v>0.80625000000000002</v>
      </c>
      <c r="D62" t="s">
        <v>16</v>
      </c>
      <c r="E62" t="s">
        <v>189</v>
      </c>
      <c r="F62" s="4"/>
      <c r="G62">
        <v>1971</v>
      </c>
      <c r="H62">
        <v>6</v>
      </c>
      <c r="I62">
        <v>11</v>
      </c>
      <c r="J62" t="s">
        <v>77</v>
      </c>
      <c r="K62">
        <v>82.62</v>
      </c>
      <c r="L62">
        <v>3</v>
      </c>
      <c r="M62">
        <v>247.86</v>
      </c>
      <c r="N62" t="s">
        <v>31</v>
      </c>
      <c r="O62" t="s">
        <v>37</v>
      </c>
      <c r="P62" t="s">
        <v>33</v>
      </c>
    </row>
    <row r="63" spans="1:16" x14ac:dyDescent="0.25">
      <c r="A63" t="s">
        <v>193</v>
      </c>
      <c r="B63" s="4">
        <v>45633</v>
      </c>
      <c r="C63" s="3">
        <v>0.54268518518518516</v>
      </c>
      <c r="D63" t="s">
        <v>16</v>
      </c>
      <c r="E63" t="s">
        <v>194</v>
      </c>
      <c r="F63" s="4"/>
      <c r="G63">
        <v>2002</v>
      </c>
      <c r="H63">
        <v>10</v>
      </c>
      <c r="I63">
        <v>16</v>
      </c>
      <c r="J63" t="s">
        <v>45</v>
      </c>
      <c r="K63">
        <v>349.77</v>
      </c>
      <c r="L63">
        <v>2</v>
      </c>
      <c r="M63">
        <v>699.54</v>
      </c>
      <c r="N63" t="s">
        <v>67</v>
      </c>
      <c r="O63" t="s">
        <v>89</v>
      </c>
    </row>
    <row r="64" spans="1:16" x14ac:dyDescent="0.25">
      <c r="A64" t="s">
        <v>195</v>
      </c>
      <c r="B64" s="1">
        <v>45769</v>
      </c>
      <c r="C64" s="5">
        <v>0.9291666666666667</v>
      </c>
      <c r="D64" t="s">
        <v>16</v>
      </c>
      <c r="E64" t="s">
        <v>101</v>
      </c>
      <c r="G64">
        <v>1987</v>
      </c>
      <c r="H64">
        <v>5</v>
      </c>
      <c r="I64">
        <v>4</v>
      </c>
      <c r="J64" t="s">
        <v>85</v>
      </c>
      <c r="K64" t="s">
        <v>196</v>
      </c>
      <c r="L64">
        <v>2</v>
      </c>
      <c r="M64">
        <v>175.18</v>
      </c>
      <c r="N64" t="s">
        <v>67</v>
      </c>
      <c r="O64" t="s">
        <v>47</v>
      </c>
    </row>
    <row r="65" spans="1:16" x14ac:dyDescent="0.25">
      <c r="A65" t="s">
        <v>197</v>
      </c>
      <c r="B65" s="1">
        <v>45755</v>
      </c>
      <c r="C65" s="2">
        <v>0.50416666666666665</v>
      </c>
      <c r="D65" t="s">
        <v>16</v>
      </c>
      <c r="E65" t="s">
        <v>198</v>
      </c>
      <c r="F65" s="4"/>
      <c r="G65">
        <v>2003</v>
      </c>
      <c r="H65">
        <v>4</v>
      </c>
      <c r="I65">
        <v>21</v>
      </c>
      <c r="J65" t="s">
        <v>199</v>
      </c>
      <c r="K65">
        <v>248.81</v>
      </c>
      <c r="L65">
        <v>2</v>
      </c>
      <c r="M65">
        <v>497.62</v>
      </c>
      <c r="N65" t="s">
        <v>19</v>
      </c>
      <c r="O65" t="s">
        <v>47</v>
      </c>
    </row>
    <row r="66" spans="1:16" x14ac:dyDescent="0.25">
      <c r="A66" t="s">
        <v>200</v>
      </c>
      <c r="B66" s="4">
        <v>45636</v>
      </c>
      <c r="C66" s="5">
        <v>0.7055555555555556</v>
      </c>
      <c r="D66" t="s">
        <v>16</v>
      </c>
      <c r="E66" t="s">
        <v>201</v>
      </c>
      <c r="F66" s="1"/>
      <c r="G66">
        <v>1988</v>
      </c>
      <c r="H66">
        <v>1</v>
      </c>
      <c r="I66">
        <v>1</v>
      </c>
      <c r="J66" t="s">
        <v>202</v>
      </c>
      <c r="K66">
        <v>116.22</v>
      </c>
      <c r="L66">
        <v>2</v>
      </c>
      <c r="M66">
        <v>232.44</v>
      </c>
      <c r="N66" t="s">
        <v>54</v>
      </c>
      <c r="O66" t="s">
        <v>32</v>
      </c>
      <c r="P66" t="s">
        <v>48</v>
      </c>
    </row>
    <row r="67" spans="1:16" x14ac:dyDescent="0.25">
      <c r="A67" t="s">
        <v>203</v>
      </c>
      <c r="B67" s="4">
        <v>45907</v>
      </c>
      <c r="C67" s="2">
        <v>0.52708333333333335</v>
      </c>
      <c r="D67" t="s">
        <v>16</v>
      </c>
      <c r="E67" t="s">
        <v>204</v>
      </c>
      <c r="G67">
        <v>1991</v>
      </c>
      <c r="H67">
        <v>12</v>
      </c>
      <c r="I67">
        <v>12</v>
      </c>
      <c r="J67" t="s">
        <v>53</v>
      </c>
      <c r="K67">
        <v>91.6</v>
      </c>
      <c r="L67">
        <v>0</v>
      </c>
      <c r="M67">
        <v>0</v>
      </c>
      <c r="N67" t="s">
        <v>54</v>
      </c>
      <c r="O67" t="s">
        <v>26</v>
      </c>
    </row>
    <row r="68" spans="1:16" x14ac:dyDescent="0.25">
      <c r="A68" t="s">
        <v>205</v>
      </c>
      <c r="B68" s="1">
        <v>45774</v>
      </c>
      <c r="C68" s="3">
        <v>0.88032407407407409</v>
      </c>
      <c r="D68" t="s">
        <v>16</v>
      </c>
      <c r="E68" t="s">
        <v>206</v>
      </c>
      <c r="F68" s="1"/>
      <c r="G68">
        <v>2000</v>
      </c>
      <c r="H68">
        <v>3</v>
      </c>
      <c r="I68">
        <v>15</v>
      </c>
      <c r="J68" t="s">
        <v>85</v>
      </c>
      <c r="K68">
        <v>130.1</v>
      </c>
      <c r="L68">
        <v>3</v>
      </c>
      <c r="M68">
        <v>390.3</v>
      </c>
      <c r="N68" t="s">
        <v>19</v>
      </c>
      <c r="O68" t="s">
        <v>55</v>
      </c>
    </row>
    <row r="69" spans="1:16" x14ac:dyDescent="0.25">
      <c r="A69" t="s">
        <v>207</v>
      </c>
      <c r="B69" s="4">
        <v>45875</v>
      </c>
      <c r="C69" s="2">
        <v>0.51388888888888884</v>
      </c>
      <c r="D69" t="s">
        <v>16</v>
      </c>
      <c r="E69" t="s">
        <v>208</v>
      </c>
      <c r="F69" s="4"/>
      <c r="G69">
        <v>2001</v>
      </c>
      <c r="H69">
        <v>2</v>
      </c>
      <c r="I69">
        <v>17</v>
      </c>
      <c r="J69" t="s">
        <v>45</v>
      </c>
      <c r="K69">
        <v>-98.91</v>
      </c>
      <c r="L69">
        <v>-1</v>
      </c>
      <c r="M69">
        <v>98.91</v>
      </c>
      <c r="N69" t="s">
        <v>31</v>
      </c>
      <c r="O69" t="s">
        <v>32</v>
      </c>
      <c r="P69" t="s">
        <v>21</v>
      </c>
    </row>
    <row r="70" spans="1:16" x14ac:dyDescent="0.25">
      <c r="A70" t="s">
        <v>209</v>
      </c>
      <c r="B70" s="4">
        <v>45894</v>
      </c>
      <c r="C70" s="3">
        <v>0.70993055555555551</v>
      </c>
      <c r="D70" t="s">
        <v>16</v>
      </c>
      <c r="E70" t="s">
        <v>35</v>
      </c>
      <c r="F70" s="4"/>
      <c r="G70">
        <v>1996</v>
      </c>
      <c r="H70">
        <v>6</v>
      </c>
      <c r="I70">
        <v>13</v>
      </c>
      <c r="J70" t="s">
        <v>202</v>
      </c>
      <c r="K70">
        <v>42.96</v>
      </c>
      <c r="L70">
        <v>-1</v>
      </c>
      <c r="M70">
        <v>-54.96</v>
      </c>
      <c r="N70" t="s">
        <v>31</v>
      </c>
      <c r="O70" t="s">
        <v>20</v>
      </c>
      <c r="P70" t="s">
        <v>33</v>
      </c>
    </row>
    <row r="71" spans="1:16" x14ac:dyDescent="0.25">
      <c r="A71" t="s">
        <v>210</v>
      </c>
      <c r="B71" s="4">
        <v>45743</v>
      </c>
      <c r="C71" s="2">
        <v>0.59166666666666667</v>
      </c>
      <c r="D71" t="s">
        <v>16</v>
      </c>
      <c r="E71" t="s">
        <v>211</v>
      </c>
      <c r="F71" s="4"/>
      <c r="G71">
        <v>1971</v>
      </c>
      <c r="H71">
        <v>4</v>
      </c>
      <c r="I71">
        <v>7</v>
      </c>
      <c r="J71" t="s">
        <v>18</v>
      </c>
      <c r="K71">
        <v>101.62</v>
      </c>
      <c r="L71">
        <v>2</v>
      </c>
      <c r="M71">
        <v>203.24</v>
      </c>
      <c r="N71" t="s">
        <v>64</v>
      </c>
      <c r="O71" t="s">
        <v>32</v>
      </c>
      <c r="P71" t="s">
        <v>33</v>
      </c>
    </row>
    <row r="72" spans="1:16" x14ac:dyDescent="0.25">
      <c r="A72" t="s">
        <v>212</v>
      </c>
      <c r="B72" s="4">
        <v>45771</v>
      </c>
      <c r="C72" s="5">
        <v>0.67986111111111114</v>
      </c>
      <c r="D72" t="s">
        <v>16</v>
      </c>
      <c r="E72" t="s">
        <v>169</v>
      </c>
      <c r="F72" s="1"/>
      <c r="G72">
        <v>2010</v>
      </c>
      <c r="H72">
        <v>11</v>
      </c>
      <c r="I72">
        <v>14</v>
      </c>
      <c r="J72" t="s">
        <v>213</v>
      </c>
      <c r="K72">
        <v>105.94</v>
      </c>
      <c r="L72">
        <v>2</v>
      </c>
      <c r="M72">
        <v>211.88</v>
      </c>
      <c r="O72" t="s">
        <v>55</v>
      </c>
    </row>
    <row r="73" spans="1:16" x14ac:dyDescent="0.25">
      <c r="A73" t="s">
        <v>214</v>
      </c>
      <c r="B73" s="4">
        <v>45828</v>
      </c>
      <c r="C73" s="5">
        <v>0.67708333333333337</v>
      </c>
      <c r="D73" t="s">
        <v>16</v>
      </c>
      <c r="E73" t="s">
        <v>147</v>
      </c>
      <c r="F73" s="4"/>
      <c r="G73">
        <v>1975</v>
      </c>
      <c r="H73">
        <v>9</v>
      </c>
      <c r="I73">
        <v>24</v>
      </c>
      <c r="J73" t="s">
        <v>164</v>
      </c>
      <c r="K73">
        <v>258.45999999999998</v>
      </c>
      <c r="L73">
        <v>1</v>
      </c>
      <c r="M73">
        <v>258.45999999999998</v>
      </c>
      <c r="N73" t="s">
        <v>19</v>
      </c>
      <c r="O73" t="s">
        <v>61</v>
      </c>
      <c r="P73" t="s">
        <v>33</v>
      </c>
    </row>
    <row r="74" spans="1:16" x14ac:dyDescent="0.25">
      <c r="A74" t="s">
        <v>215</v>
      </c>
      <c r="B74" s="4">
        <v>45973</v>
      </c>
      <c r="C74" s="2">
        <v>0.70694444444444449</v>
      </c>
      <c r="D74" t="s">
        <v>16</v>
      </c>
      <c r="E74" t="s">
        <v>173</v>
      </c>
      <c r="F74" s="1"/>
      <c r="G74">
        <v>1992</v>
      </c>
      <c r="H74">
        <v>5</v>
      </c>
      <c r="I74">
        <v>9</v>
      </c>
      <c r="J74" t="s">
        <v>85</v>
      </c>
      <c r="K74">
        <v>42.4</v>
      </c>
      <c r="L74">
        <v>3</v>
      </c>
      <c r="M74">
        <v>127.2</v>
      </c>
      <c r="N74" t="s">
        <v>31</v>
      </c>
      <c r="O74" t="s">
        <v>89</v>
      </c>
      <c r="P74" t="s">
        <v>27</v>
      </c>
    </row>
    <row r="75" spans="1:16" x14ac:dyDescent="0.25">
      <c r="A75" t="s">
        <v>216</v>
      </c>
      <c r="B75" t="s">
        <v>217</v>
      </c>
      <c r="C75" s="3">
        <v>0.8286458333333333</v>
      </c>
      <c r="D75" t="s">
        <v>16</v>
      </c>
      <c r="E75" t="s">
        <v>218</v>
      </c>
      <c r="F75" s="4"/>
      <c r="G75">
        <v>2001</v>
      </c>
      <c r="H75">
        <v>8</v>
      </c>
      <c r="I75">
        <v>6</v>
      </c>
      <c r="J75" t="s">
        <v>45</v>
      </c>
      <c r="K75">
        <v>220.58</v>
      </c>
      <c r="L75">
        <v>-1</v>
      </c>
      <c r="M75">
        <v>-220.58</v>
      </c>
      <c r="N75" t="s">
        <v>19</v>
      </c>
      <c r="O75" t="s">
        <v>37</v>
      </c>
      <c r="P75" t="s">
        <v>105</v>
      </c>
    </row>
    <row r="76" spans="1:16" x14ac:dyDescent="0.25">
      <c r="A76" t="s">
        <v>219</v>
      </c>
      <c r="B76" s="1">
        <v>45728</v>
      </c>
      <c r="C76" s="2">
        <v>0.44374999999999998</v>
      </c>
      <c r="D76" t="s">
        <v>16</v>
      </c>
      <c r="E76" t="s">
        <v>220</v>
      </c>
      <c r="J76" t="s">
        <v>145</v>
      </c>
      <c r="K76">
        <v>-176.35</v>
      </c>
      <c r="L76">
        <v>1</v>
      </c>
      <c r="M76">
        <v>-176.35</v>
      </c>
      <c r="N76" t="s">
        <v>41</v>
      </c>
      <c r="O76" t="s">
        <v>47</v>
      </c>
      <c r="P76" t="s">
        <v>33</v>
      </c>
    </row>
    <row r="77" spans="1:16" x14ac:dyDescent="0.25">
      <c r="A77" t="s">
        <v>221</v>
      </c>
      <c r="B77" s="1">
        <v>45934</v>
      </c>
      <c r="C77" s="5">
        <v>0.61805555555555558</v>
      </c>
      <c r="D77" t="s">
        <v>16</v>
      </c>
      <c r="E77" t="s">
        <v>222</v>
      </c>
      <c r="F77" s="4"/>
      <c r="G77">
        <v>1984</v>
      </c>
      <c r="H77">
        <v>5</v>
      </c>
      <c r="I77">
        <v>22</v>
      </c>
      <c r="J77" t="s">
        <v>164</v>
      </c>
      <c r="K77">
        <v>286.69</v>
      </c>
      <c r="L77">
        <v>2</v>
      </c>
      <c r="M77">
        <v>573.38</v>
      </c>
      <c r="N77" t="s">
        <v>19</v>
      </c>
      <c r="O77" t="s">
        <v>55</v>
      </c>
      <c r="P77" t="s">
        <v>33</v>
      </c>
    </row>
    <row r="78" spans="1:16" x14ac:dyDescent="0.25">
      <c r="A78" t="s">
        <v>223</v>
      </c>
      <c r="B78" t="s">
        <v>224</v>
      </c>
      <c r="C78" s="5">
        <v>0.58472222222222225</v>
      </c>
      <c r="D78" t="s">
        <v>16</v>
      </c>
      <c r="E78" t="s">
        <v>225</v>
      </c>
      <c r="F78" s="1"/>
      <c r="G78">
        <v>1972</v>
      </c>
      <c r="H78">
        <v>3</v>
      </c>
      <c r="I78">
        <v>28</v>
      </c>
      <c r="J78" t="s">
        <v>164</v>
      </c>
      <c r="K78">
        <v>272.91000000000003</v>
      </c>
      <c r="L78">
        <v>1</v>
      </c>
      <c r="M78">
        <v>272.91000000000003</v>
      </c>
      <c r="N78" t="s">
        <v>19</v>
      </c>
      <c r="O78" t="s">
        <v>32</v>
      </c>
      <c r="P78" t="s">
        <v>105</v>
      </c>
    </row>
    <row r="79" spans="1:16" x14ac:dyDescent="0.25">
      <c r="A79" t="s">
        <v>226</v>
      </c>
      <c r="B79" s="4">
        <v>45667</v>
      </c>
      <c r="C79" s="2">
        <v>0.65138888888888891</v>
      </c>
      <c r="D79" t="s">
        <v>16</v>
      </c>
      <c r="E79" t="s">
        <v>227</v>
      </c>
      <c r="F79" s="1"/>
      <c r="G79">
        <v>2010</v>
      </c>
      <c r="H79">
        <v>5</v>
      </c>
      <c r="I79">
        <v>26</v>
      </c>
      <c r="J79" t="s">
        <v>178</v>
      </c>
      <c r="K79">
        <v>309.95999999999998</v>
      </c>
      <c r="L79">
        <v>1</v>
      </c>
      <c r="M79">
        <v>309.95999999999998</v>
      </c>
      <c r="N79" t="s">
        <v>41</v>
      </c>
      <c r="O79" t="s">
        <v>20</v>
      </c>
      <c r="P79" t="s">
        <v>56</v>
      </c>
    </row>
    <row r="80" spans="1:16" x14ac:dyDescent="0.25">
      <c r="A80" t="s">
        <v>228</v>
      </c>
      <c r="B80" s="4">
        <v>45801</v>
      </c>
      <c r="C80" s="3">
        <v>0.60304398148148153</v>
      </c>
      <c r="D80" t="s">
        <v>16</v>
      </c>
      <c r="E80" t="s">
        <v>229</v>
      </c>
      <c r="J80" t="s">
        <v>40</v>
      </c>
      <c r="K80" t="s">
        <v>230</v>
      </c>
      <c r="L80">
        <v>3</v>
      </c>
      <c r="M80">
        <v>600.33000000000004</v>
      </c>
      <c r="N80" t="s">
        <v>41</v>
      </c>
      <c r="O80" t="s">
        <v>20</v>
      </c>
      <c r="P80" t="s">
        <v>27</v>
      </c>
    </row>
    <row r="81" spans="1:16" x14ac:dyDescent="0.25">
      <c r="A81" t="s">
        <v>231</v>
      </c>
      <c r="B81" s="1">
        <v>45688</v>
      </c>
      <c r="C81" s="5">
        <v>0.71458333333333335</v>
      </c>
      <c r="D81" t="s">
        <v>16</v>
      </c>
      <c r="E81" t="s">
        <v>232</v>
      </c>
      <c r="F81" s="1"/>
      <c r="G81">
        <v>1974</v>
      </c>
      <c r="H81">
        <v>6</v>
      </c>
      <c r="I81">
        <v>9</v>
      </c>
      <c r="J81" t="s">
        <v>104</v>
      </c>
      <c r="K81" t="s">
        <v>233</v>
      </c>
      <c r="L81">
        <v>2</v>
      </c>
      <c r="M81">
        <v>464.52</v>
      </c>
      <c r="N81" t="s">
        <v>64</v>
      </c>
      <c r="O81" t="s">
        <v>20</v>
      </c>
      <c r="P81" t="s">
        <v>27</v>
      </c>
    </row>
    <row r="82" spans="1:16" x14ac:dyDescent="0.25">
      <c r="A82" t="s">
        <v>234</v>
      </c>
      <c r="B82" s="4">
        <v>45770</v>
      </c>
      <c r="C82" s="3">
        <v>0.72234953703703708</v>
      </c>
      <c r="D82" t="s">
        <v>16</v>
      </c>
      <c r="E82" t="s">
        <v>173</v>
      </c>
      <c r="F82" s="4"/>
      <c r="G82">
        <v>2006</v>
      </c>
      <c r="H82">
        <v>4</v>
      </c>
      <c r="I82">
        <v>11</v>
      </c>
      <c r="J82" t="s">
        <v>60</v>
      </c>
      <c r="K82">
        <v>-99</v>
      </c>
      <c r="L82">
        <v>1</v>
      </c>
      <c r="M82">
        <v>-99</v>
      </c>
      <c r="N82" t="s">
        <v>19</v>
      </c>
      <c r="O82" t="s">
        <v>20</v>
      </c>
    </row>
    <row r="83" spans="1:16" x14ac:dyDescent="0.25">
      <c r="A83" t="s">
        <v>235</v>
      </c>
      <c r="B83" s="4">
        <v>45688</v>
      </c>
      <c r="C83" s="2">
        <v>0.61250000000000004</v>
      </c>
      <c r="D83" t="s">
        <v>16</v>
      </c>
      <c r="E83" t="s">
        <v>204</v>
      </c>
      <c r="F83" s="4"/>
      <c r="G83">
        <v>2000</v>
      </c>
      <c r="H83">
        <v>10</v>
      </c>
      <c r="I83">
        <v>13</v>
      </c>
      <c r="J83" t="s">
        <v>213</v>
      </c>
      <c r="K83">
        <v>312.7</v>
      </c>
      <c r="L83">
        <v>1</v>
      </c>
      <c r="M83">
        <v>312.7</v>
      </c>
      <c r="N83" t="s">
        <v>31</v>
      </c>
      <c r="O83" t="s">
        <v>32</v>
      </c>
      <c r="P83" t="s">
        <v>74</v>
      </c>
    </row>
    <row r="84" spans="1:16" x14ac:dyDescent="0.25">
      <c r="A84" t="s">
        <v>236</v>
      </c>
      <c r="C84" s="2">
        <v>0.59305555555555556</v>
      </c>
      <c r="D84" t="s">
        <v>16</v>
      </c>
      <c r="E84" t="s">
        <v>237</v>
      </c>
      <c r="F84" s="4"/>
      <c r="G84">
        <v>1998</v>
      </c>
      <c r="H84">
        <v>6</v>
      </c>
      <c r="I84">
        <v>13</v>
      </c>
      <c r="J84" t="s">
        <v>116</v>
      </c>
      <c r="K84">
        <v>220.02</v>
      </c>
      <c r="L84">
        <v>1</v>
      </c>
      <c r="M84">
        <v>220.02</v>
      </c>
      <c r="N84" t="s">
        <v>19</v>
      </c>
      <c r="O84" t="s">
        <v>61</v>
      </c>
    </row>
    <row r="85" spans="1:16" x14ac:dyDescent="0.25">
      <c r="A85" t="s">
        <v>238</v>
      </c>
      <c r="B85" s="4">
        <v>45780</v>
      </c>
      <c r="C85" s="5">
        <v>0.94791666666666663</v>
      </c>
      <c r="D85" t="s">
        <v>16</v>
      </c>
      <c r="E85" t="s">
        <v>147</v>
      </c>
      <c r="F85" s="1"/>
      <c r="G85">
        <v>1985</v>
      </c>
      <c r="H85">
        <v>9</v>
      </c>
      <c r="I85">
        <v>6</v>
      </c>
      <c r="J85" t="s">
        <v>202</v>
      </c>
      <c r="K85">
        <v>258.23</v>
      </c>
      <c r="L85">
        <v>1</v>
      </c>
      <c r="M85">
        <v>258.23</v>
      </c>
      <c r="N85" t="s">
        <v>19</v>
      </c>
      <c r="O85" t="s">
        <v>26</v>
      </c>
    </row>
    <row r="86" spans="1:16" x14ac:dyDescent="0.25">
      <c r="A86" t="s">
        <v>239</v>
      </c>
      <c r="B86" s="4">
        <v>45712</v>
      </c>
      <c r="C86" s="2">
        <v>0.71319444444444446</v>
      </c>
      <c r="D86" t="s">
        <v>16</v>
      </c>
      <c r="E86" t="s">
        <v>240</v>
      </c>
      <c r="G86">
        <v>1994</v>
      </c>
      <c r="H86">
        <v>10</v>
      </c>
      <c r="I86">
        <v>13</v>
      </c>
      <c r="J86" t="s">
        <v>77</v>
      </c>
      <c r="K86">
        <v>113.09</v>
      </c>
      <c r="L86">
        <v>2</v>
      </c>
      <c r="M86">
        <v>226.18</v>
      </c>
      <c r="N86" t="s">
        <v>31</v>
      </c>
      <c r="O86" t="s">
        <v>37</v>
      </c>
    </row>
    <row r="87" spans="1:16" x14ac:dyDescent="0.25">
      <c r="A87" t="s">
        <v>241</v>
      </c>
      <c r="B87" s="4">
        <v>45942</v>
      </c>
      <c r="C87" s="3">
        <v>0.75730324074074074</v>
      </c>
      <c r="D87" t="s">
        <v>16</v>
      </c>
      <c r="E87" t="s">
        <v>35</v>
      </c>
      <c r="F87" s="1"/>
      <c r="G87">
        <v>1973</v>
      </c>
      <c r="H87">
        <v>6</v>
      </c>
      <c r="I87">
        <v>1</v>
      </c>
      <c r="J87" t="s">
        <v>73</v>
      </c>
      <c r="K87">
        <v>49.69</v>
      </c>
      <c r="L87">
        <v>2</v>
      </c>
      <c r="M87">
        <v>77.38</v>
      </c>
      <c r="N87" t="s">
        <v>41</v>
      </c>
      <c r="O87" t="s">
        <v>61</v>
      </c>
    </row>
    <row r="88" spans="1:16" x14ac:dyDescent="0.25">
      <c r="A88" t="s">
        <v>242</v>
      </c>
      <c r="B88" s="4">
        <v>45898</v>
      </c>
      <c r="C88" s="3">
        <v>0.61775462962962968</v>
      </c>
      <c r="D88" t="s">
        <v>16</v>
      </c>
      <c r="E88" t="s">
        <v>140</v>
      </c>
      <c r="F88" s="4"/>
      <c r="G88">
        <v>1983</v>
      </c>
      <c r="H88">
        <v>7</v>
      </c>
      <c r="I88">
        <v>4</v>
      </c>
      <c r="J88" t="s">
        <v>243</v>
      </c>
      <c r="K88">
        <v>123.77</v>
      </c>
      <c r="L88">
        <v>3</v>
      </c>
      <c r="M88">
        <v>371.31</v>
      </c>
      <c r="N88" t="s">
        <v>31</v>
      </c>
      <c r="O88" t="s">
        <v>37</v>
      </c>
      <c r="P88" t="s">
        <v>27</v>
      </c>
    </row>
    <row r="89" spans="1:16" x14ac:dyDescent="0.25">
      <c r="A89" t="s">
        <v>244</v>
      </c>
      <c r="B89" s="4">
        <v>45722</v>
      </c>
      <c r="C89" s="3">
        <v>0.80733796296296301</v>
      </c>
      <c r="D89" t="s">
        <v>16</v>
      </c>
      <c r="E89" t="s">
        <v>138</v>
      </c>
      <c r="F89" s="4"/>
      <c r="G89">
        <v>1988</v>
      </c>
      <c r="H89">
        <v>5</v>
      </c>
      <c r="I89">
        <v>19</v>
      </c>
      <c r="J89" t="s">
        <v>93</v>
      </c>
      <c r="K89">
        <v>234.84</v>
      </c>
      <c r="L89">
        <v>1</v>
      </c>
      <c r="M89">
        <v>234.84</v>
      </c>
      <c r="N89" t="s">
        <v>67</v>
      </c>
      <c r="O89" t="s">
        <v>20</v>
      </c>
    </row>
    <row r="90" spans="1:16" x14ac:dyDescent="0.25">
      <c r="A90" t="s">
        <v>245</v>
      </c>
      <c r="B90" s="1">
        <v>45689</v>
      </c>
      <c r="C90" s="3">
        <v>0.85166666666666668</v>
      </c>
      <c r="D90" t="s">
        <v>16</v>
      </c>
      <c r="E90" t="s">
        <v>246</v>
      </c>
      <c r="J90" t="s">
        <v>85</v>
      </c>
      <c r="K90">
        <v>50.65</v>
      </c>
      <c r="L90">
        <v>1</v>
      </c>
      <c r="M90">
        <v>50.65</v>
      </c>
      <c r="O90" t="s">
        <v>89</v>
      </c>
      <c r="P90" t="s">
        <v>56</v>
      </c>
    </row>
    <row r="91" spans="1:16" x14ac:dyDescent="0.25">
      <c r="A91" t="s">
        <v>247</v>
      </c>
      <c r="B91" s="4">
        <v>45762</v>
      </c>
      <c r="C91" s="3">
        <v>0.82952546296296292</v>
      </c>
      <c r="D91" t="s">
        <v>16</v>
      </c>
      <c r="E91" t="s">
        <v>248</v>
      </c>
      <c r="F91" s="1"/>
      <c r="G91">
        <v>1999</v>
      </c>
      <c r="H91">
        <v>1</v>
      </c>
      <c r="I91">
        <v>4</v>
      </c>
      <c r="J91" t="s">
        <v>30</v>
      </c>
      <c r="K91">
        <v>321.5</v>
      </c>
      <c r="L91">
        <v>2</v>
      </c>
      <c r="M91">
        <v>643</v>
      </c>
      <c r="N91" t="s">
        <v>41</v>
      </c>
      <c r="O91" t="s">
        <v>55</v>
      </c>
      <c r="P91" t="s">
        <v>74</v>
      </c>
    </row>
    <row r="92" spans="1:16" x14ac:dyDescent="0.25">
      <c r="A92" t="s">
        <v>249</v>
      </c>
      <c r="B92" s="4">
        <v>45937</v>
      </c>
      <c r="C92" s="2">
        <v>0.69513888888888886</v>
      </c>
      <c r="D92" t="s">
        <v>16</v>
      </c>
      <c r="E92" t="s">
        <v>211</v>
      </c>
      <c r="J92" t="s">
        <v>126</v>
      </c>
      <c r="K92">
        <v>327.14</v>
      </c>
      <c r="L92">
        <v>1</v>
      </c>
      <c r="M92">
        <v>327.14</v>
      </c>
      <c r="N92" t="s">
        <v>25</v>
      </c>
      <c r="O92" t="s">
        <v>37</v>
      </c>
      <c r="P92" t="s">
        <v>74</v>
      </c>
    </row>
    <row r="93" spans="1:16" x14ac:dyDescent="0.25">
      <c r="A93" t="s">
        <v>250</v>
      </c>
      <c r="B93" s="4">
        <v>45685</v>
      </c>
      <c r="C93" s="5">
        <v>0.48125000000000001</v>
      </c>
      <c r="D93" t="s">
        <v>16</v>
      </c>
      <c r="E93" t="s">
        <v>161</v>
      </c>
      <c r="F93" s="4"/>
      <c r="G93">
        <v>2010</v>
      </c>
      <c r="H93">
        <v>12</v>
      </c>
      <c r="I93">
        <v>5</v>
      </c>
      <c r="J93" t="s">
        <v>93</v>
      </c>
      <c r="K93">
        <v>216.96</v>
      </c>
      <c r="L93">
        <v>1</v>
      </c>
      <c r="M93">
        <v>216.96</v>
      </c>
      <c r="N93" t="s">
        <v>25</v>
      </c>
      <c r="O93" t="s">
        <v>55</v>
      </c>
      <c r="P93" t="s">
        <v>48</v>
      </c>
    </row>
    <row r="94" spans="1:16" x14ac:dyDescent="0.25">
      <c r="A94" t="s">
        <v>251</v>
      </c>
      <c r="B94" s="4">
        <v>45722</v>
      </c>
      <c r="C94" s="2">
        <v>0.89236111111111116</v>
      </c>
      <c r="D94" t="s">
        <v>16</v>
      </c>
      <c r="E94" t="s">
        <v>252</v>
      </c>
      <c r="G94">
        <v>1991</v>
      </c>
      <c r="H94">
        <v>12</v>
      </c>
      <c r="I94">
        <v>12</v>
      </c>
      <c r="J94" t="s">
        <v>40</v>
      </c>
      <c r="K94">
        <v>232.38</v>
      </c>
      <c r="L94">
        <v>1</v>
      </c>
      <c r="M94" t="s">
        <v>253</v>
      </c>
      <c r="N94" t="s">
        <v>67</v>
      </c>
      <c r="O94" t="s">
        <v>55</v>
      </c>
      <c r="P94" t="s">
        <v>105</v>
      </c>
    </row>
    <row r="95" spans="1:16" x14ac:dyDescent="0.25">
      <c r="A95" t="s">
        <v>254</v>
      </c>
      <c r="B95" t="s">
        <v>255</v>
      </c>
      <c r="C95" s="5">
        <v>0.69722222222222219</v>
      </c>
      <c r="D95" t="s">
        <v>16</v>
      </c>
      <c r="E95" t="s">
        <v>256</v>
      </c>
      <c r="F95" s="1"/>
      <c r="G95">
        <v>1975</v>
      </c>
      <c r="H95">
        <v>5</v>
      </c>
      <c r="I95">
        <v>3</v>
      </c>
      <c r="J95" t="s">
        <v>60</v>
      </c>
      <c r="K95">
        <v>205.06</v>
      </c>
      <c r="L95">
        <v>1</v>
      </c>
      <c r="M95">
        <v>205.06</v>
      </c>
      <c r="O95" t="s">
        <v>55</v>
      </c>
      <c r="P95" t="s">
        <v>48</v>
      </c>
    </row>
    <row r="96" spans="1:16" x14ac:dyDescent="0.25">
      <c r="A96" t="s">
        <v>257</v>
      </c>
      <c r="B96" s="4">
        <v>45958</v>
      </c>
      <c r="C96" s="5">
        <v>0.45833333333333331</v>
      </c>
      <c r="D96" t="s">
        <v>16</v>
      </c>
      <c r="E96" t="s">
        <v>258</v>
      </c>
      <c r="G96">
        <v>2003</v>
      </c>
      <c r="H96">
        <v>9</v>
      </c>
      <c r="I96">
        <v>26</v>
      </c>
      <c r="J96" t="s">
        <v>259</v>
      </c>
      <c r="K96">
        <v>115.08</v>
      </c>
      <c r="L96">
        <v>1</v>
      </c>
      <c r="M96">
        <v>115.08</v>
      </c>
      <c r="N96" t="s">
        <v>54</v>
      </c>
      <c r="O96" t="s">
        <v>61</v>
      </c>
      <c r="P96" t="s">
        <v>27</v>
      </c>
    </row>
    <row r="97" spans="1:16" x14ac:dyDescent="0.25">
      <c r="A97" t="s">
        <v>260</v>
      </c>
      <c r="B97" s="4">
        <v>45805</v>
      </c>
      <c r="C97" s="5">
        <v>0.82152777777777775</v>
      </c>
      <c r="D97" t="s">
        <v>16</v>
      </c>
      <c r="E97" t="s">
        <v>261</v>
      </c>
      <c r="F97" s="4"/>
      <c r="G97">
        <v>1970</v>
      </c>
      <c r="H97">
        <v>4</v>
      </c>
      <c r="I97">
        <v>2</v>
      </c>
      <c r="J97" t="s">
        <v>45</v>
      </c>
      <c r="K97">
        <v>122.13</v>
      </c>
      <c r="L97">
        <v>1</v>
      </c>
      <c r="M97">
        <v>122.13</v>
      </c>
      <c r="N97" t="s">
        <v>54</v>
      </c>
      <c r="O97" t="s">
        <v>37</v>
      </c>
      <c r="P97" t="s">
        <v>33</v>
      </c>
    </row>
    <row r="98" spans="1:16" x14ac:dyDescent="0.25">
      <c r="A98" t="s">
        <v>262</v>
      </c>
      <c r="B98" t="s">
        <v>263</v>
      </c>
      <c r="C98" s="3">
        <v>0.49755787037037036</v>
      </c>
      <c r="D98" t="s">
        <v>16</v>
      </c>
      <c r="E98" t="s">
        <v>264</v>
      </c>
      <c r="F98" s="1"/>
      <c r="G98">
        <v>1993</v>
      </c>
      <c r="H98">
        <v>4</v>
      </c>
      <c r="I98">
        <v>10</v>
      </c>
      <c r="J98" t="s">
        <v>85</v>
      </c>
      <c r="K98" t="s">
        <v>265</v>
      </c>
      <c r="L98">
        <v>2</v>
      </c>
      <c r="M98">
        <v>179.59</v>
      </c>
      <c r="N98" t="s">
        <v>54</v>
      </c>
      <c r="O98" t="s">
        <v>32</v>
      </c>
      <c r="P98" t="s">
        <v>105</v>
      </c>
    </row>
    <row r="99" spans="1:16" x14ac:dyDescent="0.25">
      <c r="A99" t="s">
        <v>266</v>
      </c>
      <c r="B99" s="1">
        <v>45953</v>
      </c>
      <c r="C99" s="5">
        <v>0.46736111111111112</v>
      </c>
      <c r="D99" t="s">
        <v>16</v>
      </c>
      <c r="E99" t="s">
        <v>267</v>
      </c>
      <c r="G99">
        <v>1979</v>
      </c>
      <c r="H99">
        <v>12</v>
      </c>
      <c r="I99">
        <v>9</v>
      </c>
      <c r="J99" t="s">
        <v>243</v>
      </c>
      <c r="K99">
        <v>166.47</v>
      </c>
      <c r="L99">
        <v>2</v>
      </c>
      <c r="M99">
        <v>332.94</v>
      </c>
      <c r="N99" t="s">
        <v>25</v>
      </c>
      <c r="O99" t="s">
        <v>89</v>
      </c>
      <c r="P99" t="s">
        <v>56</v>
      </c>
    </row>
    <row r="100" spans="1:16" x14ac:dyDescent="0.25">
      <c r="A100" t="s">
        <v>268</v>
      </c>
      <c r="B100" s="1">
        <v>45818</v>
      </c>
      <c r="C100" s="5">
        <v>0.64444444444444449</v>
      </c>
      <c r="D100" t="s">
        <v>16</v>
      </c>
      <c r="E100" t="s">
        <v>52</v>
      </c>
      <c r="F100" s="4"/>
      <c r="G100">
        <v>1976</v>
      </c>
      <c r="H100">
        <v>3</v>
      </c>
      <c r="I100">
        <v>4</v>
      </c>
      <c r="J100" t="s">
        <v>243</v>
      </c>
      <c r="K100">
        <v>126.5</v>
      </c>
      <c r="L100">
        <v>1</v>
      </c>
      <c r="M100">
        <v>126.5</v>
      </c>
      <c r="N100" t="s">
        <v>41</v>
      </c>
      <c r="O100" t="s">
        <v>26</v>
      </c>
      <c r="P100" t="s">
        <v>33</v>
      </c>
    </row>
    <row r="101" spans="1:16" x14ac:dyDescent="0.25">
      <c r="A101" t="s">
        <v>269</v>
      </c>
      <c r="B101" s="4">
        <v>45799</v>
      </c>
      <c r="C101" s="5">
        <v>0.84652777777777777</v>
      </c>
      <c r="D101" t="s">
        <v>16</v>
      </c>
      <c r="E101" t="s">
        <v>201</v>
      </c>
      <c r="J101" t="s">
        <v>85</v>
      </c>
      <c r="K101">
        <v>231.69</v>
      </c>
      <c r="L101">
        <v>1</v>
      </c>
      <c r="M101">
        <v>189.69</v>
      </c>
      <c r="O101" t="s">
        <v>37</v>
      </c>
      <c r="P101" t="s">
        <v>21</v>
      </c>
    </row>
    <row r="102" spans="1:16" x14ac:dyDescent="0.25">
      <c r="A102" t="s">
        <v>270</v>
      </c>
      <c r="B102" t="s">
        <v>271</v>
      </c>
      <c r="C102" s="2">
        <v>0.4236111111111111</v>
      </c>
      <c r="D102" t="s">
        <v>16</v>
      </c>
      <c r="E102" t="s">
        <v>204</v>
      </c>
      <c r="F102" s="4"/>
      <c r="G102">
        <v>1997</v>
      </c>
      <c r="H102">
        <v>3</v>
      </c>
      <c r="I102">
        <v>12</v>
      </c>
      <c r="J102" t="s">
        <v>77</v>
      </c>
      <c r="K102">
        <v>145.02000000000001</v>
      </c>
      <c r="L102">
        <v>2</v>
      </c>
      <c r="M102">
        <v>290.04000000000002</v>
      </c>
      <c r="N102" t="s">
        <v>67</v>
      </c>
      <c r="O102" t="s">
        <v>55</v>
      </c>
      <c r="P102" t="s">
        <v>74</v>
      </c>
    </row>
    <row r="103" spans="1:16" x14ac:dyDescent="0.25">
      <c r="A103" t="s">
        <v>272</v>
      </c>
      <c r="B103" t="s">
        <v>273</v>
      </c>
      <c r="C103" s="2">
        <v>0.66527777777777775</v>
      </c>
      <c r="D103" t="s">
        <v>16</v>
      </c>
      <c r="E103" t="s">
        <v>274</v>
      </c>
      <c r="G103">
        <v>2008</v>
      </c>
      <c r="H103">
        <v>4</v>
      </c>
      <c r="I103">
        <v>1</v>
      </c>
      <c r="J103" t="s">
        <v>85</v>
      </c>
      <c r="K103">
        <v>167.98</v>
      </c>
      <c r="L103">
        <v>1</v>
      </c>
      <c r="M103">
        <v>167.98</v>
      </c>
      <c r="N103" t="s">
        <v>31</v>
      </c>
      <c r="O103" t="s">
        <v>32</v>
      </c>
      <c r="P103" t="s">
        <v>27</v>
      </c>
    </row>
    <row r="104" spans="1:16" x14ac:dyDescent="0.25">
      <c r="A104" t="s">
        <v>275</v>
      </c>
      <c r="B104" s="1">
        <v>45707</v>
      </c>
      <c r="C104" s="3">
        <v>0.94981481481481478</v>
      </c>
      <c r="D104" t="s">
        <v>16</v>
      </c>
      <c r="E104" t="s">
        <v>154</v>
      </c>
      <c r="F104" s="1"/>
      <c r="G104">
        <v>2006</v>
      </c>
      <c r="H104">
        <v>10</v>
      </c>
      <c r="I104">
        <v>5</v>
      </c>
      <c r="J104" t="s">
        <v>45</v>
      </c>
      <c r="K104" t="s">
        <v>276</v>
      </c>
      <c r="L104">
        <v>1</v>
      </c>
      <c r="M104" t="s">
        <v>277</v>
      </c>
      <c r="N104" t="s">
        <v>67</v>
      </c>
      <c r="O104" t="s">
        <v>37</v>
      </c>
      <c r="P104" t="s">
        <v>56</v>
      </c>
    </row>
    <row r="105" spans="1:16" x14ac:dyDescent="0.25">
      <c r="A105" t="s">
        <v>278</v>
      </c>
      <c r="B105" s="1">
        <v>45707</v>
      </c>
      <c r="C105" s="2">
        <v>0.41736111111111113</v>
      </c>
      <c r="D105" t="s">
        <v>16</v>
      </c>
      <c r="E105" t="s">
        <v>279</v>
      </c>
      <c r="G105">
        <v>1993</v>
      </c>
      <c r="H105">
        <v>2</v>
      </c>
      <c r="I105">
        <v>12</v>
      </c>
      <c r="J105" t="s">
        <v>93</v>
      </c>
      <c r="K105">
        <v>235.95</v>
      </c>
      <c r="L105">
        <v>3</v>
      </c>
      <c r="M105">
        <v>707.85</v>
      </c>
      <c r="N105" t="s">
        <v>64</v>
      </c>
      <c r="O105" t="s">
        <v>47</v>
      </c>
      <c r="P105" t="s">
        <v>27</v>
      </c>
    </row>
    <row r="106" spans="1:16" x14ac:dyDescent="0.25">
      <c r="A106" t="s">
        <v>280</v>
      </c>
      <c r="B106" s="1">
        <v>45810</v>
      </c>
      <c r="C106" s="5">
        <v>0.50763888888888886</v>
      </c>
      <c r="D106" t="s">
        <v>16</v>
      </c>
      <c r="E106" t="s">
        <v>281</v>
      </c>
      <c r="F106" s="4"/>
      <c r="G106">
        <v>2006</v>
      </c>
      <c r="H106">
        <v>1</v>
      </c>
      <c r="I106">
        <v>6</v>
      </c>
      <c r="J106" t="s">
        <v>116</v>
      </c>
      <c r="K106">
        <v>277.05</v>
      </c>
      <c r="L106">
        <v>2</v>
      </c>
      <c r="M106">
        <v>554.1</v>
      </c>
      <c r="N106" t="s">
        <v>67</v>
      </c>
      <c r="O106" t="s">
        <v>26</v>
      </c>
      <c r="P106" t="s">
        <v>56</v>
      </c>
    </row>
    <row r="107" spans="1:16" x14ac:dyDescent="0.25">
      <c r="A107" t="s">
        <v>282</v>
      </c>
      <c r="B107" s="4">
        <v>45748</v>
      </c>
      <c r="C107" s="2">
        <v>0.43333333333333335</v>
      </c>
      <c r="D107" t="s">
        <v>16</v>
      </c>
      <c r="E107" t="s">
        <v>194</v>
      </c>
      <c r="F107" s="4"/>
      <c r="G107">
        <v>1994</v>
      </c>
      <c r="H107">
        <v>6</v>
      </c>
      <c r="I107">
        <v>18</v>
      </c>
      <c r="J107" t="s">
        <v>178</v>
      </c>
      <c r="L107">
        <v>2</v>
      </c>
      <c r="N107" t="s">
        <v>41</v>
      </c>
      <c r="O107" t="s">
        <v>20</v>
      </c>
      <c r="P107" t="s">
        <v>27</v>
      </c>
    </row>
    <row r="108" spans="1:16" x14ac:dyDescent="0.25">
      <c r="A108" t="s">
        <v>283</v>
      </c>
      <c r="B108" s="4">
        <v>45655</v>
      </c>
      <c r="C108" s="3">
        <v>0.65184027777777775</v>
      </c>
      <c r="D108" t="s">
        <v>16</v>
      </c>
      <c r="E108" t="s">
        <v>258</v>
      </c>
      <c r="G108">
        <v>2008</v>
      </c>
      <c r="H108">
        <v>7</v>
      </c>
      <c r="I108">
        <v>6</v>
      </c>
      <c r="J108" t="s">
        <v>36</v>
      </c>
      <c r="K108">
        <v>178.28</v>
      </c>
      <c r="L108">
        <v>-1</v>
      </c>
      <c r="M108">
        <v>-178.28</v>
      </c>
      <c r="O108" t="s">
        <v>47</v>
      </c>
      <c r="P108" t="s">
        <v>21</v>
      </c>
    </row>
    <row r="109" spans="1:16" x14ac:dyDescent="0.25">
      <c r="A109" t="s">
        <v>284</v>
      </c>
      <c r="B109" s="1">
        <v>45630</v>
      </c>
      <c r="C109" s="5">
        <v>0.47916666666666669</v>
      </c>
      <c r="D109" t="s">
        <v>16</v>
      </c>
      <c r="E109" t="s">
        <v>125</v>
      </c>
      <c r="F109" s="1"/>
      <c r="G109">
        <v>1986</v>
      </c>
      <c r="H109">
        <v>2</v>
      </c>
      <c r="I109">
        <v>21</v>
      </c>
      <c r="J109" t="s">
        <v>24</v>
      </c>
      <c r="K109">
        <v>216.65</v>
      </c>
      <c r="L109">
        <v>1</v>
      </c>
      <c r="M109">
        <v>216.65</v>
      </c>
      <c r="N109" t="s">
        <v>31</v>
      </c>
      <c r="O109" t="s">
        <v>47</v>
      </c>
    </row>
    <row r="110" spans="1:16" x14ac:dyDescent="0.25">
      <c r="A110" t="s">
        <v>285</v>
      </c>
      <c r="B110" t="s">
        <v>286</v>
      </c>
      <c r="C110" s="3">
        <v>0.78049768518518514</v>
      </c>
      <c r="D110" t="s">
        <v>16</v>
      </c>
      <c r="E110" t="s">
        <v>198</v>
      </c>
      <c r="F110" s="4"/>
      <c r="G110">
        <v>1972</v>
      </c>
      <c r="H110">
        <v>9</v>
      </c>
      <c r="I110">
        <v>19</v>
      </c>
      <c r="J110" t="s">
        <v>85</v>
      </c>
      <c r="K110">
        <v>78.92</v>
      </c>
      <c r="L110">
        <v>2</v>
      </c>
      <c r="M110">
        <v>157.84</v>
      </c>
      <c r="N110" t="s">
        <v>41</v>
      </c>
      <c r="O110" t="s">
        <v>89</v>
      </c>
      <c r="P110" t="s">
        <v>56</v>
      </c>
    </row>
    <row r="111" spans="1:16" x14ac:dyDescent="0.25">
      <c r="A111" t="s">
        <v>287</v>
      </c>
      <c r="B111" t="s">
        <v>288</v>
      </c>
      <c r="C111" s="3">
        <v>0.76451388888888894</v>
      </c>
      <c r="D111" t="s">
        <v>16</v>
      </c>
      <c r="E111" t="s">
        <v>289</v>
      </c>
      <c r="F111" s="4"/>
      <c r="G111">
        <v>2009</v>
      </c>
      <c r="H111">
        <v>10</v>
      </c>
      <c r="I111">
        <v>17</v>
      </c>
      <c r="J111" t="s">
        <v>104</v>
      </c>
      <c r="K111">
        <v>283.52</v>
      </c>
      <c r="L111">
        <v>2</v>
      </c>
      <c r="M111">
        <v>567.04</v>
      </c>
      <c r="N111" t="s">
        <v>41</v>
      </c>
      <c r="O111" t="s">
        <v>89</v>
      </c>
      <c r="P111" t="s">
        <v>74</v>
      </c>
    </row>
    <row r="112" spans="1:16" x14ac:dyDescent="0.25">
      <c r="A112" t="s">
        <v>290</v>
      </c>
      <c r="B112" t="s">
        <v>291</v>
      </c>
      <c r="C112" s="3">
        <v>0.43467592592592591</v>
      </c>
      <c r="D112" t="s">
        <v>16</v>
      </c>
      <c r="E112" t="s">
        <v>292</v>
      </c>
      <c r="F112" s="4"/>
      <c r="G112">
        <v>1987</v>
      </c>
      <c r="H112">
        <v>6</v>
      </c>
      <c r="I112">
        <v>1</v>
      </c>
      <c r="J112" t="s">
        <v>18</v>
      </c>
      <c r="K112">
        <v>77.38</v>
      </c>
      <c r="L112">
        <v>1</v>
      </c>
      <c r="M112">
        <v>77.38</v>
      </c>
      <c r="N112" t="s">
        <v>31</v>
      </c>
      <c r="O112" t="s">
        <v>61</v>
      </c>
    </row>
    <row r="113" spans="1:16" x14ac:dyDescent="0.25">
      <c r="A113" t="s">
        <v>293</v>
      </c>
      <c r="B113" s="4">
        <v>45808</v>
      </c>
      <c r="C113" s="2">
        <v>0.47152777777777777</v>
      </c>
      <c r="D113" t="s">
        <v>16</v>
      </c>
      <c r="E113" t="s">
        <v>194</v>
      </c>
      <c r="F113" s="1"/>
      <c r="G113">
        <v>2006</v>
      </c>
      <c r="H113">
        <v>1</v>
      </c>
      <c r="I113">
        <v>6</v>
      </c>
      <c r="J113" t="s">
        <v>24</v>
      </c>
      <c r="K113">
        <v>285.39</v>
      </c>
      <c r="L113">
        <v>1</v>
      </c>
      <c r="M113">
        <v>285.39</v>
      </c>
      <c r="O113" t="s">
        <v>37</v>
      </c>
    </row>
    <row r="114" spans="1:16" x14ac:dyDescent="0.25">
      <c r="A114" t="s">
        <v>294</v>
      </c>
      <c r="B114" s="1">
        <v>45917</v>
      </c>
      <c r="C114" s="3">
        <v>0.53746527777777775</v>
      </c>
      <c r="D114" t="s">
        <v>16</v>
      </c>
      <c r="E114" t="s">
        <v>295</v>
      </c>
      <c r="G114">
        <v>1980</v>
      </c>
      <c r="H114">
        <v>10</v>
      </c>
      <c r="I114">
        <v>25</v>
      </c>
      <c r="J114" t="s">
        <v>202</v>
      </c>
      <c r="K114">
        <v>266.02999999999997</v>
      </c>
      <c r="L114">
        <v>1</v>
      </c>
      <c r="M114">
        <v>266.02999999999997</v>
      </c>
      <c r="N114" t="s">
        <v>25</v>
      </c>
      <c r="O114" t="s">
        <v>89</v>
      </c>
      <c r="P114" t="s">
        <v>74</v>
      </c>
    </row>
    <row r="115" spans="1:16" x14ac:dyDescent="0.25">
      <c r="A115" t="s">
        <v>296</v>
      </c>
      <c r="B115" t="s">
        <v>297</v>
      </c>
      <c r="C115" s="3">
        <v>0.59269675925925924</v>
      </c>
      <c r="D115" t="s">
        <v>16</v>
      </c>
      <c r="E115" t="s">
        <v>256</v>
      </c>
      <c r="G115">
        <v>1976</v>
      </c>
      <c r="H115">
        <v>1</v>
      </c>
      <c r="I115">
        <v>17</v>
      </c>
      <c r="J115" t="s">
        <v>141</v>
      </c>
      <c r="K115">
        <v>149.06</v>
      </c>
      <c r="L115">
        <v>2</v>
      </c>
      <c r="M115">
        <v>298.12</v>
      </c>
      <c r="N115" t="s">
        <v>67</v>
      </c>
      <c r="O115" t="s">
        <v>55</v>
      </c>
      <c r="P115" t="s">
        <v>74</v>
      </c>
    </row>
    <row r="116" spans="1:16" x14ac:dyDescent="0.25">
      <c r="A116" t="s">
        <v>298</v>
      </c>
      <c r="B116" s="4">
        <v>45955</v>
      </c>
      <c r="C116" s="3">
        <v>0.87616898148148148</v>
      </c>
      <c r="D116" t="s">
        <v>16</v>
      </c>
      <c r="E116" t="s">
        <v>299</v>
      </c>
      <c r="F116" s="1"/>
      <c r="G116">
        <v>1972</v>
      </c>
      <c r="H116">
        <v>10</v>
      </c>
      <c r="I116">
        <v>23</v>
      </c>
      <c r="J116" t="s">
        <v>36</v>
      </c>
      <c r="K116">
        <v>288.41000000000003</v>
      </c>
      <c r="L116">
        <v>2</v>
      </c>
      <c r="M116">
        <v>576.82000000000005</v>
      </c>
      <c r="N116" t="s">
        <v>41</v>
      </c>
      <c r="O116" t="s">
        <v>32</v>
      </c>
      <c r="P116" t="s">
        <v>21</v>
      </c>
    </row>
    <row r="117" spans="1:16" x14ac:dyDescent="0.25">
      <c r="A117" t="s">
        <v>300</v>
      </c>
      <c r="B117" s="1">
        <v>45730</v>
      </c>
      <c r="C117" s="3">
        <v>0.70203703703703701</v>
      </c>
      <c r="D117" t="s">
        <v>16</v>
      </c>
      <c r="E117" t="s">
        <v>173</v>
      </c>
      <c r="F117" s="4"/>
      <c r="G117">
        <v>1977</v>
      </c>
      <c r="H117">
        <v>8</v>
      </c>
      <c r="I117">
        <v>2</v>
      </c>
      <c r="J117" t="s">
        <v>145</v>
      </c>
      <c r="K117">
        <v>280.08999999999997</v>
      </c>
      <c r="L117">
        <v>2</v>
      </c>
      <c r="M117">
        <v>560.17999999999995</v>
      </c>
      <c r="O117" t="s">
        <v>37</v>
      </c>
      <c r="P117" t="s">
        <v>56</v>
      </c>
    </row>
    <row r="118" spans="1:16" x14ac:dyDescent="0.25">
      <c r="A118" t="s">
        <v>301</v>
      </c>
      <c r="B118" t="s">
        <v>302</v>
      </c>
      <c r="C118" s="3">
        <v>0.65290509259259255</v>
      </c>
      <c r="D118" t="s">
        <v>16</v>
      </c>
      <c r="E118" t="s">
        <v>248</v>
      </c>
      <c r="F118" s="1"/>
      <c r="G118">
        <v>1980</v>
      </c>
      <c r="H118">
        <v>10</v>
      </c>
      <c r="I118">
        <v>25</v>
      </c>
      <c r="J118" t="s">
        <v>202</v>
      </c>
      <c r="K118">
        <v>253.39</v>
      </c>
      <c r="L118">
        <v>2</v>
      </c>
      <c r="M118">
        <v>506.78</v>
      </c>
      <c r="N118" t="s">
        <v>54</v>
      </c>
      <c r="O118" t="s">
        <v>55</v>
      </c>
      <c r="P118" t="s">
        <v>33</v>
      </c>
    </row>
    <row r="119" spans="1:16" x14ac:dyDescent="0.25">
      <c r="A119" t="s">
        <v>303</v>
      </c>
      <c r="B119" s="1">
        <v>45732</v>
      </c>
      <c r="C119" s="3">
        <v>0.58895833333333336</v>
      </c>
      <c r="D119" t="s">
        <v>16</v>
      </c>
      <c r="E119" t="s">
        <v>169</v>
      </c>
      <c r="F119" s="4"/>
      <c r="G119">
        <v>1972</v>
      </c>
      <c r="H119">
        <v>5</v>
      </c>
      <c r="I119">
        <v>10</v>
      </c>
      <c r="J119" t="s">
        <v>129</v>
      </c>
      <c r="K119">
        <v>223.69</v>
      </c>
      <c r="L119">
        <v>1</v>
      </c>
      <c r="M119">
        <v>223.69</v>
      </c>
      <c r="N119" t="s">
        <v>54</v>
      </c>
      <c r="O119" t="s">
        <v>37</v>
      </c>
      <c r="P119" t="s">
        <v>21</v>
      </c>
    </row>
    <row r="120" spans="1:16" x14ac:dyDescent="0.25">
      <c r="A120" t="s">
        <v>304</v>
      </c>
      <c r="B120" s="4">
        <v>45804</v>
      </c>
      <c r="C120" s="3">
        <v>0.70601851851851849</v>
      </c>
      <c r="D120" t="s">
        <v>16</v>
      </c>
      <c r="E120" t="s">
        <v>305</v>
      </c>
      <c r="J120" t="s">
        <v>126</v>
      </c>
      <c r="K120">
        <v>232.76</v>
      </c>
      <c r="L120">
        <v>2</v>
      </c>
      <c r="M120">
        <v>465.52</v>
      </c>
      <c r="N120" t="s">
        <v>25</v>
      </c>
      <c r="O120" t="s">
        <v>37</v>
      </c>
      <c r="P120" t="s">
        <v>74</v>
      </c>
    </row>
    <row r="121" spans="1:16" x14ac:dyDescent="0.25">
      <c r="A121" t="s">
        <v>306</v>
      </c>
      <c r="B121" s="4">
        <v>45670</v>
      </c>
      <c r="C121" s="5">
        <v>0.58819444444444446</v>
      </c>
      <c r="D121" t="s">
        <v>16</v>
      </c>
      <c r="E121" t="s">
        <v>307</v>
      </c>
      <c r="F121" s="4"/>
      <c r="G121">
        <v>2003</v>
      </c>
      <c r="H121">
        <v>4</v>
      </c>
      <c r="I121">
        <v>12</v>
      </c>
      <c r="J121" t="s">
        <v>126</v>
      </c>
      <c r="K121">
        <v>-136.84</v>
      </c>
      <c r="L121">
        <v>3</v>
      </c>
      <c r="M121">
        <v>-410.52</v>
      </c>
      <c r="N121" t="s">
        <v>19</v>
      </c>
      <c r="O121" t="s">
        <v>26</v>
      </c>
      <c r="P121" t="s">
        <v>21</v>
      </c>
    </row>
    <row r="122" spans="1:16" x14ac:dyDescent="0.25">
      <c r="A122" t="s">
        <v>308</v>
      </c>
      <c r="B122" t="s">
        <v>309</v>
      </c>
      <c r="C122" s="5">
        <v>0.59444444444444444</v>
      </c>
      <c r="D122" t="s">
        <v>16</v>
      </c>
      <c r="E122" t="s">
        <v>229</v>
      </c>
      <c r="F122" s="4"/>
      <c r="G122">
        <v>1993</v>
      </c>
      <c r="H122">
        <v>11</v>
      </c>
      <c r="I122">
        <v>11</v>
      </c>
      <c r="J122" t="s">
        <v>93</v>
      </c>
      <c r="K122">
        <v>209.39</v>
      </c>
      <c r="L122">
        <v>2</v>
      </c>
      <c r="M122">
        <v>418.78</v>
      </c>
      <c r="O122" t="s">
        <v>89</v>
      </c>
      <c r="P122" t="s">
        <v>74</v>
      </c>
    </row>
    <row r="123" spans="1:16" x14ac:dyDescent="0.25">
      <c r="A123" t="s">
        <v>310</v>
      </c>
      <c r="B123" t="s">
        <v>311</v>
      </c>
      <c r="C123" s="5">
        <v>0.87222222222222223</v>
      </c>
      <c r="D123" t="s">
        <v>16</v>
      </c>
      <c r="E123" t="s">
        <v>229</v>
      </c>
      <c r="F123" s="1"/>
      <c r="G123">
        <v>1980</v>
      </c>
      <c r="H123">
        <v>2</v>
      </c>
      <c r="I123">
        <v>14</v>
      </c>
      <c r="J123" t="s">
        <v>85</v>
      </c>
      <c r="K123">
        <v>301.42</v>
      </c>
      <c r="L123">
        <v>2</v>
      </c>
      <c r="M123">
        <v>602.84</v>
      </c>
      <c r="N123" t="s">
        <v>64</v>
      </c>
      <c r="O123" t="s">
        <v>55</v>
      </c>
    </row>
    <row r="124" spans="1:16" x14ac:dyDescent="0.25">
      <c r="A124" t="s">
        <v>312</v>
      </c>
      <c r="B124" s="4">
        <v>45912</v>
      </c>
      <c r="C124" s="2">
        <v>0.87152777777777779</v>
      </c>
      <c r="D124" t="s">
        <v>16</v>
      </c>
      <c r="E124" t="s">
        <v>169</v>
      </c>
      <c r="F124" s="4"/>
      <c r="G124">
        <v>1985</v>
      </c>
      <c r="H124">
        <v>8</v>
      </c>
      <c r="I124">
        <v>12</v>
      </c>
      <c r="J124" t="s">
        <v>199</v>
      </c>
      <c r="K124">
        <v>219.91</v>
      </c>
      <c r="L124">
        <v>1</v>
      </c>
      <c r="M124">
        <v>219.91</v>
      </c>
      <c r="N124" t="s">
        <v>67</v>
      </c>
      <c r="O124" t="s">
        <v>20</v>
      </c>
      <c r="P124" t="s">
        <v>74</v>
      </c>
    </row>
    <row r="125" spans="1:16" x14ac:dyDescent="0.25">
      <c r="A125" t="s">
        <v>313</v>
      </c>
      <c r="B125" t="s">
        <v>314</v>
      </c>
      <c r="C125" s="5">
        <v>0.94166666666666665</v>
      </c>
      <c r="D125" t="s">
        <v>16</v>
      </c>
      <c r="E125" t="s">
        <v>98</v>
      </c>
      <c r="G125">
        <v>1991</v>
      </c>
      <c r="H125">
        <v>12</v>
      </c>
      <c r="I125">
        <v>12</v>
      </c>
      <c r="J125" t="s">
        <v>164</v>
      </c>
      <c r="K125">
        <v>336.93</v>
      </c>
      <c r="L125">
        <v>2</v>
      </c>
      <c r="M125">
        <v>673.86</v>
      </c>
      <c r="N125" t="s">
        <v>67</v>
      </c>
      <c r="O125" t="s">
        <v>61</v>
      </c>
      <c r="P125" t="s">
        <v>56</v>
      </c>
    </row>
    <row r="126" spans="1:16" x14ac:dyDescent="0.25">
      <c r="A126" t="s">
        <v>315</v>
      </c>
      <c r="B126" t="s">
        <v>69</v>
      </c>
      <c r="C126" s="2">
        <v>0.90416666666666667</v>
      </c>
      <c r="D126" t="s">
        <v>16</v>
      </c>
      <c r="E126" t="s">
        <v>208</v>
      </c>
      <c r="F126" s="4"/>
      <c r="G126">
        <v>1970</v>
      </c>
      <c r="H126">
        <v>6</v>
      </c>
      <c r="I126">
        <v>12</v>
      </c>
      <c r="J126" t="s">
        <v>24</v>
      </c>
      <c r="K126">
        <v>283.17</v>
      </c>
      <c r="L126">
        <v>1</v>
      </c>
      <c r="M126">
        <v>283.17</v>
      </c>
      <c r="O126" t="s">
        <v>47</v>
      </c>
      <c r="P126" t="s">
        <v>56</v>
      </c>
    </row>
    <row r="127" spans="1:16" x14ac:dyDescent="0.25">
      <c r="A127" t="s">
        <v>316</v>
      </c>
      <c r="B127" s="4">
        <v>45672</v>
      </c>
      <c r="C127" s="2">
        <v>0.87013888888888891</v>
      </c>
      <c r="D127" t="s">
        <v>16</v>
      </c>
      <c r="E127" t="s">
        <v>123</v>
      </c>
      <c r="J127" t="s">
        <v>259</v>
      </c>
      <c r="K127">
        <v>211.79</v>
      </c>
      <c r="L127">
        <v>1</v>
      </c>
      <c r="M127">
        <v>211.79</v>
      </c>
      <c r="N127" t="s">
        <v>31</v>
      </c>
      <c r="O127" t="s">
        <v>32</v>
      </c>
    </row>
    <row r="128" spans="1:16" x14ac:dyDescent="0.25">
      <c r="A128" t="s">
        <v>317</v>
      </c>
      <c r="B128" s="4">
        <v>45813</v>
      </c>
      <c r="C128" s="3">
        <v>0.60093750000000001</v>
      </c>
      <c r="D128" t="s">
        <v>16</v>
      </c>
      <c r="E128" t="s">
        <v>82</v>
      </c>
      <c r="F128" s="4"/>
      <c r="G128">
        <v>2002</v>
      </c>
      <c r="H128">
        <v>5</v>
      </c>
      <c r="I128">
        <v>27</v>
      </c>
      <c r="J128" t="s">
        <v>30</v>
      </c>
      <c r="K128">
        <v>231.12</v>
      </c>
      <c r="L128">
        <v>1</v>
      </c>
      <c r="M128">
        <v>231.12</v>
      </c>
      <c r="N128" t="s">
        <v>64</v>
      </c>
      <c r="O128" t="s">
        <v>26</v>
      </c>
      <c r="P128" t="s">
        <v>56</v>
      </c>
    </row>
    <row r="129" spans="1:16" x14ac:dyDescent="0.25">
      <c r="A129" t="s">
        <v>318</v>
      </c>
      <c r="B129" t="s">
        <v>319</v>
      </c>
      <c r="C129" s="2">
        <v>0.86597222222222225</v>
      </c>
      <c r="D129" t="s">
        <v>16</v>
      </c>
      <c r="E129" t="s">
        <v>125</v>
      </c>
      <c r="G129">
        <v>1971</v>
      </c>
      <c r="H129">
        <v>7</v>
      </c>
      <c r="I129">
        <v>5</v>
      </c>
      <c r="J129" t="s">
        <v>36</v>
      </c>
      <c r="K129">
        <v>165.45</v>
      </c>
      <c r="L129">
        <v>3</v>
      </c>
      <c r="M129">
        <v>496.35</v>
      </c>
      <c r="N129" t="s">
        <v>67</v>
      </c>
      <c r="O129" t="s">
        <v>20</v>
      </c>
      <c r="P129" t="s">
        <v>33</v>
      </c>
    </row>
    <row r="130" spans="1:16" x14ac:dyDescent="0.25">
      <c r="A130" t="s">
        <v>320</v>
      </c>
      <c r="B130" s="1">
        <v>45878</v>
      </c>
      <c r="C130" s="3">
        <v>0.9042013888888889</v>
      </c>
      <c r="D130" t="s">
        <v>16</v>
      </c>
      <c r="E130" t="s">
        <v>204</v>
      </c>
      <c r="J130" t="s">
        <v>110</v>
      </c>
      <c r="K130">
        <v>100.15</v>
      </c>
      <c r="L130">
        <v>2</v>
      </c>
      <c r="M130">
        <v>200.3</v>
      </c>
      <c r="N130" t="s">
        <v>67</v>
      </c>
      <c r="O130" t="s">
        <v>47</v>
      </c>
      <c r="P130" t="s">
        <v>48</v>
      </c>
    </row>
    <row r="131" spans="1:16" x14ac:dyDescent="0.25">
      <c r="A131" t="s">
        <v>321</v>
      </c>
      <c r="B131" s="4">
        <v>45846</v>
      </c>
      <c r="C131" s="2">
        <v>0.50763888888888886</v>
      </c>
      <c r="D131" t="s">
        <v>16</v>
      </c>
      <c r="E131" t="s">
        <v>322</v>
      </c>
      <c r="F131" s="4"/>
      <c r="G131">
        <v>1986</v>
      </c>
      <c r="H131">
        <v>3</v>
      </c>
      <c r="I131">
        <v>6</v>
      </c>
      <c r="J131" t="s">
        <v>24</v>
      </c>
      <c r="K131">
        <v>205.14</v>
      </c>
      <c r="L131">
        <v>3</v>
      </c>
      <c r="M131">
        <v>615.41999999999996</v>
      </c>
      <c r="N131" t="s">
        <v>64</v>
      </c>
      <c r="O131" t="s">
        <v>47</v>
      </c>
      <c r="P131" t="s">
        <v>27</v>
      </c>
    </row>
    <row r="132" spans="1:16" x14ac:dyDescent="0.25">
      <c r="A132" t="s">
        <v>323</v>
      </c>
      <c r="B132" s="4">
        <v>45883</v>
      </c>
      <c r="C132" s="3">
        <v>0.69067129629629631</v>
      </c>
      <c r="D132" t="s">
        <v>16</v>
      </c>
      <c r="E132" t="s">
        <v>324</v>
      </c>
      <c r="F132" s="4"/>
      <c r="G132">
        <v>1991</v>
      </c>
      <c r="H132">
        <v>6</v>
      </c>
      <c r="I132">
        <v>12</v>
      </c>
      <c r="J132" t="s">
        <v>104</v>
      </c>
      <c r="K132">
        <v>296.27</v>
      </c>
      <c r="L132">
        <v>2</v>
      </c>
      <c r="M132">
        <v>592.54</v>
      </c>
      <c r="N132" t="s">
        <v>19</v>
      </c>
      <c r="O132" t="s">
        <v>20</v>
      </c>
      <c r="P132" t="s">
        <v>48</v>
      </c>
    </row>
    <row r="133" spans="1:16" x14ac:dyDescent="0.25">
      <c r="A133" t="s">
        <v>325</v>
      </c>
      <c r="B133" s="4">
        <v>45893</v>
      </c>
      <c r="C133" s="3">
        <v>0.78667824074074078</v>
      </c>
      <c r="D133" t="s">
        <v>16</v>
      </c>
      <c r="E133" t="s">
        <v>237</v>
      </c>
      <c r="F133" s="4"/>
      <c r="G133">
        <v>1982</v>
      </c>
      <c r="H133">
        <v>6</v>
      </c>
      <c r="I133">
        <v>17</v>
      </c>
      <c r="J133" t="s">
        <v>202</v>
      </c>
      <c r="K133">
        <v>211.13</v>
      </c>
      <c r="L133">
        <v>2</v>
      </c>
      <c r="M133">
        <v>422.26</v>
      </c>
      <c r="N133" t="s">
        <v>41</v>
      </c>
      <c r="O133" t="s">
        <v>55</v>
      </c>
    </row>
    <row r="134" spans="1:16" x14ac:dyDescent="0.25">
      <c r="A134" t="s">
        <v>326</v>
      </c>
      <c r="B134" s="4">
        <v>45786</v>
      </c>
      <c r="C134" s="3">
        <v>0.42488425925925927</v>
      </c>
      <c r="D134" t="s">
        <v>16</v>
      </c>
      <c r="E134" t="s">
        <v>23</v>
      </c>
      <c r="F134" s="4"/>
      <c r="G134">
        <v>1986</v>
      </c>
      <c r="H134">
        <v>7</v>
      </c>
      <c r="I134">
        <v>13</v>
      </c>
      <c r="J134" t="s">
        <v>45</v>
      </c>
      <c r="K134">
        <v>219.73</v>
      </c>
      <c r="L134">
        <v>1</v>
      </c>
      <c r="M134">
        <v>219.73</v>
      </c>
      <c r="N134" t="s">
        <v>19</v>
      </c>
      <c r="O134" t="s">
        <v>89</v>
      </c>
    </row>
    <row r="135" spans="1:16" x14ac:dyDescent="0.25">
      <c r="A135" t="s">
        <v>327</v>
      </c>
      <c r="B135" s="4">
        <v>45812</v>
      </c>
      <c r="C135" s="5">
        <v>0.71527777777777779</v>
      </c>
      <c r="D135" t="s">
        <v>16</v>
      </c>
      <c r="E135" t="s">
        <v>328</v>
      </c>
      <c r="G135">
        <v>1988</v>
      </c>
      <c r="H135">
        <v>11</v>
      </c>
      <c r="I135">
        <v>5</v>
      </c>
      <c r="J135" t="s">
        <v>199</v>
      </c>
      <c r="L135">
        <v>1</v>
      </c>
      <c r="N135" t="s">
        <v>25</v>
      </c>
      <c r="O135" t="s">
        <v>47</v>
      </c>
      <c r="P135" t="s">
        <v>56</v>
      </c>
    </row>
    <row r="136" spans="1:16" x14ac:dyDescent="0.25">
      <c r="A136" t="s">
        <v>329</v>
      </c>
      <c r="B136" s="4">
        <v>45725</v>
      </c>
      <c r="C136" s="2">
        <v>0.50763888888888886</v>
      </c>
      <c r="D136" t="s">
        <v>16</v>
      </c>
      <c r="E136" t="s">
        <v>330</v>
      </c>
      <c r="F136" s="4"/>
      <c r="G136">
        <v>2006</v>
      </c>
      <c r="H136">
        <v>1</v>
      </c>
      <c r="I136">
        <v>28</v>
      </c>
      <c r="J136" t="s">
        <v>141</v>
      </c>
      <c r="K136">
        <v>148.30000000000001</v>
      </c>
      <c r="L136">
        <v>1</v>
      </c>
      <c r="M136">
        <v>148.30000000000001</v>
      </c>
      <c r="N136" t="s">
        <v>67</v>
      </c>
      <c r="O136" t="s">
        <v>32</v>
      </c>
    </row>
    <row r="137" spans="1:16" x14ac:dyDescent="0.25">
      <c r="A137" t="s">
        <v>331</v>
      </c>
      <c r="B137" s="1">
        <v>45847</v>
      </c>
      <c r="C137" s="2">
        <v>0.90069444444444446</v>
      </c>
      <c r="D137" t="s">
        <v>16</v>
      </c>
      <c r="E137" t="s">
        <v>332</v>
      </c>
      <c r="G137">
        <v>1980</v>
      </c>
      <c r="H137">
        <v>1</v>
      </c>
      <c r="I137">
        <v>11</v>
      </c>
      <c r="J137" t="s">
        <v>93</v>
      </c>
      <c r="K137">
        <v>210.76</v>
      </c>
      <c r="L137">
        <v>3</v>
      </c>
      <c r="M137">
        <v>632.28</v>
      </c>
      <c r="N137" t="s">
        <v>41</v>
      </c>
      <c r="O137" t="s">
        <v>47</v>
      </c>
      <c r="P137" t="s">
        <v>48</v>
      </c>
    </row>
    <row r="138" spans="1:16" x14ac:dyDescent="0.25">
      <c r="A138" t="s">
        <v>333</v>
      </c>
      <c r="B138" s="4">
        <v>45937</v>
      </c>
      <c r="C138" s="2">
        <v>0.45416666666666666</v>
      </c>
      <c r="D138" t="s">
        <v>16</v>
      </c>
      <c r="E138" t="s">
        <v>334</v>
      </c>
      <c r="F138" s="4"/>
      <c r="G138">
        <v>1983</v>
      </c>
      <c r="H138">
        <v>1</v>
      </c>
      <c r="I138">
        <v>18</v>
      </c>
      <c r="J138" t="s">
        <v>40</v>
      </c>
      <c r="K138">
        <v>186.36</v>
      </c>
      <c r="L138">
        <v>2</v>
      </c>
      <c r="M138">
        <v>372.72</v>
      </c>
      <c r="N138" t="s">
        <v>41</v>
      </c>
      <c r="O138" t="s">
        <v>37</v>
      </c>
    </row>
    <row r="139" spans="1:16" x14ac:dyDescent="0.25">
      <c r="A139" t="s">
        <v>335</v>
      </c>
      <c r="B139" s="4">
        <v>45698</v>
      </c>
      <c r="C139" s="3">
        <v>0.90729166666666672</v>
      </c>
      <c r="D139" t="s">
        <v>16</v>
      </c>
      <c r="E139" t="s">
        <v>252</v>
      </c>
      <c r="F139" s="1"/>
      <c r="G139">
        <v>1986</v>
      </c>
      <c r="H139">
        <v>6</v>
      </c>
      <c r="I139">
        <v>8</v>
      </c>
      <c r="J139" t="s">
        <v>243</v>
      </c>
      <c r="K139" t="s">
        <v>336</v>
      </c>
      <c r="L139">
        <v>3</v>
      </c>
      <c r="M139">
        <v>482.67</v>
      </c>
      <c r="N139" t="s">
        <v>25</v>
      </c>
      <c r="O139" t="s">
        <v>37</v>
      </c>
      <c r="P139" t="s">
        <v>74</v>
      </c>
    </row>
    <row r="140" spans="1:16" x14ac:dyDescent="0.25">
      <c r="A140" t="s">
        <v>337</v>
      </c>
      <c r="B140" s="4">
        <v>45951</v>
      </c>
      <c r="C140" s="5">
        <v>0.76111111111111107</v>
      </c>
      <c r="D140" t="s">
        <v>16</v>
      </c>
      <c r="E140" t="s">
        <v>338</v>
      </c>
      <c r="J140" t="s">
        <v>93</v>
      </c>
      <c r="K140">
        <v>190.39</v>
      </c>
      <c r="L140">
        <v>1</v>
      </c>
      <c r="M140">
        <v>190.39</v>
      </c>
      <c r="N140" t="s">
        <v>64</v>
      </c>
      <c r="O140" t="s">
        <v>26</v>
      </c>
    </row>
    <row r="141" spans="1:16" x14ac:dyDescent="0.25">
      <c r="A141" t="s">
        <v>339</v>
      </c>
      <c r="B141" s="4">
        <v>45962</v>
      </c>
      <c r="C141" s="3">
        <v>0.7990856481481482</v>
      </c>
      <c r="D141" t="s">
        <v>16</v>
      </c>
      <c r="E141" t="s">
        <v>340</v>
      </c>
      <c r="F141" s="4"/>
      <c r="G141">
        <v>1980</v>
      </c>
      <c r="H141">
        <v>3</v>
      </c>
      <c r="I141">
        <v>21</v>
      </c>
      <c r="J141" t="s">
        <v>145</v>
      </c>
      <c r="K141">
        <v>-275.93</v>
      </c>
      <c r="L141">
        <v>2</v>
      </c>
      <c r="M141">
        <v>-551.86</v>
      </c>
      <c r="O141" t="s">
        <v>61</v>
      </c>
      <c r="P141" t="s">
        <v>27</v>
      </c>
    </row>
    <row r="142" spans="1:16" x14ac:dyDescent="0.25">
      <c r="A142" t="s">
        <v>341</v>
      </c>
      <c r="B142" s="4">
        <v>45729</v>
      </c>
      <c r="C142" s="5">
        <v>0.94236111111111109</v>
      </c>
      <c r="D142" t="s">
        <v>16</v>
      </c>
      <c r="E142" t="s">
        <v>138</v>
      </c>
      <c r="F142" s="4"/>
      <c r="G142">
        <v>1991</v>
      </c>
      <c r="H142">
        <v>8</v>
      </c>
      <c r="I142">
        <v>20</v>
      </c>
      <c r="J142" t="s">
        <v>145</v>
      </c>
      <c r="K142">
        <v>54.19</v>
      </c>
      <c r="L142">
        <v>3</v>
      </c>
      <c r="M142">
        <v>162.57</v>
      </c>
      <c r="O142" t="s">
        <v>37</v>
      </c>
    </row>
    <row r="143" spans="1:16" x14ac:dyDescent="0.25">
      <c r="A143" t="s">
        <v>342</v>
      </c>
      <c r="B143" t="s">
        <v>343</v>
      </c>
      <c r="C143" s="5">
        <v>0.7680555555555556</v>
      </c>
      <c r="D143" t="s">
        <v>16</v>
      </c>
      <c r="E143" t="s">
        <v>29</v>
      </c>
      <c r="F143" s="4"/>
      <c r="G143">
        <v>2000</v>
      </c>
      <c r="H143">
        <v>7</v>
      </c>
      <c r="I143">
        <v>12</v>
      </c>
      <c r="J143" t="s">
        <v>73</v>
      </c>
      <c r="K143">
        <v>38.68</v>
      </c>
      <c r="L143">
        <v>1</v>
      </c>
      <c r="M143">
        <v>83.68</v>
      </c>
      <c r="N143" t="s">
        <v>19</v>
      </c>
      <c r="O143" t="s">
        <v>55</v>
      </c>
      <c r="P143" t="s">
        <v>74</v>
      </c>
    </row>
    <row r="144" spans="1:16" x14ac:dyDescent="0.25">
      <c r="A144" t="s">
        <v>344</v>
      </c>
      <c r="B144" s="1">
        <v>45952</v>
      </c>
      <c r="C144" s="5">
        <v>0.68263888888888891</v>
      </c>
      <c r="D144" t="s">
        <v>16</v>
      </c>
      <c r="E144" t="s">
        <v>107</v>
      </c>
      <c r="F144" s="1"/>
      <c r="G144">
        <v>1997</v>
      </c>
      <c r="H144">
        <v>10</v>
      </c>
      <c r="I144">
        <v>12</v>
      </c>
      <c r="J144" t="s">
        <v>178</v>
      </c>
      <c r="K144">
        <v>271.27999999999997</v>
      </c>
      <c r="L144">
        <v>1</v>
      </c>
      <c r="M144">
        <v>271.27999999999997</v>
      </c>
      <c r="N144" t="s">
        <v>41</v>
      </c>
      <c r="O144" t="s">
        <v>26</v>
      </c>
      <c r="P144" t="s">
        <v>33</v>
      </c>
    </row>
    <row r="145" spans="1:16" x14ac:dyDescent="0.25">
      <c r="A145" t="s">
        <v>345</v>
      </c>
      <c r="B145" s="1">
        <v>45877</v>
      </c>
      <c r="C145" s="2">
        <v>0.94097222222222221</v>
      </c>
      <c r="D145" t="s">
        <v>16</v>
      </c>
      <c r="E145" t="s">
        <v>346</v>
      </c>
      <c r="F145" s="4"/>
      <c r="G145">
        <v>1970</v>
      </c>
      <c r="H145">
        <v>2</v>
      </c>
      <c r="I145">
        <v>27</v>
      </c>
      <c r="J145" t="s">
        <v>40</v>
      </c>
      <c r="K145" t="s">
        <v>347</v>
      </c>
      <c r="L145">
        <v>3</v>
      </c>
      <c r="M145">
        <v>479.4</v>
      </c>
      <c r="N145" t="s">
        <v>54</v>
      </c>
      <c r="O145" t="s">
        <v>37</v>
      </c>
    </row>
    <row r="146" spans="1:16" x14ac:dyDescent="0.25">
      <c r="A146" t="s">
        <v>348</v>
      </c>
      <c r="C146" s="2">
        <v>0.98750000000000004</v>
      </c>
      <c r="D146" t="s">
        <v>16</v>
      </c>
      <c r="E146" t="s">
        <v>349</v>
      </c>
      <c r="F146" s="4"/>
      <c r="G146">
        <v>2003</v>
      </c>
      <c r="H146">
        <v>12</v>
      </c>
      <c r="I146">
        <v>8</v>
      </c>
      <c r="J146" t="s">
        <v>164</v>
      </c>
      <c r="K146">
        <v>363.59</v>
      </c>
      <c r="L146">
        <v>1</v>
      </c>
      <c r="M146">
        <v>363.59</v>
      </c>
      <c r="N146" t="s">
        <v>64</v>
      </c>
      <c r="O146" t="s">
        <v>32</v>
      </c>
      <c r="P146" t="s">
        <v>48</v>
      </c>
    </row>
    <row r="147" spans="1:16" x14ac:dyDescent="0.25">
      <c r="A147" t="s">
        <v>350</v>
      </c>
      <c r="B147" s="4">
        <v>45732</v>
      </c>
      <c r="C147" s="2">
        <v>0.74930555555555556</v>
      </c>
      <c r="D147" t="s">
        <v>16</v>
      </c>
      <c r="E147" t="s">
        <v>351</v>
      </c>
      <c r="G147">
        <v>2005</v>
      </c>
      <c r="H147">
        <v>2</v>
      </c>
      <c r="I147">
        <v>17</v>
      </c>
      <c r="J147" t="s">
        <v>126</v>
      </c>
      <c r="K147">
        <v>110.64</v>
      </c>
      <c r="L147">
        <v>3</v>
      </c>
      <c r="M147">
        <v>331.92</v>
      </c>
      <c r="N147" t="s">
        <v>25</v>
      </c>
      <c r="O147" t="s">
        <v>26</v>
      </c>
      <c r="P147" t="s">
        <v>74</v>
      </c>
    </row>
    <row r="148" spans="1:16" x14ac:dyDescent="0.25">
      <c r="A148" t="s">
        <v>352</v>
      </c>
      <c r="B148" s="4">
        <v>45941</v>
      </c>
      <c r="C148" s="3">
        <v>0.86405092592592592</v>
      </c>
      <c r="D148" t="s">
        <v>16</v>
      </c>
      <c r="E148" t="s">
        <v>353</v>
      </c>
      <c r="F148" s="4"/>
      <c r="G148">
        <v>1986</v>
      </c>
      <c r="H148">
        <v>4</v>
      </c>
      <c r="I148">
        <v>10</v>
      </c>
      <c r="J148" t="s">
        <v>116</v>
      </c>
      <c r="K148">
        <v>269.19</v>
      </c>
      <c r="L148">
        <v>1</v>
      </c>
      <c r="M148">
        <v>269.19</v>
      </c>
      <c r="N148" t="s">
        <v>25</v>
      </c>
      <c r="O148" t="s">
        <v>47</v>
      </c>
      <c r="P148" t="s">
        <v>33</v>
      </c>
    </row>
    <row r="149" spans="1:16" x14ac:dyDescent="0.25">
      <c r="A149" t="s">
        <v>354</v>
      </c>
      <c r="B149" s="1">
        <v>45720</v>
      </c>
      <c r="C149" s="5">
        <v>0.53402777777777777</v>
      </c>
      <c r="D149" t="s">
        <v>16</v>
      </c>
      <c r="E149" t="s">
        <v>123</v>
      </c>
      <c r="G149">
        <v>2004</v>
      </c>
      <c r="H149">
        <v>1</v>
      </c>
      <c r="I149">
        <v>28</v>
      </c>
      <c r="J149" t="s">
        <v>116</v>
      </c>
      <c r="K149">
        <v>361.97</v>
      </c>
      <c r="L149">
        <v>2</v>
      </c>
      <c r="M149">
        <v>723.94</v>
      </c>
      <c r="N149" t="s">
        <v>64</v>
      </c>
      <c r="O149" t="s">
        <v>20</v>
      </c>
      <c r="P149" t="s">
        <v>27</v>
      </c>
    </row>
    <row r="150" spans="1:16" x14ac:dyDescent="0.25">
      <c r="A150" t="s">
        <v>355</v>
      </c>
      <c r="B150" t="s">
        <v>356</v>
      </c>
      <c r="C150" s="5">
        <v>0.65555555555555556</v>
      </c>
      <c r="D150" t="s">
        <v>16</v>
      </c>
      <c r="E150" t="s">
        <v>109</v>
      </c>
      <c r="G150">
        <v>1993</v>
      </c>
      <c r="H150">
        <v>10</v>
      </c>
      <c r="I150">
        <v>28</v>
      </c>
      <c r="J150" t="s">
        <v>40</v>
      </c>
      <c r="K150">
        <v>168.63</v>
      </c>
      <c r="L150">
        <v>3</v>
      </c>
      <c r="M150">
        <v>505.89</v>
      </c>
      <c r="N150" t="s">
        <v>67</v>
      </c>
      <c r="O150" t="s">
        <v>26</v>
      </c>
      <c r="P150" t="s">
        <v>48</v>
      </c>
    </row>
    <row r="151" spans="1:16" x14ac:dyDescent="0.25">
      <c r="A151" t="s">
        <v>357</v>
      </c>
      <c r="B151" t="s">
        <v>314</v>
      </c>
      <c r="C151" s="2">
        <v>0.54791666666666672</v>
      </c>
      <c r="D151" t="s">
        <v>16</v>
      </c>
      <c r="E151" t="s">
        <v>358</v>
      </c>
      <c r="G151">
        <v>2001</v>
      </c>
      <c r="H151">
        <v>3</v>
      </c>
      <c r="I151">
        <v>28</v>
      </c>
      <c r="J151" t="s">
        <v>45</v>
      </c>
      <c r="K151">
        <v>47.36</v>
      </c>
      <c r="L151">
        <v>2</v>
      </c>
      <c r="M151">
        <v>94.72</v>
      </c>
      <c r="N151" t="s">
        <v>64</v>
      </c>
      <c r="O151" t="s">
        <v>89</v>
      </c>
      <c r="P151" t="s">
        <v>56</v>
      </c>
    </row>
    <row r="152" spans="1:16" x14ac:dyDescent="0.25">
      <c r="A152" t="s">
        <v>359</v>
      </c>
      <c r="B152" s="1">
        <v>45627</v>
      </c>
      <c r="C152" s="5">
        <v>0.98819444444444449</v>
      </c>
      <c r="D152" t="s">
        <v>16</v>
      </c>
      <c r="E152" t="s">
        <v>360</v>
      </c>
      <c r="F152" s="1"/>
      <c r="G152">
        <v>1988</v>
      </c>
      <c r="H152">
        <v>6</v>
      </c>
      <c r="I152">
        <v>11</v>
      </c>
      <c r="J152" t="s">
        <v>77</v>
      </c>
      <c r="K152">
        <v>192.42</v>
      </c>
      <c r="L152">
        <v>2</v>
      </c>
      <c r="M152">
        <v>384.84</v>
      </c>
      <c r="N152" t="s">
        <v>41</v>
      </c>
      <c r="O152" t="s">
        <v>32</v>
      </c>
      <c r="P152" t="s">
        <v>33</v>
      </c>
    </row>
    <row r="153" spans="1:16" x14ac:dyDescent="0.25">
      <c r="A153" t="s">
        <v>361</v>
      </c>
      <c r="B153" s="1">
        <v>45777</v>
      </c>
      <c r="C153" s="2">
        <v>0.88680555555555551</v>
      </c>
      <c r="D153" t="s">
        <v>16</v>
      </c>
      <c r="E153" t="s">
        <v>232</v>
      </c>
      <c r="F153" s="4"/>
      <c r="G153">
        <v>1993</v>
      </c>
      <c r="H153">
        <v>12</v>
      </c>
      <c r="I153">
        <v>19</v>
      </c>
      <c r="J153" t="s">
        <v>259</v>
      </c>
      <c r="K153">
        <v>295.44</v>
      </c>
      <c r="L153">
        <v>2</v>
      </c>
      <c r="M153" t="s">
        <v>362</v>
      </c>
      <c r="N153" t="s">
        <v>31</v>
      </c>
      <c r="O153" t="s">
        <v>26</v>
      </c>
      <c r="P153" t="s">
        <v>21</v>
      </c>
    </row>
    <row r="154" spans="1:16" x14ac:dyDescent="0.25">
      <c r="A154" t="s">
        <v>363</v>
      </c>
      <c r="B154" s="4">
        <v>45751</v>
      </c>
      <c r="C154" s="3">
        <v>0.87495370370370373</v>
      </c>
      <c r="D154" t="s">
        <v>16</v>
      </c>
      <c r="E154" t="s">
        <v>330</v>
      </c>
      <c r="G154">
        <v>2010</v>
      </c>
      <c r="H154">
        <v>3</v>
      </c>
      <c r="I154">
        <v>5</v>
      </c>
      <c r="J154" t="s">
        <v>116</v>
      </c>
      <c r="K154">
        <v>111</v>
      </c>
      <c r="L154">
        <v>3</v>
      </c>
      <c r="M154">
        <v>333</v>
      </c>
      <c r="N154" t="s">
        <v>31</v>
      </c>
      <c r="O154" t="s">
        <v>89</v>
      </c>
      <c r="P154" t="s">
        <v>56</v>
      </c>
    </row>
    <row r="155" spans="1:16" x14ac:dyDescent="0.25">
      <c r="A155" t="s">
        <v>364</v>
      </c>
      <c r="B155" s="4">
        <v>45863</v>
      </c>
      <c r="C155" s="3">
        <v>0.72179398148148144</v>
      </c>
      <c r="D155" t="s">
        <v>16</v>
      </c>
      <c r="E155" t="s">
        <v>365</v>
      </c>
      <c r="J155" t="s">
        <v>116</v>
      </c>
      <c r="K155" t="s">
        <v>366</v>
      </c>
      <c r="L155">
        <v>1</v>
      </c>
      <c r="M155">
        <v>102.47</v>
      </c>
      <c r="N155" t="s">
        <v>67</v>
      </c>
      <c r="O155" t="s">
        <v>20</v>
      </c>
    </row>
    <row r="156" spans="1:16" x14ac:dyDescent="0.25">
      <c r="A156" t="s">
        <v>367</v>
      </c>
      <c r="B156" s="4">
        <v>45840</v>
      </c>
      <c r="C156" s="3">
        <v>0.90811342592592592</v>
      </c>
      <c r="D156" t="s">
        <v>16</v>
      </c>
      <c r="E156" t="s">
        <v>95</v>
      </c>
      <c r="G156">
        <v>1985</v>
      </c>
      <c r="H156">
        <v>9</v>
      </c>
      <c r="I156">
        <v>25</v>
      </c>
      <c r="J156" t="s">
        <v>73</v>
      </c>
      <c r="K156">
        <v>39.76</v>
      </c>
      <c r="L156">
        <v>2</v>
      </c>
      <c r="M156" t="s">
        <v>368</v>
      </c>
      <c r="N156" t="s">
        <v>54</v>
      </c>
      <c r="O156" t="s">
        <v>55</v>
      </c>
      <c r="P156" t="s">
        <v>27</v>
      </c>
    </row>
    <row r="157" spans="1:16" x14ac:dyDescent="0.25">
      <c r="A157" t="s">
        <v>369</v>
      </c>
      <c r="B157" s="4">
        <v>45669</v>
      </c>
      <c r="C157" s="5">
        <v>0.89444444444444449</v>
      </c>
      <c r="D157" t="s">
        <v>16</v>
      </c>
      <c r="E157" t="s">
        <v>370</v>
      </c>
      <c r="F157" s="4"/>
      <c r="G157">
        <v>1991</v>
      </c>
      <c r="H157">
        <v>7</v>
      </c>
      <c r="I157">
        <v>10</v>
      </c>
      <c r="J157" t="s">
        <v>129</v>
      </c>
      <c r="K157">
        <v>150.41999999999999</v>
      </c>
      <c r="L157">
        <v>2</v>
      </c>
      <c r="M157">
        <v>300.83999999999997</v>
      </c>
      <c r="N157" t="s">
        <v>19</v>
      </c>
      <c r="O157" t="s">
        <v>47</v>
      </c>
      <c r="P157" t="s">
        <v>74</v>
      </c>
    </row>
    <row r="158" spans="1:16" x14ac:dyDescent="0.25">
      <c r="A158" t="s">
        <v>371</v>
      </c>
      <c r="B158" s="4">
        <v>45843</v>
      </c>
      <c r="C158" s="5">
        <v>0.56180555555555556</v>
      </c>
      <c r="D158" t="s">
        <v>16</v>
      </c>
      <c r="E158" t="s">
        <v>63</v>
      </c>
      <c r="G158">
        <v>1989</v>
      </c>
      <c r="H158">
        <v>6</v>
      </c>
      <c r="I158">
        <v>6</v>
      </c>
      <c r="J158" t="s">
        <v>116</v>
      </c>
      <c r="K158">
        <v>167.91</v>
      </c>
      <c r="L158">
        <v>1</v>
      </c>
      <c r="M158">
        <v>167.91</v>
      </c>
      <c r="N158" t="s">
        <v>19</v>
      </c>
      <c r="O158" t="s">
        <v>20</v>
      </c>
      <c r="P158" t="s">
        <v>33</v>
      </c>
    </row>
    <row r="159" spans="1:16" x14ac:dyDescent="0.25">
      <c r="A159" t="s">
        <v>372</v>
      </c>
      <c r="B159" t="s">
        <v>373</v>
      </c>
      <c r="C159" s="3">
        <v>0.90149305555555559</v>
      </c>
      <c r="D159" t="s">
        <v>16</v>
      </c>
      <c r="E159" t="s">
        <v>52</v>
      </c>
      <c r="F159" s="4"/>
      <c r="G159">
        <v>2009</v>
      </c>
      <c r="H159">
        <v>6</v>
      </c>
      <c r="I159">
        <v>25</v>
      </c>
      <c r="J159" t="s">
        <v>93</v>
      </c>
      <c r="K159">
        <v>194.47</v>
      </c>
      <c r="L159">
        <v>1</v>
      </c>
      <c r="M159">
        <v>194.47</v>
      </c>
      <c r="N159" t="s">
        <v>41</v>
      </c>
      <c r="O159" t="s">
        <v>89</v>
      </c>
      <c r="P159" t="s">
        <v>105</v>
      </c>
    </row>
    <row r="160" spans="1:16" x14ac:dyDescent="0.25">
      <c r="A160" t="s">
        <v>374</v>
      </c>
      <c r="B160" s="1">
        <v>45865</v>
      </c>
      <c r="C160" s="5">
        <v>0.78055555555555556</v>
      </c>
      <c r="D160" t="s">
        <v>16</v>
      </c>
      <c r="E160" t="s">
        <v>161</v>
      </c>
      <c r="F160" s="4"/>
      <c r="G160">
        <v>1999</v>
      </c>
      <c r="H160">
        <v>5</v>
      </c>
      <c r="I160">
        <v>28</v>
      </c>
      <c r="J160" t="s">
        <v>243</v>
      </c>
      <c r="L160">
        <v>1</v>
      </c>
      <c r="N160" t="s">
        <v>54</v>
      </c>
      <c r="O160" t="s">
        <v>32</v>
      </c>
      <c r="P160" t="s">
        <v>33</v>
      </c>
    </row>
    <row r="161" spans="1:16" x14ac:dyDescent="0.25">
      <c r="A161" t="s">
        <v>375</v>
      </c>
      <c r="B161" t="s">
        <v>376</v>
      </c>
      <c r="C161" s="3">
        <v>0.56508101851851855</v>
      </c>
      <c r="D161" t="s">
        <v>16</v>
      </c>
      <c r="E161" t="s">
        <v>377</v>
      </c>
      <c r="F161" s="4"/>
      <c r="G161">
        <v>1990</v>
      </c>
      <c r="H161">
        <v>2</v>
      </c>
      <c r="I161">
        <v>4</v>
      </c>
      <c r="J161" t="s">
        <v>30</v>
      </c>
      <c r="K161">
        <v>219.31</v>
      </c>
      <c r="L161">
        <v>3</v>
      </c>
      <c r="M161">
        <v>657.93</v>
      </c>
      <c r="N161" t="s">
        <v>19</v>
      </c>
      <c r="O161" t="s">
        <v>55</v>
      </c>
      <c r="P161" t="s">
        <v>33</v>
      </c>
    </row>
    <row r="162" spans="1:16" x14ac:dyDescent="0.25">
      <c r="A162" t="s">
        <v>378</v>
      </c>
      <c r="B162" s="4">
        <v>45952</v>
      </c>
      <c r="C162" s="5">
        <v>0.74375000000000002</v>
      </c>
      <c r="D162" t="s">
        <v>16</v>
      </c>
      <c r="E162" t="s">
        <v>379</v>
      </c>
      <c r="G162">
        <v>1993</v>
      </c>
      <c r="H162">
        <v>12</v>
      </c>
      <c r="I162">
        <v>2</v>
      </c>
      <c r="J162" t="s">
        <v>164</v>
      </c>
      <c r="K162">
        <v>356.8</v>
      </c>
      <c r="L162">
        <v>1</v>
      </c>
      <c r="M162">
        <v>356.8</v>
      </c>
      <c r="N162" t="s">
        <v>31</v>
      </c>
      <c r="O162" t="s">
        <v>26</v>
      </c>
      <c r="P162" t="s">
        <v>56</v>
      </c>
    </row>
    <row r="163" spans="1:16" x14ac:dyDescent="0.25">
      <c r="A163" t="s">
        <v>380</v>
      </c>
      <c r="B163" t="s">
        <v>381</v>
      </c>
      <c r="C163" s="5">
        <v>0.46527777777777779</v>
      </c>
      <c r="D163" t="s">
        <v>16</v>
      </c>
      <c r="E163" t="s">
        <v>338</v>
      </c>
      <c r="G163">
        <v>2004</v>
      </c>
      <c r="H163">
        <v>10</v>
      </c>
      <c r="I163">
        <v>15</v>
      </c>
      <c r="J163" t="s">
        <v>73</v>
      </c>
      <c r="K163">
        <v>51.28</v>
      </c>
      <c r="L163">
        <v>2</v>
      </c>
      <c r="M163">
        <v>102.56</v>
      </c>
      <c r="N163" t="s">
        <v>31</v>
      </c>
      <c r="O163" t="s">
        <v>55</v>
      </c>
      <c r="P163" t="s">
        <v>105</v>
      </c>
    </row>
    <row r="164" spans="1:16" x14ac:dyDescent="0.25">
      <c r="A164" t="s">
        <v>382</v>
      </c>
      <c r="B164" s="4">
        <v>45762</v>
      </c>
      <c r="C164" s="5">
        <v>0.58333333333333337</v>
      </c>
      <c r="D164" t="s">
        <v>16</v>
      </c>
      <c r="E164" t="s">
        <v>383</v>
      </c>
      <c r="G164">
        <v>1987</v>
      </c>
      <c r="H164">
        <v>9</v>
      </c>
      <c r="I164">
        <v>17</v>
      </c>
      <c r="J164" t="s">
        <v>93</v>
      </c>
      <c r="K164">
        <v>164.76</v>
      </c>
      <c r="L164">
        <v>1</v>
      </c>
      <c r="M164">
        <v>164.76</v>
      </c>
      <c r="O164" t="s">
        <v>37</v>
      </c>
    </row>
    <row r="165" spans="1:16" x14ac:dyDescent="0.25">
      <c r="A165" t="s">
        <v>384</v>
      </c>
      <c r="B165" s="4">
        <v>45970</v>
      </c>
      <c r="C165" s="5">
        <v>0.82013888888888886</v>
      </c>
      <c r="D165" t="s">
        <v>16</v>
      </c>
      <c r="E165" t="s">
        <v>281</v>
      </c>
      <c r="F165" s="4"/>
      <c r="G165">
        <v>1991</v>
      </c>
      <c r="H165">
        <v>6</v>
      </c>
      <c r="I165">
        <v>27</v>
      </c>
      <c r="J165" t="s">
        <v>202</v>
      </c>
      <c r="K165">
        <v>109.45</v>
      </c>
      <c r="L165">
        <v>1</v>
      </c>
      <c r="M165">
        <v>152.44999999999999</v>
      </c>
      <c r="O165" t="s">
        <v>26</v>
      </c>
      <c r="P165" t="s">
        <v>33</v>
      </c>
    </row>
    <row r="166" spans="1:16" x14ac:dyDescent="0.25">
      <c r="A166" t="s">
        <v>385</v>
      </c>
      <c r="B166" t="s">
        <v>386</v>
      </c>
      <c r="C166" s="5">
        <v>0.50555555555555554</v>
      </c>
      <c r="D166" t="s">
        <v>16</v>
      </c>
      <c r="E166" t="s">
        <v>387</v>
      </c>
      <c r="F166" s="4"/>
      <c r="G166">
        <v>1986</v>
      </c>
      <c r="H166">
        <v>2</v>
      </c>
      <c r="I166">
        <v>13</v>
      </c>
      <c r="J166" t="s">
        <v>116</v>
      </c>
      <c r="K166">
        <v>282.01</v>
      </c>
      <c r="L166">
        <v>2</v>
      </c>
      <c r="M166">
        <v>564.02</v>
      </c>
      <c r="N166" t="s">
        <v>19</v>
      </c>
      <c r="O166" t="s">
        <v>20</v>
      </c>
      <c r="P166" t="s">
        <v>74</v>
      </c>
    </row>
    <row r="167" spans="1:16" x14ac:dyDescent="0.25">
      <c r="A167" t="s">
        <v>388</v>
      </c>
      <c r="B167" s="1">
        <v>45804</v>
      </c>
      <c r="C167" s="5">
        <v>0.65138888888888891</v>
      </c>
      <c r="D167" t="s">
        <v>16</v>
      </c>
      <c r="E167" t="s">
        <v>389</v>
      </c>
      <c r="F167" s="4"/>
      <c r="G167">
        <v>1998</v>
      </c>
      <c r="H167">
        <v>10</v>
      </c>
      <c r="I167">
        <v>5</v>
      </c>
      <c r="J167" t="s">
        <v>85</v>
      </c>
      <c r="K167">
        <v>225.48</v>
      </c>
      <c r="L167">
        <v>1</v>
      </c>
      <c r="M167">
        <v>225.48</v>
      </c>
      <c r="N167" t="s">
        <v>25</v>
      </c>
      <c r="O167" t="s">
        <v>61</v>
      </c>
    </row>
    <row r="168" spans="1:16" x14ac:dyDescent="0.25">
      <c r="A168" t="s">
        <v>390</v>
      </c>
      <c r="B168" s="4">
        <v>45628</v>
      </c>
      <c r="C168" s="3">
        <v>0.56565972222222227</v>
      </c>
      <c r="D168" t="s">
        <v>16</v>
      </c>
      <c r="E168" t="s">
        <v>189</v>
      </c>
      <c r="F168" s="4"/>
      <c r="G168">
        <v>1971</v>
      </c>
      <c r="H168">
        <v>7</v>
      </c>
      <c r="I168">
        <v>19</v>
      </c>
      <c r="J168" t="s">
        <v>213</v>
      </c>
      <c r="L168">
        <v>2</v>
      </c>
      <c r="N168" t="s">
        <v>19</v>
      </c>
      <c r="O168" t="s">
        <v>55</v>
      </c>
      <c r="P168" t="s">
        <v>48</v>
      </c>
    </row>
    <row r="169" spans="1:16" x14ac:dyDescent="0.25">
      <c r="A169" t="s">
        <v>391</v>
      </c>
      <c r="B169" t="s">
        <v>392</v>
      </c>
      <c r="C169" s="3">
        <v>0.78131944444444446</v>
      </c>
      <c r="D169" t="s">
        <v>16</v>
      </c>
      <c r="E169" t="s">
        <v>387</v>
      </c>
      <c r="J169" t="s">
        <v>18</v>
      </c>
      <c r="K169" t="s">
        <v>393</v>
      </c>
      <c r="L169">
        <v>2</v>
      </c>
      <c r="M169">
        <v>217.78</v>
      </c>
      <c r="N169" t="s">
        <v>25</v>
      </c>
      <c r="O169" t="s">
        <v>55</v>
      </c>
      <c r="P169" t="s">
        <v>48</v>
      </c>
    </row>
    <row r="170" spans="1:16" x14ac:dyDescent="0.25">
      <c r="A170" t="s">
        <v>394</v>
      </c>
      <c r="B170" s="4">
        <v>45815</v>
      </c>
      <c r="C170" s="5">
        <v>0.76180555555555551</v>
      </c>
      <c r="D170" t="s">
        <v>16</v>
      </c>
      <c r="E170" t="s">
        <v>222</v>
      </c>
      <c r="F170" s="4"/>
      <c r="G170">
        <v>1994</v>
      </c>
      <c r="H170">
        <v>9</v>
      </c>
      <c r="I170">
        <v>22</v>
      </c>
      <c r="J170" t="s">
        <v>73</v>
      </c>
      <c r="K170">
        <v>55.41</v>
      </c>
      <c r="L170">
        <v>1</v>
      </c>
      <c r="M170">
        <v>55.41</v>
      </c>
      <c r="N170" t="s">
        <v>41</v>
      </c>
      <c r="O170" t="s">
        <v>20</v>
      </c>
      <c r="P170" t="s">
        <v>27</v>
      </c>
    </row>
    <row r="171" spans="1:16" x14ac:dyDescent="0.25">
      <c r="A171" t="s">
        <v>395</v>
      </c>
      <c r="B171" s="4">
        <v>45952</v>
      </c>
      <c r="C171" s="2">
        <v>0.62777777777777777</v>
      </c>
      <c r="D171" t="s">
        <v>16</v>
      </c>
      <c r="E171" t="s">
        <v>295</v>
      </c>
      <c r="F171" s="1"/>
      <c r="G171">
        <v>1979</v>
      </c>
      <c r="H171">
        <v>12</v>
      </c>
      <c r="I171">
        <v>1</v>
      </c>
      <c r="J171" t="s">
        <v>259</v>
      </c>
      <c r="K171">
        <v>157.30000000000001</v>
      </c>
      <c r="L171">
        <v>3</v>
      </c>
      <c r="M171">
        <v>471.9</v>
      </c>
      <c r="N171" t="s">
        <v>67</v>
      </c>
      <c r="O171" t="s">
        <v>47</v>
      </c>
      <c r="P171" t="s">
        <v>33</v>
      </c>
    </row>
    <row r="172" spans="1:16" x14ac:dyDescent="0.25">
      <c r="A172" t="s">
        <v>396</v>
      </c>
      <c r="C172" s="3">
        <v>0.4894560185185185</v>
      </c>
      <c r="D172" t="s">
        <v>16</v>
      </c>
      <c r="E172" t="s">
        <v>397</v>
      </c>
      <c r="F172" s="1"/>
      <c r="G172">
        <v>1993</v>
      </c>
      <c r="H172">
        <v>3</v>
      </c>
      <c r="I172">
        <v>28</v>
      </c>
      <c r="J172" t="s">
        <v>85</v>
      </c>
      <c r="K172">
        <v>245.29</v>
      </c>
      <c r="L172">
        <v>2</v>
      </c>
      <c r="M172">
        <v>490.58</v>
      </c>
      <c r="N172" t="s">
        <v>64</v>
      </c>
      <c r="O172" t="s">
        <v>61</v>
      </c>
      <c r="P172" t="s">
        <v>33</v>
      </c>
    </row>
    <row r="173" spans="1:16" x14ac:dyDescent="0.25">
      <c r="A173" t="s">
        <v>398</v>
      </c>
      <c r="B173" s="4">
        <v>45835</v>
      </c>
      <c r="C173" s="3">
        <v>0.82490740740740742</v>
      </c>
      <c r="D173" t="s">
        <v>16</v>
      </c>
      <c r="E173" t="s">
        <v>151</v>
      </c>
      <c r="F173" s="1"/>
      <c r="G173">
        <v>2006</v>
      </c>
      <c r="H173">
        <v>10</v>
      </c>
      <c r="I173">
        <v>18</v>
      </c>
      <c r="J173" t="s">
        <v>243</v>
      </c>
      <c r="K173" t="s">
        <v>399</v>
      </c>
      <c r="L173">
        <v>2</v>
      </c>
      <c r="M173">
        <v>315.24</v>
      </c>
      <c r="N173" t="s">
        <v>31</v>
      </c>
      <c r="O173" t="s">
        <v>55</v>
      </c>
      <c r="P173" t="s">
        <v>33</v>
      </c>
    </row>
    <row r="174" spans="1:16" x14ac:dyDescent="0.25">
      <c r="A174" t="s">
        <v>400</v>
      </c>
      <c r="B174" s="1">
        <v>45766</v>
      </c>
      <c r="C174" s="3">
        <v>0.95298611111111109</v>
      </c>
      <c r="D174" t="s">
        <v>16</v>
      </c>
      <c r="E174" t="s">
        <v>328</v>
      </c>
      <c r="F174" s="4"/>
      <c r="G174">
        <v>2003</v>
      </c>
      <c r="H174">
        <v>3</v>
      </c>
      <c r="I174">
        <v>15</v>
      </c>
      <c r="J174" t="s">
        <v>53</v>
      </c>
      <c r="K174">
        <v>99.61</v>
      </c>
      <c r="L174">
        <v>2</v>
      </c>
      <c r="M174">
        <v>199.22</v>
      </c>
      <c r="N174" t="s">
        <v>41</v>
      </c>
      <c r="O174" t="s">
        <v>26</v>
      </c>
      <c r="P174" t="s">
        <v>21</v>
      </c>
    </row>
    <row r="175" spans="1:16" x14ac:dyDescent="0.25">
      <c r="A175" t="s">
        <v>401</v>
      </c>
      <c r="B175" s="1">
        <v>45675</v>
      </c>
      <c r="C175" s="3">
        <v>0.48177083333333331</v>
      </c>
      <c r="D175" t="s">
        <v>16</v>
      </c>
      <c r="E175" t="s">
        <v>29</v>
      </c>
      <c r="F175" s="4"/>
      <c r="G175">
        <v>2005</v>
      </c>
      <c r="H175">
        <v>7</v>
      </c>
      <c r="I175">
        <v>2</v>
      </c>
      <c r="J175" t="s">
        <v>178</v>
      </c>
      <c r="K175">
        <v>333.6</v>
      </c>
      <c r="L175">
        <v>1</v>
      </c>
      <c r="M175">
        <v>333.6</v>
      </c>
      <c r="N175" t="s">
        <v>67</v>
      </c>
      <c r="O175" t="s">
        <v>55</v>
      </c>
      <c r="P175" t="s">
        <v>48</v>
      </c>
    </row>
    <row r="176" spans="1:16" x14ac:dyDescent="0.25">
      <c r="A176" t="s">
        <v>402</v>
      </c>
      <c r="B176" t="s">
        <v>403</v>
      </c>
      <c r="C176" s="2">
        <v>0.78541666666666665</v>
      </c>
      <c r="D176" t="s">
        <v>16</v>
      </c>
      <c r="E176" t="s">
        <v>307</v>
      </c>
      <c r="F176" s="4"/>
      <c r="G176">
        <v>1999</v>
      </c>
      <c r="H176">
        <v>7</v>
      </c>
      <c r="I176">
        <v>15</v>
      </c>
      <c r="J176" t="s">
        <v>24</v>
      </c>
      <c r="K176">
        <v>208.41</v>
      </c>
      <c r="L176">
        <v>2</v>
      </c>
      <c r="M176">
        <v>416.82</v>
      </c>
      <c r="N176" t="s">
        <v>31</v>
      </c>
      <c r="O176" t="s">
        <v>37</v>
      </c>
      <c r="P176" t="s">
        <v>27</v>
      </c>
    </row>
    <row r="177" spans="1:16" x14ac:dyDescent="0.25">
      <c r="A177" t="s">
        <v>404</v>
      </c>
      <c r="B177" s="4">
        <v>45961</v>
      </c>
      <c r="C177" s="3">
        <v>0.74140046296296291</v>
      </c>
      <c r="D177" t="s">
        <v>16</v>
      </c>
      <c r="E177" t="s">
        <v>405</v>
      </c>
      <c r="G177">
        <v>1994</v>
      </c>
      <c r="H177">
        <v>2</v>
      </c>
      <c r="I177">
        <v>25</v>
      </c>
      <c r="J177" t="s">
        <v>129</v>
      </c>
      <c r="K177">
        <v>186.16</v>
      </c>
      <c r="L177">
        <v>1</v>
      </c>
      <c r="M177">
        <v>186.16</v>
      </c>
      <c r="N177" t="s">
        <v>25</v>
      </c>
      <c r="O177" t="s">
        <v>20</v>
      </c>
      <c r="P177" t="s">
        <v>56</v>
      </c>
    </row>
    <row r="178" spans="1:16" x14ac:dyDescent="0.25">
      <c r="A178" t="s">
        <v>406</v>
      </c>
      <c r="B178" s="1">
        <v>45749</v>
      </c>
      <c r="C178" s="3">
        <v>0.52749999999999997</v>
      </c>
      <c r="D178" t="s">
        <v>16</v>
      </c>
      <c r="E178" t="s">
        <v>189</v>
      </c>
      <c r="F178" s="4"/>
      <c r="G178">
        <v>2009</v>
      </c>
      <c r="H178">
        <v>4</v>
      </c>
      <c r="I178">
        <v>23</v>
      </c>
      <c r="J178" t="s">
        <v>259</v>
      </c>
      <c r="K178">
        <v>40.15</v>
      </c>
      <c r="L178">
        <v>1</v>
      </c>
      <c r="M178">
        <v>40.15</v>
      </c>
      <c r="N178" t="s">
        <v>19</v>
      </c>
      <c r="O178" t="s">
        <v>89</v>
      </c>
      <c r="P178" t="s">
        <v>48</v>
      </c>
    </row>
    <row r="179" spans="1:16" x14ac:dyDescent="0.25">
      <c r="A179" t="s">
        <v>407</v>
      </c>
      <c r="B179" s="4">
        <v>45876</v>
      </c>
      <c r="C179" s="3">
        <v>0.48843750000000002</v>
      </c>
      <c r="D179" t="s">
        <v>16</v>
      </c>
      <c r="E179" t="s">
        <v>408</v>
      </c>
      <c r="F179" s="4"/>
      <c r="G179">
        <v>1981</v>
      </c>
      <c r="H179">
        <v>4</v>
      </c>
      <c r="I179">
        <v>11</v>
      </c>
      <c r="J179" t="s">
        <v>202</v>
      </c>
      <c r="K179">
        <v>296.58999999999997</v>
      </c>
      <c r="L179">
        <v>1</v>
      </c>
      <c r="M179">
        <v>296.58999999999997</v>
      </c>
      <c r="N179" t="s">
        <v>64</v>
      </c>
      <c r="O179" t="s">
        <v>55</v>
      </c>
      <c r="P179" t="s">
        <v>33</v>
      </c>
    </row>
    <row r="180" spans="1:16" x14ac:dyDescent="0.25">
      <c r="A180" t="s">
        <v>409</v>
      </c>
      <c r="B180" s="1">
        <v>45912</v>
      </c>
      <c r="C180" s="5">
        <v>0.46458333333333335</v>
      </c>
      <c r="D180" t="s">
        <v>16</v>
      </c>
      <c r="E180" t="s">
        <v>222</v>
      </c>
      <c r="G180">
        <v>2006</v>
      </c>
      <c r="H180">
        <v>10</v>
      </c>
      <c r="I180">
        <v>13</v>
      </c>
      <c r="J180" t="s">
        <v>126</v>
      </c>
      <c r="K180">
        <v>186.43</v>
      </c>
      <c r="L180">
        <v>1</v>
      </c>
      <c r="M180">
        <v>186.43</v>
      </c>
      <c r="N180" t="s">
        <v>67</v>
      </c>
      <c r="O180" t="s">
        <v>26</v>
      </c>
    </row>
    <row r="181" spans="1:16" x14ac:dyDescent="0.25">
      <c r="A181" t="s">
        <v>410</v>
      </c>
      <c r="C181" s="5">
        <v>0.74791666666666667</v>
      </c>
      <c r="D181" t="s">
        <v>16</v>
      </c>
      <c r="E181" t="s">
        <v>411</v>
      </c>
      <c r="F181" s="4"/>
      <c r="G181">
        <v>2003</v>
      </c>
      <c r="H181">
        <v>5</v>
      </c>
      <c r="I181">
        <v>25</v>
      </c>
      <c r="J181" t="s">
        <v>30</v>
      </c>
      <c r="K181" t="s">
        <v>412</v>
      </c>
      <c r="L181">
        <v>3</v>
      </c>
      <c r="M181">
        <v>870.98</v>
      </c>
      <c r="N181" t="s">
        <v>54</v>
      </c>
      <c r="O181" t="s">
        <v>26</v>
      </c>
    </row>
    <row r="182" spans="1:16" x14ac:dyDescent="0.25">
      <c r="A182" t="s">
        <v>413</v>
      </c>
      <c r="B182" s="4">
        <v>45954</v>
      </c>
      <c r="C182" s="2">
        <v>0.82499999999999996</v>
      </c>
      <c r="D182" t="s">
        <v>16</v>
      </c>
      <c r="E182" t="s">
        <v>411</v>
      </c>
      <c r="F182" s="4"/>
      <c r="G182">
        <v>2004</v>
      </c>
      <c r="H182">
        <v>6</v>
      </c>
      <c r="I182">
        <v>25</v>
      </c>
      <c r="J182" t="s">
        <v>77</v>
      </c>
      <c r="K182">
        <v>115.7</v>
      </c>
      <c r="L182">
        <v>1</v>
      </c>
      <c r="M182">
        <v>115.7</v>
      </c>
      <c r="N182" t="s">
        <v>64</v>
      </c>
      <c r="O182" t="s">
        <v>61</v>
      </c>
      <c r="P182" t="s">
        <v>105</v>
      </c>
    </row>
    <row r="183" spans="1:16" x14ac:dyDescent="0.25">
      <c r="A183" t="s">
        <v>414</v>
      </c>
      <c r="C183" s="3">
        <v>0.83548611111111115</v>
      </c>
      <c r="D183" t="s">
        <v>16</v>
      </c>
      <c r="E183" t="s">
        <v>405</v>
      </c>
      <c r="F183" s="4"/>
      <c r="G183">
        <v>2008</v>
      </c>
      <c r="H183">
        <v>10</v>
      </c>
      <c r="I183">
        <v>21</v>
      </c>
      <c r="J183" t="s">
        <v>126</v>
      </c>
      <c r="K183">
        <v>111.19</v>
      </c>
      <c r="L183">
        <v>2</v>
      </c>
      <c r="M183">
        <v>222.38</v>
      </c>
      <c r="O183" t="s">
        <v>61</v>
      </c>
      <c r="P183" t="s">
        <v>33</v>
      </c>
    </row>
    <row r="184" spans="1:16" x14ac:dyDescent="0.25">
      <c r="A184" t="s">
        <v>415</v>
      </c>
      <c r="B184" s="1">
        <v>45731</v>
      </c>
      <c r="C184" s="2">
        <v>0.64236111111111116</v>
      </c>
      <c r="D184" t="s">
        <v>16</v>
      </c>
      <c r="E184" t="s">
        <v>181</v>
      </c>
      <c r="G184">
        <v>1999</v>
      </c>
      <c r="H184">
        <v>8</v>
      </c>
      <c r="I184">
        <v>1</v>
      </c>
      <c r="J184" t="s">
        <v>85</v>
      </c>
      <c r="K184">
        <v>300.56</v>
      </c>
      <c r="L184">
        <v>2</v>
      </c>
      <c r="M184">
        <v>601.12</v>
      </c>
      <c r="N184" t="s">
        <v>31</v>
      </c>
      <c r="O184" t="s">
        <v>47</v>
      </c>
      <c r="P184" t="s">
        <v>33</v>
      </c>
    </row>
    <row r="185" spans="1:16" x14ac:dyDescent="0.25">
      <c r="A185" t="s">
        <v>416</v>
      </c>
      <c r="B185" t="s">
        <v>417</v>
      </c>
      <c r="C185" s="5">
        <v>0.6694444444444444</v>
      </c>
      <c r="D185" t="s">
        <v>16</v>
      </c>
      <c r="E185" t="s">
        <v>281</v>
      </c>
      <c r="F185" s="1"/>
      <c r="G185">
        <v>2006</v>
      </c>
      <c r="H185">
        <v>6</v>
      </c>
      <c r="I185">
        <v>18</v>
      </c>
      <c r="J185" t="s">
        <v>104</v>
      </c>
      <c r="K185">
        <v>287.06</v>
      </c>
      <c r="L185">
        <v>1</v>
      </c>
      <c r="M185">
        <v>287.06</v>
      </c>
      <c r="N185" t="s">
        <v>31</v>
      </c>
      <c r="O185" t="s">
        <v>32</v>
      </c>
    </row>
    <row r="186" spans="1:16" x14ac:dyDescent="0.25">
      <c r="A186" t="s">
        <v>418</v>
      </c>
      <c r="B186" s="4">
        <v>45947</v>
      </c>
      <c r="C186" s="2">
        <v>0.57777777777777772</v>
      </c>
      <c r="D186" t="s">
        <v>16</v>
      </c>
      <c r="E186" t="s">
        <v>346</v>
      </c>
      <c r="G186">
        <v>1998</v>
      </c>
      <c r="H186">
        <v>9</v>
      </c>
      <c r="I186">
        <v>10</v>
      </c>
      <c r="J186" t="s">
        <v>141</v>
      </c>
      <c r="K186">
        <v>142.22</v>
      </c>
      <c r="L186">
        <v>1</v>
      </c>
      <c r="M186">
        <v>142.22</v>
      </c>
      <c r="N186" t="s">
        <v>31</v>
      </c>
      <c r="O186" t="s">
        <v>37</v>
      </c>
      <c r="P186" t="s">
        <v>48</v>
      </c>
    </row>
    <row r="187" spans="1:16" x14ac:dyDescent="0.25">
      <c r="A187" t="s">
        <v>419</v>
      </c>
      <c r="B187" s="4">
        <v>45648</v>
      </c>
      <c r="C187" s="3">
        <v>0.44832175925925927</v>
      </c>
      <c r="D187" t="s">
        <v>16</v>
      </c>
      <c r="E187" t="s">
        <v>420</v>
      </c>
      <c r="F187" s="4"/>
      <c r="G187">
        <v>2007</v>
      </c>
      <c r="H187">
        <v>7</v>
      </c>
      <c r="I187">
        <v>21</v>
      </c>
      <c r="J187" t="s">
        <v>116</v>
      </c>
      <c r="K187">
        <v>258.47000000000003</v>
      </c>
      <c r="L187">
        <v>1</v>
      </c>
      <c r="M187" t="s">
        <v>421</v>
      </c>
      <c r="O187" t="s">
        <v>20</v>
      </c>
      <c r="P187" t="s">
        <v>27</v>
      </c>
    </row>
    <row r="188" spans="1:16" x14ac:dyDescent="0.25">
      <c r="A188" t="s">
        <v>422</v>
      </c>
      <c r="B188" t="s">
        <v>423</v>
      </c>
      <c r="C188" s="2">
        <v>0.97847222222222219</v>
      </c>
      <c r="D188" t="s">
        <v>16</v>
      </c>
      <c r="E188" t="s">
        <v>227</v>
      </c>
      <c r="F188" s="1"/>
      <c r="G188">
        <v>1997</v>
      </c>
      <c r="H188">
        <v>9</v>
      </c>
      <c r="I188">
        <v>27</v>
      </c>
      <c r="J188" t="s">
        <v>259</v>
      </c>
      <c r="K188">
        <v>301.45999999999998</v>
      </c>
      <c r="L188">
        <v>2</v>
      </c>
      <c r="M188">
        <v>602.91999999999996</v>
      </c>
      <c r="N188" t="s">
        <v>19</v>
      </c>
      <c r="O188" t="s">
        <v>37</v>
      </c>
    </row>
    <row r="189" spans="1:16" x14ac:dyDescent="0.25">
      <c r="A189" t="s">
        <v>424</v>
      </c>
      <c r="B189" s="4">
        <v>45760</v>
      </c>
      <c r="C189" s="5">
        <v>0.78888888888888886</v>
      </c>
      <c r="D189" t="s">
        <v>16</v>
      </c>
      <c r="E189" t="s">
        <v>425</v>
      </c>
      <c r="F189" s="4"/>
      <c r="G189">
        <v>1974</v>
      </c>
      <c r="H189">
        <v>11</v>
      </c>
      <c r="I189">
        <v>21</v>
      </c>
      <c r="J189" t="s">
        <v>116</v>
      </c>
      <c r="K189">
        <v>92.51</v>
      </c>
      <c r="L189">
        <v>1</v>
      </c>
      <c r="M189">
        <v>92.51</v>
      </c>
      <c r="N189" t="s">
        <v>25</v>
      </c>
      <c r="O189" t="s">
        <v>89</v>
      </c>
      <c r="P189" t="s">
        <v>105</v>
      </c>
    </row>
    <row r="190" spans="1:16" x14ac:dyDescent="0.25">
      <c r="A190" t="s">
        <v>426</v>
      </c>
      <c r="B190" s="4">
        <v>45939</v>
      </c>
      <c r="C190" s="3">
        <v>0.79423611111111114</v>
      </c>
      <c r="D190" t="s">
        <v>16</v>
      </c>
      <c r="E190" t="s">
        <v>427</v>
      </c>
      <c r="G190">
        <v>1978</v>
      </c>
      <c r="H190">
        <v>9</v>
      </c>
      <c r="I190">
        <v>3</v>
      </c>
      <c r="J190" t="s">
        <v>199</v>
      </c>
      <c r="K190">
        <v>228.73</v>
      </c>
      <c r="L190">
        <v>1</v>
      </c>
      <c r="M190">
        <v>228.73</v>
      </c>
      <c r="N190" t="s">
        <v>54</v>
      </c>
      <c r="O190" t="s">
        <v>32</v>
      </c>
      <c r="P190" t="s">
        <v>21</v>
      </c>
    </row>
    <row r="191" spans="1:16" x14ac:dyDescent="0.25">
      <c r="A191" t="s">
        <v>428</v>
      </c>
      <c r="B191" s="4">
        <v>45691</v>
      </c>
      <c r="C191" s="3">
        <v>0.98041666666666671</v>
      </c>
      <c r="D191" t="s">
        <v>16</v>
      </c>
      <c r="E191" t="s">
        <v>95</v>
      </c>
      <c r="F191" s="4"/>
      <c r="G191">
        <v>1980</v>
      </c>
      <c r="H191">
        <v>4</v>
      </c>
      <c r="I191">
        <v>19</v>
      </c>
      <c r="J191" t="s">
        <v>24</v>
      </c>
      <c r="K191">
        <v>206.6</v>
      </c>
      <c r="L191">
        <v>2</v>
      </c>
      <c r="M191">
        <v>413.2</v>
      </c>
      <c r="N191" t="s">
        <v>31</v>
      </c>
      <c r="O191" t="s">
        <v>55</v>
      </c>
      <c r="P191" t="s">
        <v>48</v>
      </c>
    </row>
    <row r="192" spans="1:16" x14ac:dyDescent="0.25">
      <c r="A192" t="s">
        <v>429</v>
      </c>
      <c r="B192" s="1">
        <v>45846</v>
      </c>
      <c r="C192" s="5">
        <v>0.77986111111111112</v>
      </c>
      <c r="D192" t="s">
        <v>16</v>
      </c>
      <c r="E192" t="s">
        <v>218</v>
      </c>
      <c r="F192" s="4"/>
      <c r="G192">
        <v>1987</v>
      </c>
      <c r="H192">
        <v>6</v>
      </c>
      <c r="I192">
        <v>9</v>
      </c>
      <c r="J192" t="s">
        <v>259</v>
      </c>
      <c r="K192">
        <v>191.1</v>
      </c>
      <c r="L192">
        <v>1</v>
      </c>
      <c r="M192">
        <v>153.1</v>
      </c>
      <c r="O192" t="s">
        <v>32</v>
      </c>
      <c r="P192" t="s">
        <v>33</v>
      </c>
    </row>
    <row r="193" spans="1:16" x14ac:dyDescent="0.25">
      <c r="A193" t="s">
        <v>430</v>
      </c>
      <c r="B193" s="4">
        <v>45762</v>
      </c>
      <c r="C193" s="5">
        <v>0.44374999999999998</v>
      </c>
      <c r="D193" t="s">
        <v>16</v>
      </c>
      <c r="E193" t="s">
        <v>198</v>
      </c>
      <c r="F193" s="4"/>
      <c r="G193">
        <v>1977</v>
      </c>
      <c r="H193">
        <v>2</v>
      </c>
      <c r="I193">
        <v>28</v>
      </c>
      <c r="J193" t="s">
        <v>104</v>
      </c>
      <c r="K193">
        <v>299.48</v>
      </c>
      <c r="L193">
        <v>2</v>
      </c>
      <c r="M193">
        <v>598.96</v>
      </c>
      <c r="N193" t="s">
        <v>64</v>
      </c>
      <c r="O193" t="s">
        <v>89</v>
      </c>
      <c r="P193" t="s">
        <v>27</v>
      </c>
    </row>
    <row r="194" spans="1:16" x14ac:dyDescent="0.25">
      <c r="A194" t="s">
        <v>431</v>
      </c>
      <c r="B194" s="4">
        <v>45654</v>
      </c>
      <c r="C194" s="5">
        <v>0.68333333333333335</v>
      </c>
      <c r="D194" t="s">
        <v>16</v>
      </c>
      <c r="E194" t="s">
        <v>299</v>
      </c>
      <c r="F194" s="4"/>
      <c r="G194">
        <v>1982</v>
      </c>
      <c r="H194">
        <v>10</v>
      </c>
      <c r="I194">
        <v>13</v>
      </c>
      <c r="J194" t="s">
        <v>77</v>
      </c>
      <c r="K194">
        <v>152.5</v>
      </c>
      <c r="L194">
        <v>1</v>
      </c>
      <c r="M194">
        <v>152.5</v>
      </c>
      <c r="N194" t="s">
        <v>54</v>
      </c>
      <c r="O194" t="s">
        <v>55</v>
      </c>
      <c r="P194" t="s">
        <v>74</v>
      </c>
    </row>
    <row r="195" spans="1:16" x14ac:dyDescent="0.25">
      <c r="A195" t="s">
        <v>432</v>
      </c>
      <c r="B195" s="1">
        <v>45753</v>
      </c>
      <c r="C195" s="2">
        <v>0.69166666666666665</v>
      </c>
      <c r="D195" t="s">
        <v>16</v>
      </c>
      <c r="E195" t="s">
        <v>101</v>
      </c>
      <c r="J195" t="s">
        <v>126</v>
      </c>
      <c r="K195">
        <v>51.6</v>
      </c>
      <c r="L195">
        <v>1</v>
      </c>
      <c r="M195">
        <v>51.6</v>
      </c>
      <c r="N195" t="s">
        <v>64</v>
      </c>
      <c r="O195" t="s">
        <v>26</v>
      </c>
    </row>
    <row r="196" spans="1:16" x14ac:dyDescent="0.25">
      <c r="A196" t="s">
        <v>433</v>
      </c>
      <c r="B196" s="4">
        <v>45765</v>
      </c>
      <c r="C196" s="2">
        <v>0.75138888888888888</v>
      </c>
      <c r="D196" t="s">
        <v>16</v>
      </c>
      <c r="E196" t="s">
        <v>434</v>
      </c>
      <c r="F196" s="4"/>
      <c r="G196">
        <v>2010</v>
      </c>
      <c r="H196">
        <v>12</v>
      </c>
      <c r="I196">
        <v>12</v>
      </c>
      <c r="J196" t="s">
        <v>30</v>
      </c>
      <c r="K196">
        <v>209.92</v>
      </c>
      <c r="L196">
        <v>2</v>
      </c>
      <c r="M196" t="s">
        <v>435</v>
      </c>
      <c r="N196" t="s">
        <v>64</v>
      </c>
      <c r="O196" t="s">
        <v>55</v>
      </c>
      <c r="P196" t="s">
        <v>56</v>
      </c>
    </row>
    <row r="197" spans="1:16" x14ac:dyDescent="0.25">
      <c r="A197" t="s">
        <v>436</v>
      </c>
      <c r="B197" s="4">
        <v>45638</v>
      </c>
      <c r="C197" s="2">
        <v>0.94513888888888886</v>
      </c>
      <c r="D197" t="s">
        <v>16</v>
      </c>
      <c r="E197" t="s">
        <v>240</v>
      </c>
      <c r="F197" s="4"/>
      <c r="G197">
        <v>1974</v>
      </c>
      <c r="H197">
        <v>1</v>
      </c>
      <c r="I197">
        <v>24</v>
      </c>
      <c r="J197" t="s">
        <v>18</v>
      </c>
      <c r="K197">
        <v>100.05</v>
      </c>
      <c r="L197">
        <v>1</v>
      </c>
      <c r="M197">
        <v>100.05</v>
      </c>
      <c r="N197" t="s">
        <v>19</v>
      </c>
      <c r="O197" t="s">
        <v>26</v>
      </c>
    </row>
    <row r="198" spans="1:16" x14ac:dyDescent="0.25">
      <c r="A198" t="s">
        <v>437</v>
      </c>
      <c r="B198" s="4">
        <v>45921</v>
      </c>
      <c r="C198" s="3">
        <v>0.49388888888888888</v>
      </c>
      <c r="D198" t="s">
        <v>16</v>
      </c>
      <c r="E198" t="s">
        <v>222</v>
      </c>
      <c r="F198" s="4"/>
      <c r="G198">
        <v>2006</v>
      </c>
      <c r="H198">
        <v>9</v>
      </c>
      <c r="I198">
        <v>5</v>
      </c>
      <c r="J198" t="s">
        <v>129</v>
      </c>
      <c r="K198">
        <v>149.06</v>
      </c>
      <c r="L198">
        <v>3</v>
      </c>
      <c r="M198">
        <v>409.18</v>
      </c>
      <c r="N198" t="s">
        <v>31</v>
      </c>
      <c r="O198" t="s">
        <v>37</v>
      </c>
      <c r="P198" t="s">
        <v>105</v>
      </c>
    </row>
    <row r="199" spans="1:16" x14ac:dyDescent="0.25">
      <c r="A199" t="s">
        <v>438</v>
      </c>
      <c r="B199" s="4">
        <v>45866</v>
      </c>
      <c r="C199" s="2">
        <v>0.54097222222222219</v>
      </c>
      <c r="D199" t="s">
        <v>16</v>
      </c>
      <c r="E199" t="s">
        <v>79</v>
      </c>
      <c r="F199" s="4"/>
      <c r="G199">
        <v>2000</v>
      </c>
      <c r="H199">
        <v>12</v>
      </c>
      <c r="I199">
        <v>5</v>
      </c>
      <c r="J199" t="s">
        <v>77</v>
      </c>
      <c r="K199">
        <v>156.19999999999999</v>
      </c>
      <c r="L199">
        <v>1</v>
      </c>
      <c r="M199">
        <v>156.19999999999999</v>
      </c>
      <c r="N199" t="s">
        <v>19</v>
      </c>
      <c r="O199" t="s">
        <v>32</v>
      </c>
    </row>
    <row r="200" spans="1:16" x14ac:dyDescent="0.25">
      <c r="A200" t="s">
        <v>439</v>
      </c>
      <c r="B200" s="4">
        <v>45876</v>
      </c>
      <c r="C200" s="5">
        <v>0.5854166666666667</v>
      </c>
      <c r="D200" t="s">
        <v>16</v>
      </c>
      <c r="E200" t="s">
        <v>358</v>
      </c>
      <c r="F200" s="1"/>
      <c r="G200">
        <v>1972</v>
      </c>
      <c r="H200">
        <v>1</v>
      </c>
      <c r="I200">
        <v>21</v>
      </c>
      <c r="J200" t="s">
        <v>24</v>
      </c>
      <c r="K200">
        <v>199.96</v>
      </c>
      <c r="L200">
        <v>1</v>
      </c>
      <c r="M200">
        <v>199.96</v>
      </c>
      <c r="N200" t="s">
        <v>64</v>
      </c>
      <c r="O200" t="s">
        <v>20</v>
      </c>
      <c r="P200" t="s">
        <v>33</v>
      </c>
    </row>
    <row r="201" spans="1:16" x14ac:dyDescent="0.25">
      <c r="A201" t="s">
        <v>440</v>
      </c>
      <c r="B201" s="4">
        <v>45963</v>
      </c>
      <c r="C201" s="5">
        <v>0.92152777777777772</v>
      </c>
      <c r="D201" t="s">
        <v>16</v>
      </c>
      <c r="E201" t="s">
        <v>52</v>
      </c>
      <c r="F201" s="1"/>
      <c r="G201">
        <v>1994</v>
      </c>
      <c r="H201">
        <v>4</v>
      </c>
      <c r="I201">
        <v>3</v>
      </c>
      <c r="J201" t="s">
        <v>178</v>
      </c>
      <c r="K201">
        <v>273.42</v>
      </c>
      <c r="L201">
        <v>3</v>
      </c>
      <c r="M201">
        <v>787.26</v>
      </c>
      <c r="O201" t="s">
        <v>61</v>
      </c>
      <c r="P201" t="s">
        <v>74</v>
      </c>
    </row>
    <row r="202" spans="1:16" x14ac:dyDescent="0.25">
      <c r="A202" t="s">
        <v>441</v>
      </c>
      <c r="B202" s="4">
        <v>45704</v>
      </c>
      <c r="C202" s="2">
        <v>0.60972222222222228</v>
      </c>
      <c r="D202" t="s">
        <v>16</v>
      </c>
      <c r="E202" t="s">
        <v>161</v>
      </c>
      <c r="F202" s="1"/>
      <c r="G202">
        <v>1984</v>
      </c>
      <c r="H202">
        <v>2</v>
      </c>
      <c r="I202">
        <v>14</v>
      </c>
      <c r="J202" t="s">
        <v>110</v>
      </c>
      <c r="K202">
        <v>90.73</v>
      </c>
      <c r="L202">
        <v>1</v>
      </c>
      <c r="M202">
        <v>90.73</v>
      </c>
      <c r="N202" t="s">
        <v>31</v>
      </c>
      <c r="O202" t="s">
        <v>55</v>
      </c>
      <c r="P202" t="s">
        <v>105</v>
      </c>
    </row>
    <row r="203" spans="1:16" x14ac:dyDescent="0.25">
      <c r="A203" t="s">
        <v>442</v>
      </c>
      <c r="B203" s="4">
        <v>45857</v>
      </c>
      <c r="C203" s="3">
        <v>0.68987268518518519</v>
      </c>
      <c r="D203" t="s">
        <v>16</v>
      </c>
      <c r="E203" t="s">
        <v>295</v>
      </c>
      <c r="F203" s="4"/>
      <c r="G203">
        <v>2005</v>
      </c>
      <c r="H203">
        <v>1</v>
      </c>
      <c r="I203">
        <v>23</v>
      </c>
      <c r="J203" t="s">
        <v>199</v>
      </c>
      <c r="K203">
        <v>205.18</v>
      </c>
      <c r="L203">
        <v>1</v>
      </c>
      <c r="M203">
        <v>205.18</v>
      </c>
      <c r="N203" t="s">
        <v>64</v>
      </c>
      <c r="O203" t="s">
        <v>61</v>
      </c>
      <c r="P203" t="s">
        <v>105</v>
      </c>
    </row>
    <row r="204" spans="1:16" x14ac:dyDescent="0.25">
      <c r="A204" t="s">
        <v>443</v>
      </c>
      <c r="B204" s="1">
        <v>45938</v>
      </c>
      <c r="C204" s="3">
        <v>0.75159722222222225</v>
      </c>
      <c r="D204" t="s">
        <v>16</v>
      </c>
      <c r="E204" t="s">
        <v>118</v>
      </c>
      <c r="F204" s="4"/>
      <c r="G204">
        <v>1975</v>
      </c>
      <c r="H204">
        <v>10</v>
      </c>
      <c r="I204">
        <v>11</v>
      </c>
      <c r="J204" t="s">
        <v>104</v>
      </c>
      <c r="K204">
        <v>261.95</v>
      </c>
      <c r="L204">
        <v>1</v>
      </c>
      <c r="M204">
        <v>261.95</v>
      </c>
      <c r="N204" t="s">
        <v>19</v>
      </c>
      <c r="O204" t="s">
        <v>61</v>
      </c>
      <c r="P204" t="s">
        <v>33</v>
      </c>
    </row>
    <row r="205" spans="1:16" x14ac:dyDescent="0.25">
      <c r="A205" t="s">
        <v>444</v>
      </c>
      <c r="B205" s="1">
        <v>45732</v>
      </c>
      <c r="C205" s="3">
        <v>0.78017361111111116</v>
      </c>
      <c r="D205" t="s">
        <v>16</v>
      </c>
      <c r="E205" t="s">
        <v>405</v>
      </c>
      <c r="G205">
        <v>2002</v>
      </c>
      <c r="H205">
        <v>9</v>
      </c>
      <c r="I205">
        <v>27</v>
      </c>
      <c r="J205" t="s">
        <v>243</v>
      </c>
      <c r="K205">
        <v>145.26</v>
      </c>
      <c r="L205">
        <v>2</v>
      </c>
      <c r="M205">
        <v>290.52</v>
      </c>
      <c r="N205" t="s">
        <v>41</v>
      </c>
      <c r="O205" t="s">
        <v>89</v>
      </c>
      <c r="P205" t="s">
        <v>21</v>
      </c>
    </row>
    <row r="206" spans="1:16" x14ac:dyDescent="0.25">
      <c r="A206" t="s">
        <v>445</v>
      </c>
      <c r="B206" s="4">
        <v>45672</v>
      </c>
      <c r="C206" s="5">
        <v>0.88124999999999998</v>
      </c>
      <c r="D206" t="s">
        <v>16</v>
      </c>
      <c r="E206" t="s">
        <v>446</v>
      </c>
      <c r="F206" s="4"/>
      <c r="G206">
        <v>1996</v>
      </c>
      <c r="H206">
        <v>11</v>
      </c>
      <c r="I206">
        <v>18</v>
      </c>
      <c r="J206" t="s">
        <v>141</v>
      </c>
      <c r="K206" t="s">
        <v>447</v>
      </c>
      <c r="L206">
        <v>3</v>
      </c>
      <c r="M206">
        <v>358.02</v>
      </c>
      <c r="N206" t="s">
        <v>64</v>
      </c>
      <c r="O206" t="s">
        <v>32</v>
      </c>
    </row>
    <row r="207" spans="1:16" x14ac:dyDescent="0.25">
      <c r="A207" t="s">
        <v>448</v>
      </c>
      <c r="B207" t="s">
        <v>449</v>
      </c>
      <c r="C207" s="5">
        <v>0.72152777777777777</v>
      </c>
      <c r="D207" t="s">
        <v>16</v>
      </c>
      <c r="E207" t="s">
        <v>389</v>
      </c>
      <c r="F207" s="4"/>
      <c r="G207">
        <v>1993</v>
      </c>
      <c r="H207">
        <v>5</v>
      </c>
      <c r="I207">
        <v>25</v>
      </c>
      <c r="J207" t="s">
        <v>126</v>
      </c>
      <c r="K207">
        <v>104.26</v>
      </c>
      <c r="L207">
        <v>1</v>
      </c>
      <c r="M207">
        <v>104.26</v>
      </c>
      <c r="O207" t="s">
        <v>89</v>
      </c>
      <c r="P207" t="s">
        <v>56</v>
      </c>
    </row>
    <row r="208" spans="1:16" x14ac:dyDescent="0.25">
      <c r="A208" t="s">
        <v>450</v>
      </c>
      <c r="B208" s="4">
        <v>45711</v>
      </c>
      <c r="C208" s="5">
        <v>0.84722222222222221</v>
      </c>
      <c r="D208" t="s">
        <v>16</v>
      </c>
      <c r="E208" t="s">
        <v>451</v>
      </c>
      <c r="G208">
        <v>1989</v>
      </c>
      <c r="H208">
        <v>2</v>
      </c>
      <c r="I208">
        <v>1</v>
      </c>
      <c r="J208" t="s">
        <v>93</v>
      </c>
      <c r="K208">
        <v>153.37</v>
      </c>
      <c r="L208">
        <v>3</v>
      </c>
      <c r="M208">
        <v>460.11</v>
      </c>
      <c r="O208" t="s">
        <v>32</v>
      </c>
      <c r="P208" t="s">
        <v>21</v>
      </c>
    </row>
    <row r="209" spans="1:16" x14ac:dyDescent="0.25">
      <c r="A209" t="s">
        <v>452</v>
      </c>
      <c r="B209" s="4">
        <v>45862</v>
      </c>
      <c r="C209" s="3">
        <v>0.85771990740740744</v>
      </c>
      <c r="D209" t="s">
        <v>16</v>
      </c>
      <c r="E209" t="s">
        <v>201</v>
      </c>
      <c r="G209">
        <v>1992</v>
      </c>
      <c r="H209">
        <v>2</v>
      </c>
      <c r="I209">
        <v>11</v>
      </c>
      <c r="J209" t="s">
        <v>30</v>
      </c>
      <c r="K209">
        <v>209.59</v>
      </c>
      <c r="L209">
        <v>2</v>
      </c>
      <c r="M209">
        <v>419.18</v>
      </c>
      <c r="N209" t="s">
        <v>54</v>
      </c>
      <c r="O209" t="s">
        <v>32</v>
      </c>
      <c r="P209" t="s">
        <v>74</v>
      </c>
    </row>
    <row r="210" spans="1:16" x14ac:dyDescent="0.25">
      <c r="A210" t="s">
        <v>453</v>
      </c>
      <c r="B210" t="s">
        <v>454</v>
      </c>
      <c r="C210" s="5">
        <v>0.64166666666666672</v>
      </c>
      <c r="D210" t="s">
        <v>16</v>
      </c>
      <c r="E210" t="s">
        <v>264</v>
      </c>
      <c r="G210">
        <v>2005</v>
      </c>
      <c r="H210">
        <v>2</v>
      </c>
      <c r="I210">
        <v>7</v>
      </c>
      <c r="J210" t="s">
        <v>178</v>
      </c>
      <c r="K210">
        <v>325.70999999999998</v>
      </c>
      <c r="L210">
        <v>1</v>
      </c>
      <c r="M210">
        <v>325.70999999999998</v>
      </c>
      <c r="N210" t="s">
        <v>64</v>
      </c>
      <c r="O210" t="s">
        <v>26</v>
      </c>
      <c r="P210" t="s">
        <v>74</v>
      </c>
    </row>
    <row r="211" spans="1:16" x14ac:dyDescent="0.25">
      <c r="A211" t="s">
        <v>455</v>
      </c>
      <c r="C211" s="3">
        <v>0.87380787037037033</v>
      </c>
      <c r="D211" t="s">
        <v>16</v>
      </c>
      <c r="E211" t="s">
        <v>397</v>
      </c>
      <c r="G211">
        <v>1978</v>
      </c>
      <c r="H211">
        <v>4</v>
      </c>
      <c r="I211">
        <v>6</v>
      </c>
      <c r="J211" t="s">
        <v>60</v>
      </c>
      <c r="K211">
        <v>195</v>
      </c>
      <c r="L211">
        <v>2</v>
      </c>
      <c r="M211">
        <v>390</v>
      </c>
      <c r="N211" t="s">
        <v>25</v>
      </c>
      <c r="O211" t="s">
        <v>20</v>
      </c>
      <c r="P211" t="s">
        <v>27</v>
      </c>
    </row>
    <row r="212" spans="1:16" x14ac:dyDescent="0.25">
      <c r="A212" t="s">
        <v>456</v>
      </c>
      <c r="B212" s="4">
        <v>45868</v>
      </c>
      <c r="C212" s="3">
        <v>0.42208333333333331</v>
      </c>
      <c r="D212" t="s">
        <v>16</v>
      </c>
      <c r="E212" t="s">
        <v>208</v>
      </c>
      <c r="F212" s="4"/>
      <c r="G212">
        <v>2000</v>
      </c>
      <c r="H212">
        <v>10</v>
      </c>
      <c r="I212">
        <v>14</v>
      </c>
      <c r="J212" t="s">
        <v>40</v>
      </c>
      <c r="K212">
        <v>196.56</v>
      </c>
      <c r="L212">
        <v>1</v>
      </c>
      <c r="M212">
        <v>196.56</v>
      </c>
      <c r="N212" t="s">
        <v>64</v>
      </c>
      <c r="O212" t="s">
        <v>20</v>
      </c>
      <c r="P212" t="s">
        <v>56</v>
      </c>
    </row>
    <row r="213" spans="1:16" x14ac:dyDescent="0.25">
      <c r="A213" t="s">
        <v>457</v>
      </c>
      <c r="B213" s="4">
        <v>45641</v>
      </c>
      <c r="C213" s="2">
        <v>0.7583333333333333</v>
      </c>
      <c r="D213" t="s">
        <v>16</v>
      </c>
      <c r="E213" t="s">
        <v>458</v>
      </c>
      <c r="G213">
        <v>1990</v>
      </c>
      <c r="H213">
        <v>6</v>
      </c>
      <c r="I213">
        <v>27</v>
      </c>
      <c r="J213" t="s">
        <v>104</v>
      </c>
      <c r="K213">
        <v>280.13</v>
      </c>
      <c r="L213">
        <v>1</v>
      </c>
      <c r="M213">
        <v>280.13</v>
      </c>
      <c r="N213" t="s">
        <v>67</v>
      </c>
      <c r="O213" t="s">
        <v>47</v>
      </c>
    </row>
    <row r="214" spans="1:16" x14ac:dyDescent="0.25">
      <c r="A214" t="s">
        <v>459</v>
      </c>
      <c r="B214" s="4">
        <v>45931</v>
      </c>
      <c r="C214" s="5">
        <v>0.68680555555555556</v>
      </c>
      <c r="D214" t="s">
        <v>16</v>
      </c>
      <c r="E214" t="s">
        <v>229</v>
      </c>
      <c r="G214">
        <v>1989</v>
      </c>
      <c r="H214">
        <v>12</v>
      </c>
      <c r="I214">
        <v>12</v>
      </c>
      <c r="J214" t="s">
        <v>178</v>
      </c>
      <c r="K214" t="s">
        <v>460</v>
      </c>
      <c r="L214">
        <v>1</v>
      </c>
      <c r="M214">
        <v>313.74</v>
      </c>
      <c r="N214" t="s">
        <v>67</v>
      </c>
      <c r="O214" t="s">
        <v>37</v>
      </c>
      <c r="P214" t="s">
        <v>21</v>
      </c>
    </row>
    <row r="215" spans="1:16" x14ac:dyDescent="0.25">
      <c r="A215" t="s">
        <v>461</v>
      </c>
      <c r="B215" s="4">
        <v>45834</v>
      </c>
      <c r="C215" s="3">
        <v>0.45959490740740738</v>
      </c>
      <c r="D215" t="s">
        <v>16</v>
      </c>
      <c r="E215" t="s">
        <v>462</v>
      </c>
      <c r="F215" s="4"/>
      <c r="G215">
        <v>2002</v>
      </c>
      <c r="H215">
        <v>10</v>
      </c>
      <c r="I215">
        <v>2</v>
      </c>
      <c r="J215" t="s">
        <v>85</v>
      </c>
      <c r="K215">
        <v>271.14999999999998</v>
      </c>
      <c r="L215">
        <v>2</v>
      </c>
      <c r="M215">
        <v>542.29999999999995</v>
      </c>
      <c r="N215" t="s">
        <v>41</v>
      </c>
      <c r="O215" t="s">
        <v>47</v>
      </c>
    </row>
    <row r="216" spans="1:16" x14ac:dyDescent="0.25">
      <c r="A216" t="s">
        <v>463</v>
      </c>
      <c r="B216" s="4">
        <v>45908</v>
      </c>
      <c r="C216" s="5">
        <v>0.75902777777777775</v>
      </c>
      <c r="D216" t="s">
        <v>16</v>
      </c>
      <c r="E216" t="s">
        <v>389</v>
      </c>
      <c r="F216" s="4"/>
      <c r="G216">
        <v>1976</v>
      </c>
      <c r="H216">
        <v>4</v>
      </c>
      <c r="I216">
        <v>17</v>
      </c>
      <c r="J216" t="s">
        <v>178</v>
      </c>
      <c r="K216">
        <v>329.34</v>
      </c>
      <c r="L216">
        <v>2</v>
      </c>
      <c r="M216">
        <v>658.68</v>
      </c>
      <c r="N216" t="s">
        <v>64</v>
      </c>
      <c r="O216" t="s">
        <v>89</v>
      </c>
    </row>
    <row r="217" spans="1:16" x14ac:dyDescent="0.25">
      <c r="A217" t="s">
        <v>464</v>
      </c>
      <c r="B217" t="s">
        <v>465</v>
      </c>
      <c r="C217" s="3">
        <v>0.47520833333333334</v>
      </c>
      <c r="D217" t="s">
        <v>16</v>
      </c>
      <c r="E217" t="s">
        <v>466</v>
      </c>
      <c r="F217" s="1"/>
      <c r="G217">
        <v>1984</v>
      </c>
      <c r="H217">
        <v>9</v>
      </c>
      <c r="I217">
        <v>14</v>
      </c>
      <c r="J217" t="s">
        <v>36</v>
      </c>
      <c r="K217">
        <v>247.41</v>
      </c>
      <c r="L217">
        <v>1</v>
      </c>
      <c r="M217">
        <v>247.41</v>
      </c>
      <c r="N217" t="s">
        <v>19</v>
      </c>
      <c r="O217" t="s">
        <v>37</v>
      </c>
      <c r="P217" t="s">
        <v>21</v>
      </c>
    </row>
    <row r="218" spans="1:16" x14ac:dyDescent="0.25">
      <c r="A218" t="s">
        <v>467</v>
      </c>
      <c r="B218" s="1">
        <v>45803</v>
      </c>
      <c r="C218" s="3">
        <v>0.56868055555555552</v>
      </c>
      <c r="D218" t="s">
        <v>16</v>
      </c>
      <c r="E218" t="s">
        <v>52</v>
      </c>
      <c r="F218" s="1"/>
      <c r="G218">
        <v>1987</v>
      </c>
      <c r="H218">
        <v>12</v>
      </c>
      <c r="I218">
        <v>25</v>
      </c>
      <c r="J218" t="s">
        <v>40</v>
      </c>
      <c r="K218">
        <v>193.45</v>
      </c>
      <c r="L218">
        <v>2</v>
      </c>
      <c r="M218">
        <v>386.9</v>
      </c>
      <c r="N218" t="s">
        <v>41</v>
      </c>
      <c r="O218" t="s">
        <v>55</v>
      </c>
      <c r="P218" t="s">
        <v>21</v>
      </c>
    </row>
    <row r="219" spans="1:16" x14ac:dyDescent="0.25">
      <c r="A219" t="s">
        <v>468</v>
      </c>
      <c r="B219" t="s">
        <v>469</v>
      </c>
      <c r="C219" s="3">
        <v>0.83415509259259257</v>
      </c>
      <c r="D219" t="s">
        <v>16</v>
      </c>
      <c r="E219" t="s">
        <v>332</v>
      </c>
      <c r="F219" s="1"/>
      <c r="G219">
        <v>1976</v>
      </c>
      <c r="H219">
        <v>2</v>
      </c>
      <c r="I219">
        <v>22</v>
      </c>
      <c r="J219" t="s">
        <v>116</v>
      </c>
      <c r="K219">
        <v>103.08</v>
      </c>
      <c r="L219">
        <v>1</v>
      </c>
      <c r="M219">
        <v>103.08</v>
      </c>
      <c r="N219" t="s">
        <v>31</v>
      </c>
      <c r="O219" t="s">
        <v>61</v>
      </c>
    </row>
    <row r="220" spans="1:16" x14ac:dyDescent="0.25">
      <c r="A220" t="s">
        <v>470</v>
      </c>
      <c r="B220" s="1">
        <v>45635</v>
      </c>
      <c r="C220" s="3">
        <v>0.88230324074074074</v>
      </c>
      <c r="D220" t="s">
        <v>16</v>
      </c>
      <c r="E220" t="s">
        <v>471</v>
      </c>
      <c r="F220" s="4"/>
      <c r="G220">
        <v>1977</v>
      </c>
      <c r="H220">
        <v>10</v>
      </c>
      <c r="I220">
        <v>22</v>
      </c>
      <c r="J220" t="s">
        <v>145</v>
      </c>
      <c r="K220">
        <v>197.22</v>
      </c>
      <c r="L220">
        <v>1</v>
      </c>
      <c r="M220">
        <v>197.22</v>
      </c>
      <c r="N220" t="s">
        <v>64</v>
      </c>
      <c r="O220" t="s">
        <v>32</v>
      </c>
      <c r="P220" t="s">
        <v>105</v>
      </c>
    </row>
    <row r="221" spans="1:16" x14ac:dyDescent="0.25">
      <c r="A221" t="s">
        <v>472</v>
      </c>
      <c r="B221" s="4">
        <v>45937</v>
      </c>
      <c r="C221" s="3">
        <v>0.6821990740740741</v>
      </c>
      <c r="D221" t="s">
        <v>16</v>
      </c>
      <c r="E221" t="s">
        <v>473</v>
      </c>
      <c r="F221" s="4"/>
      <c r="G221">
        <v>1989</v>
      </c>
      <c r="H221">
        <v>10</v>
      </c>
      <c r="I221">
        <v>3</v>
      </c>
      <c r="J221" t="s">
        <v>45</v>
      </c>
      <c r="K221">
        <v>229.67</v>
      </c>
      <c r="L221">
        <v>1</v>
      </c>
      <c r="M221">
        <v>229.67</v>
      </c>
      <c r="N221" t="s">
        <v>31</v>
      </c>
      <c r="O221" t="s">
        <v>32</v>
      </c>
      <c r="P221" t="s">
        <v>21</v>
      </c>
    </row>
    <row r="222" spans="1:16" x14ac:dyDescent="0.25">
      <c r="A222" t="s">
        <v>474</v>
      </c>
      <c r="B222" s="4">
        <v>45867</v>
      </c>
      <c r="C222" s="2">
        <v>0.64652777777777781</v>
      </c>
      <c r="D222" t="s">
        <v>16</v>
      </c>
      <c r="E222" t="s">
        <v>475</v>
      </c>
      <c r="F222" s="4"/>
      <c r="G222">
        <v>1997</v>
      </c>
      <c r="H222">
        <v>4</v>
      </c>
      <c r="I222">
        <v>16</v>
      </c>
      <c r="J222" t="s">
        <v>141</v>
      </c>
      <c r="K222">
        <v>123.91</v>
      </c>
      <c r="L222">
        <v>3</v>
      </c>
      <c r="M222">
        <v>371.73</v>
      </c>
      <c r="N222" t="s">
        <v>19</v>
      </c>
      <c r="O222" t="s">
        <v>61</v>
      </c>
      <c r="P222" t="s">
        <v>74</v>
      </c>
    </row>
    <row r="223" spans="1:16" x14ac:dyDescent="0.25">
      <c r="A223" t="s">
        <v>476</v>
      </c>
      <c r="B223" s="4">
        <v>45724</v>
      </c>
      <c r="C223" s="2">
        <v>0.86944444444444446</v>
      </c>
      <c r="D223" t="s">
        <v>16</v>
      </c>
      <c r="E223" t="s">
        <v>125</v>
      </c>
      <c r="F223" s="4"/>
      <c r="G223">
        <v>1996</v>
      </c>
      <c r="H223">
        <v>7</v>
      </c>
      <c r="I223">
        <v>9</v>
      </c>
      <c r="J223" t="s">
        <v>202</v>
      </c>
      <c r="K223">
        <v>196.88</v>
      </c>
      <c r="L223">
        <v>3</v>
      </c>
      <c r="M223">
        <v>590.64</v>
      </c>
      <c r="N223" t="s">
        <v>31</v>
      </c>
      <c r="O223" t="s">
        <v>55</v>
      </c>
    </row>
    <row r="224" spans="1:16" x14ac:dyDescent="0.25">
      <c r="A224" t="s">
        <v>477</v>
      </c>
      <c r="B224" s="4">
        <v>45719</v>
      </c>
      <c r="C224" s="2">
        <v>0.54791666666666672</v>
      </c>
      <c r="D224" t="s">
        <v>16</v>
      </c>
      <c r="E224" t="s">
        <v>125</v>
      </c>
      <c r="F224" s="4"/>
      <c r="G224">
        <v>1974</v>
      </c>
      <c r="H224">
        <v>11</v>
      </c>
      <c r="I224">
        <v>7</v>
      </c>
      <c r="J224" t="s">
        <v>53</v>
      </c>
      <c r="K224">
        <v>-91.73</v>
      </c>
      <c r="L224">
        <v>2</v>
      </c>
      <c r="M224">
        <v>-183.46</v>
      </c>
      <c r="N224" t="s">
        <v>54</v>
      </c>
      <c r="O224" t="s">
        <v>47</v>
      </c>
      <c r="P224" t="s">
        <v>27</v>
      </c>
    </row>
    <row r="225" spans="1:16" x14ac:dyDescent="0.25">
      <c r="A225" t="s">
        <v>478</v>
      </c>
      <c r="B225" s="1">
        <v>45756</v>
      </c>
      <c r="C225" s="2">
        <v>0.95208333333333328</v>
      </c>
      <c r="D225" t="s">
        <v>16</v>
      </c>
      <c r="E225" t="s">
        <v>377</v>
      </c>
      <c r="F225" s="1"/>
      <c r="G225">
        <v>2001</v>
      </c>
      <c r="H225">
        <v>1</v>
      </c>
      <c r="I225">
        <v>2</v>
      </c>
      <c r="J225" t="s">
        <v>40</v>
      </c>
      <c r="K225">
        <v>210.09</v>
      </c>
      <c r="L225">
        <v>3</v>
      </c>
      <c r="M225">
        <v>630.27</v>
      </c>
      <c r="N225" t="s">
        <v>25</v>
      </c>
      <c r="O225" t="s">
        <v>61</v>
      </c>
      <c r="P225" t="s">
        <v>21</v>
      </c>
    </row>
    <row r="226" spans="1:16" x14ac:dyDescent="0.25">
      <c r="A226" t="s">
        <v>479</v>
      </c>
      <c r="B226" s="1">
        <v>45738</v>
      </c>
      <c r="C226" s="2">
        <v>0.66180555555555554</v>
      </c>
      <c r="D226" t="s">
        <v>16</v>
      </c>
      <c r="E226" t="s">
        <v>95</v>
      </c>
      <c r="F226" s="1"/>
      <c r="G226">
        <v>1976</v>
      </c>
      <c r="H226">
        <v>3</v>
      </c>
      <c r="I226">
        <v>7</v>
      </c>
      <c r="J226" t="s">
        <v>45</v>
      </c>
      <c r="K226">
        <v>312.45</v>
      </c>
      <c r="L226">
        <v>1</v>
      </c>
      <c r="M226">
        <v>312.45</v>
      </c>
      <c r="N226" t="s">
        <v>25</v>
      </c>
      <c r="O226" t="s">
        <v>55</v>
      </c>
      <c r="P226" t="s">
        <v>105</v>
      </c>
    </row>
    <row r="227" spans="1:16" x14ac:dyDescent="0.25">
      <c r="A227" t="s">
        <v>480</v>
      </c>
      <c r="B227" s="4">
        <v>45956</v>
      </c>
      <c r="C227" s="2">
        <v>0.91527777777777775</v>
      </c>
      <c r="D227" t="s">
        <v>16</v>
      </c>
      <c r="E227" t="s">
        <v>434</v>
      </c>
      <c r="J227" t="s">
        <v>53</v>
      </c>
      <c r="K227">
        <v>122.74</v>
      </c>
      <c r="L227">
        <v>1</v>
      </c>
      <c r="M227">
        <v>122.74</v>
      </c>
      <c r="N227" t="s">
        <v>31</v>
      </c>
      <c r="O227" t="s">
        <v>55</v>
      </c>
      <c r="P227" t="s">
        <v>48</v>
      </c>
    </row>
    <row r="228" spans="1:16" x14ac:dyDescent="0.25">
      <c r="A228" t="s">
        <v>481</v>
      </c>
      <c r="B228" t="s">
        <v>482</v>
      </c>
      <c r="C228" s="3">
        <v>0.74127314814814815</v>
      </c>
      <c r="D228" t="s">
        <v>16</v>
      </c>
      <c r="E228" t="s">
        <v>131</v>
      </c>
      <c r="G228">
        <v>1980</v>
      </c>
      <c r="H228">
        <v>12</v>
      </c>
      <c r="I228">
        <v>9</v>
      </c>
      <c r="J228" t="s">
        <v>243</v>
      </c>
      <c r="K228">
        <v>149.71</v>
      </c>
      <c r="L228">
        <v>-1</v>
      </c>
      <c r="M228">
        <v>-149.71</v>
      </c>
      <c r="N228" t="s">
        <v>19</v>
      </c>
      <c r="O228" t="s">
        <v>26</v>
      </c>
      <c r="P228" t="s">
        <v>27</v>
      </c>
    </row>
    <row r="229" spans="1:16" x14ac:dyDescent="0.25">
      <c r="A229" t="s">
        <v>483</v>
      </c>
      <c r="B229" s="4">
        <v>45744</v>
      </c>
      <c r="C229" s="3">
        <v>0.98521990740740739</v>
      </c>
      <c r="D229" t="s">
        <v>16</v>
      </c>
      <c r="E229" t="s">
        <v>451</v>
      </c>
      <c r="G229">
        <v>1986</v>
      </c>
      <c r="H229">
        <v>3</v>
      </c>
      <c r="I229">
        <v>22</v>
      </c>
      <c r="J229" t="s">
        <v>178</v>
      </c>
      <c r="K229">
        <v>274.19</v>
      </c>
      <c r="L229">
        <v>3</v>
      </c>
      <c r="M229">
        <v>822.57</v>
      </c>
      <c r="O229" t="s">
        <v>47</v>
      </c>
      <c r="P229" t="s">
        <v>48</v>
      </c>
    </row>
    <row r="230" spans="1:16" x14ac:dyDescent="0.25">
      <c r="A230" t="s">
        <v>484</v>
      </c>
      <c r="B230" s="4">
        <v>45976</v>
      </c>
      <c r="C230" s="2">
        <v>0.69374999999999998</v>
      </c>
      <c r="D230" t="s">
        <v>16</v>
      </c>
      <c r="E230" t="s">
        <v>389</v>
      </c>
      <c r="F230" s="1"/>
      <c r="G230">
        <v>2006</v>
      </c>
      <c r="H230">
        <v>2</v>
      </c>
      <c r="I230">
        <v>1</v>
      </c>
      <c r="J230" t="s">
        <v>104</v>
      </c>
      <c r="K230">
        <v>242.94</v>
      </c>
      <c r="L230">
        <v>2</v>
      </c>
      <c r="M230">
        <v>485.88</v>
      </c>
      <c r="N230" t="s">
        <v>25</v>
      </c>
      <c r="O230" t="s">
        <v>47</v>
      </c>
      <c r="P230" t="s">
        <v>74</v>
      </c>
    </row>
    <row r="231" spans="1:16" x14ac:dyDescent="0.25">
      <c r="A231" t="s">
        <v>485</v>
      </c>
      <c r="B231" s="4">
        <v>45709</v>
      </c>
      <c r="C231" s="5">
        <v>0.42916666666666664</v>
      </c>
      <c r="D231" t="s">
        <v>16</v>
      </c>
      <c r="E231" t="s">
        <v>50</v>
      </c>
      <c r="F231" s="4"/>
      <c r="G231">
        <v>1999</v>
      </c>
      <c r="H231">
        <v>2</v>
      </c>
      <c r="I231">
        <v>1</v>
      </c>
      <c r="J231" t="s">
        <v>126</v>
      </c>
      <c r="K231">
        <v>288.47000000000003</v>
      </c>
      <c r="L231">
        <v>2</v>
      </c>
      <c r="M231">
        <v>576.94000000000005</v>
      </c>
      <c r="N231" t="s">
        <v>54</v>
      </c>
      <c r="O231" t="s">
        <v>55</v>
      </c>
      <c r="P231" t="s">
        <v>48</v>
      </c>
    </row>
    <row r="232" spans="1:16" x14ac:dyDescent="0.25">
      <c r="A232" t="s">
        <v>486</v>
      </c>
      <c r="B232" s="1">
        <v>45875</v>
      </c>
      <c r="C232" s="5">
        <v>0.6958333333333333</v>
      </c>
      <c r="D232" t="s">
        <v>16</v>
      </c>
      <c r="E232" t="s">
        <v>140</v>
      </c>
      <c r="F232" s="4"/>
      <c r="G232">
        <v>2002</v>
      </c>
      <c r="H232">
        <v>8</v>
      </c>
      <c r="I232">
        <v>11</v>
      </c>
      <c r="J232" t="s">
        <v>110</v>
      </c>
      <c r="K232" t="s">
        <v>487</v>
      </c>
      <c r="L232">
        <v>2</v>
      </c>
      <c r="M232">
        <v>191.68</v>
      </c>
      <c r="N232" t="s">
        <v>25</v>
      </c>
      <c r="O232" t="s">
        <v>89</v>
      </c>
      <c r="P232" t="s">
        <v>48</v>
      </c>
    </row>
    <row r="233" spans="1:16" x14ac:dyDescent="0.25">
      <c r="A233" t="s">
        <v>488</v>
      </c>
      <c r="B233" s="4">
        <v>45881</v>
      </c>
      <c r="C233" s="5">
        <v>0.65763888888888888</v>
      </c>
      <c r="D233" t="s">
        <v>16</v>
      </c>
      <c r="E233" t="s">
        <v>489</v>
      </c>
      <c r="F233" s="1"/>
      <c r="G233">
        <v>1984</v>
      </c>
      <c r="H233">
        <v>3</v>
      </c>
      <c r="I233">
        <v>2</v>
      </c>
      <c r="J233" t="s">
        <v>24</v>
      </c>
      <c r="K233">
        <v>235.36</v>
      </c>
      <c r="L233">
        <v>2</v>
      </c>
      <c r="M233">
        <v>470.72</v>
      </c>
      <c r="N233" t="s">
        <v>41</v>
      </c>
      <c r="O233" t="s">
        <v>37</v>
      </c>
    </row>
    <row r="234" spans="1:16" x14ac:dyDescent="0.25">
      <c r="A234" t="s">
        <v>490</v>
      </c>
      <c r="B234" s="4">
        <v>45756</v>
      </c>
      <c r="C234" s="2">
        <v>0.79166666666666663</v>
      </c>
      <c r="D234" t="s">
        <v>16</v>
      </c>
      <c r="E234" t="s">
        <v>328</v>
      </c>
      <c r="J234" t="s">
        <v>36</v>
      </c>
      <c r="K234">
        <v>153.76</v>
      </c>
      <c r="L234">
        <v>2</v>
      </c>
      <c r="M234">
        <v>307.52</v>
      </c>
      <c r="N234" t="s">
        <v>54</v>
      </c>
      <c r="O234" t="s">
        <v>32</v>
      </c>
      <c r="P234" t="s">
        <v>105</v>
      </c>
    </row>
    <row r="235" spans="1:16" x14ac:dyDescent="0.25">
      <c r="A235" t="s">
        <v>491</v>
      </c>
      <c r="B235" t="s">
        <v>157</v>
      </c>
      <c r="C235" s="2">
        <v>0.65694444444444444</v>
      </c>
      <c r="D235" t="s">
        <v>16</v>
      </c>
      <c r="E235" t="s">
        <v>492</v>
      </c>
      <c r="F235" s="1"/>
      <c r="G235">
        <v>1988</v>
      </c>
      <c r="H235">
        <v>6</v>
      </c>
      <c r="I235">
        <v>26</v>
      </c>
      <c r="J235" t="s">
        <v>110</v>
      </c>
      <c r="K235">
        <v>98.9</v>
      </c>
      <c r="L235">
        <v>2</v>
      </c>
      <c r="M235">
        <v>197.8</v>
      </c>
      <c r="N235" t="s">
        <v>41</v>
      </c>
      <c r="O235" t="s">
        <v>26</v>
      </c>
      <c r="P235" t="s">
        <v>48</v>
      </c>
    </row>
    <row r="236" spans="1:16" x14ac:dyDescent="0.25">
      <c r="A236" t="s">
        <v>493</v>
      </c>
      <c r="B236" s="1">
        <v>45868</v>
      </c>
      <c r="C236" s="3">
        <v>0.85981481481481481</v>
      </c>
      <c r="D236" t="s">
        <v>16</v>
      </c>
      <c r="E236" t="s">
        <v>494</v>
      </c>
      <c r="G236">
        <v>2001</v>
      </c>
      <c r="H236">
        <v>8</v>
      </c>
      <c r="I236">
        <v>13</v>
      </c>
      <c r="J236" t="s">
        <v>77</v>
      </c>
      <c r="K236">
        <v>290.43</v>
      </c>
      <c r="L236">
        <v>1</v>
      </c>
      <c r="M236">
        <v>290.43</v>
      </c>
      <c r="N236" t="s">
        <v>19</v>
      </c>
      <c r="O236" t="s">
        <v>89</v>
      </c>
    </row>
    <row r="237" spans="1:16" x14ac:dyDescent="0.25">
      <c r="A237" t="s">
        <v>495</v>
      </c>
      <c r="B237" t="s">
        <v>496</v>
      </c>
      <c r="C237" s="2">
        <v>0.58958333333333335</v>
      </c>
      <c r="D237" t="s">
        <v>16</v>
      </c>
      <c r="E237" t="s">
        <v>330</v>
      </c>
      <c r="F237" s="1"/>
      <c r="G237">
        <v>1973</v>
      </c>
      <c r="H237">
        <v>9</v>
      </c>
      <c r="I237">
        <v>3</v>
      </c>
      <c r="J237" t="s">
        <v>36</v>
      </c>
      <c r="K237">
        <v>201.32</v>
      </c>
      <c r="L237">
        <v>1</v>
      </c>
      <c r="M237">
        <v>201.32</v>
      </c>
      <c r="N237" t="s">
        <v>54</v>
      </c>
      <c r="O237" t="s">
        <v>26</v>
      </c>
      <c r="P237" t="s">
        <v>74</v>
      </c>
    </row>
    <row r="238" spans="1:16" x14ac:dyDescent="0.25">
      <c r="A238" t="s">
        <v>497</v>
      </c>
      <c r="B238" t="s">
        <v>498</v>
      </c>
      <c r="C238" s="2">
        <v>0.9458333333333333</v>
      </c>
      <c r="D238" t="s">
        <v>16</v>
      </c>
      <c r="E238" t="s">
        <v>264</v>
      </c>
      <c r="F238" s="1"/>
      <c r="G238">
        <v>1981</v>
      </c>
      <c r="H238">
        <v>4</v>
      </c>
      <c r="I238">
        <v>6</v>
      </c>
      <c r="J238" t="s">
        <v>45</v>
      </c>
      <c r="K238">
        <v>162.53</v>
      </c>
      <c r="L238">
        <v>3</v>
      </c>
      <c r="M238">
        <v>487.59</v>
      </c>
      <c r="N238" t="s">
        <v>64</v>
      </c>
      <c r="O238" t="s">
        <v>20</v>
      </c>
      <c r="P238" t="s">
        <v>48</v>
      </c>
    </row>
    <row r="239" spans="1:16" x14ac:dyDescent="0.25">
      <c r="A239" t="s">
        <v>499</v>
      </c>
      <c r="B239" s="4">
        <v>45661</v>
      </c>
      <c r="C239" s="5">
        <v>0.54652777777777772</v>
      </c>
      <c r="D239" t="s">
        <v>16</v>
      </c>
      <c r="E239" t="s">
        <v>44</v>
      </c>
      <c r="G239">
        <v>1979</v>
      </c>
      <c r="H239">
        <v>11</v>
      </c>
      <c r="I239">
        <v>8</v>
      </c>
      <c r="J239" t="s">
        <v>85</v>
      </c>
      <c r="K239">
        <v>77.930000000000007</v>
      </c>
      <c r="L239">
        <v>1</v>
      </c>
      <c r="M239">
        <v>77.930000000000007</v>
      </c>
      <c r="N239" t="s">
        <v>67</v>
      </c>
      <c r="O239" t="s">
        <v>89</v>
      </c>
      <c r="P239" t="s">
        <v>74</v>
      </c>
    </row>
    <row r="240" spans="1:16" x14ac:dyDescent="0.25">
      <c r="A240" t="s">
        <v>500</v>
      </c>
      <c r="B240" s="4">
        <v>45643</v>
      </c>
      <c r="C240" s="3">
        <v>0.87135416666666665</v>
      </c>
      <c r="D240" t="s">
        <v>16</v>
      </c>
      <c r="E240" t="s">
        <v>267</v>
      </c>
      <c r="F240" s="1"/>
      <c r="G240">
        <v>2005</v>
      </c>
      <c r="H240">
        <v>5</v>
      </c>
      <c r="I240">
        <v>2</v>
      </c>
      <c r="J240" t="s">
        <v>18</v>
      </c>
      <c r="K240">
        <v>100.57</v>
      </c>
      <c r="L240">
        <v>2</v>
      </c>
      <c r="M240">
        <v>201.14</v>
      </c>
      <c r="N240" t="s">
        <v>64</v>
      </c>
      <c r="O240" t="s">
        <v>61</v>
      </c>
      <c r="P240" t="s">
        <v>74</v>
      </c>
    </row>
    <row r="241" spans="1:16" x14ac:dyDescent="0.25">
      <c r="A241" t="s">
        <v>501</v>
      </c>
      <c r="B241" s="4">
        <v>45627</v>
      </c>
      <c r="C241" s="5">
        <v>0.72361111111111109</v>
      </c>
      <c r="D241" t="s">
        <v>16</v>
      </c>
      <c r="E241" t="s">
        <v>63</v>
      </c>
      <c r="F241" s="1"/>
      <c r="G241">
        <v>2008</v>
      </c>
      <c r="H241">
        <v>12</v>
      </c>
      <c r="I241">
        <v>22</v>
      </c>
      <c r="J241" t="s">
        <v>36</v>
      </c>
      <c r="K241">
        <v>202.77</v>
      </c>
      <c r="L241">
        <v>2</v>
      </c>
      <c r="M241">
        <v>405.54</v>
      </c>
      <c r="O241" t="s">
        <v>26</v>
      </c>
      <c r="P241" t="s">
        <v>74</v>
      </c>
    </row>
    <row r="242" spans="1:16" x14ac:dyDescent="0.25">
      <c r="A242" t="s">
        <v>502</v>
      </c>
      <c r="B242" s="4">
        <v>45869</v>
      </c>
      <c r="C242" s="3">
        <v>0.75209490740740736</v>
      </c>
      <c r="D242" t="s">
        <v>16</v>
      </c>
      <c r="E242" t="s">
        <v>264</v>
      </c>
      <c r="F242" s="4"/>
      <c r="G242">
        <v>2002</v>
      </c>
      <c r="H242">
        <v>1</v>
      </c>
      <c r="I242">
        <v>26</v>
      </c>
      <c r="J242" t="s">
        <v>116</v>
      </c>
      <c r="K242">
        <v>237.46</v>
      </c>
      <c r="L242">
        <v>3</v>
      </c>
      <c r="M242">
        <v>712.38</v>
      </c>
      <c r="N242" t="s">
        <v>54</v>
      </c>
      <c r="O242" t="s">
        <v>61</v>
      </c>
    </row>
    <row r="243" spans="1:16" x14ac:dyDescent="0.25">
      <c r="A243" t="s">
        <v>503</v>
      </c>
      <c r="B243" s="4">
        <v>45673</v>
      </c>
      <c r="C243" s="2">
        <v>0.98263888888888884</v>
      </c>
      <c r="D243" t="s">
        <v>16</v>
      </c>
      <c r="E243" t="s">
        <v>229</v>
      </c>
      <c r="F243" s="4"/>
      <c r="G243">
        <v>1993</v>
      </c>
      <c r="H243">
        <v>3</v>
      </c>
      <c r="I243">
        <v>24</v>
      </c>
      <c r="J243" t="s">
        <v>93</v>
      </c>
      <c r="K243">
        <v>208</v>
      </c>
      <c r="L243">
        <v>1</v>
      </c>
      <c r="M243">
        <v>208</v>
      </c>
      <c r="N243" t="s">
        <v>25</v>
      </c>
      <c r="O243" t="s">
        <v>37</v>
      </c>
      <c r="P243" t="s">
        <v>21</v>
      </c>
    </row>
    <row r="244" spans="1:16" x14ac:dyDescent="0.25">
      <c r="A244" t="s">
        <v>504</v>
      </c>
      <c r="B244" t="s">
        <v>505</v>
      </c>
      <c r="C244" s="5">
        <v>0.65277777777777779</v>
      </c>
      <c r="D244" t="s">
        <v>16</v>
      </c>
      <c r="E244" t="s">
        <v>397</v>
      </c>
      <c r="F244" s="4"/>
      <c r="G244">
        <v>1997</v>
      </c>
      <c r="H244">
        <v>7</v>
      </c>
      <c r="I244">
        <v>14</v>
      </c>
      <c r="J244" t="s">
        <v>243</v>
      </c>
      <c r="K244" t="s">
        <v>506</v>
      </c>
      <c r="L244">
        <v>1</v>
      </c>
      <c r="M244">
        <v>116.74</v>
      </c>
      <c r="N244" t="s">
        <v>41</v>
      </c>
      <c r="O244" t="s">
        <v>20</v>
      </c>
      <c r="P244" t="s">
        <v>105</v>
      </c>
    </row>
    <row r="245" spans="1:16" x14ac:dyDescent="0.25">
      <c r="A245" t="s">
        <v>507</v>
      </c>
      <c r="B245" s="4">
        <v>45818</v>
      </c>
      <c r="C245" s="2">
        <v>0.79374999999999996</v>
      </c>
      <c r="D245" t="s">
        <v>16</v>
      </c>
      <c r="E245" t="s">
        <v>256</v>
      </c>
      <c r="G245">
        <v>1991</v>
      </c>
      <c r="H245">
        <v>12</v>
      </c>
      <c r="I245">
        <v>12</v>
      </c>
      <c r="J245" t="s">
        <v>110</v>
      </c>
      <c r="K245">
        <v>135.01</v>
      </c>
      <c r="L245">
        <v>3</v>
      </c>
      <c r="M245">
        <v>405.03</v>
      </c>
      <c r="N245" t="s">
        <v>31</v>
      </c>
      <c r="O245" t="s">
        <v>47</v>
      </c>
      <c r="P245" t="s">
        <v>48</v>
      </c>
    </row>
    <row r="246" spans="1:16" x14ac:dyDescent="0.25">
      <c r="A246" t="s">
        <v>508</v>
      </c>
      <c r="B246" s="1">
        <v>45660</v>
      </c>
      <c r="C246" s="2">
        <v>0.69861111111111107</v>
      </c>
      <c r="D246" t="s">
        <v>16</v>
      </c>
      <c r="E246" t="s">
        <v>397</v>
      </c>
      <c r="J246" t="s">
        <v>213</v>
      </c>
      <c r="K246">
        <v>119.63</v>
      </c>
      <c r="L246">
        <v>2</v>
      </c>
      <c r="M246">
        <v>239.26</v>
      </c>
      <c r="N246" t="s">
        <v>19</v>
      </c>
      <c r="O246" t="s">
        <v>55</v>
      </c>
      <c r="P246" t="s">
        <v>21</v>
      </c>
    </row>
    <row r="247" spans="1:16" x14ac:dyDescent="0.25">
      <c r="A247" t="s">
        <v>509</v>
      </c>
      <c r="B247" s="4">
        <v>45846</v>
      </c>
      <c r="C247" s="2">
        <v>0.72291666666666665</v>
      </c>
      <c r="D247" t="s">
        <v>16</v>
      </c>
      <c r="E247" t="s">
        <v>360</v>
      </c>
      <c r="F247" s="4"/>
      <c r="G247">
        <v>2004</v>
      </c>
      <c r="H247">
        <v>10</v>
      </c>
      <c r="I247">
        <v>8</v>
      </c>
      <c r="J247" t="s">
        <v>126</v>
      </c>
      <c r="K247">
        <v>266.76</v>
      </c>
      <c r="L247">
        <v>2</v>
      </c>
      <c r="M247">
        <v>533.52</v>
      </c>
      <c r="N247" t="s">
        <v>54</v>
      </c>
      <c r="O247" t="s">
        <v>20</v>
      </c>
      <c r="P247" t="s">
        <v>27</v>
      </c>
    </row>
    <row r="248" spans="1:16" x14ac:dyDescent="0.25">
      <c r="A248" t="s">
        <v>510</v>
      </c>
      <c r="B248" s="4">
        <v>45860</v>
      </c>
      <c r="C248" s="3">
        <v>0.65524305555555551</v>
      </c>
      <c r="D248" t="s">
        <v>16</v>
      </c>
      <c r="E248" t="s">
        <v>138</v>
      </c>
      <c r="F248" s="1"/>
      <c r="G248">
        <v>1986</v>
      </c>
      <c r="H248">
        <v>10</v>
      </c>
      <c r="I248">
        <v>16</v>
      </c>
      <c r="J248" t="s">
        <v>178</v>
      </c>
      <c r="K248">
        <v>243.04</v>
      </c>
      <c r="L248">
        <v>1</v>
      </c>
      <c r="M248">
        <v>243.04</v>
      </c>
      <c r="N248" t="s">
        <v>41</v>
      </c>
      <c r="O248" t="s">
        <v>32</v>
      </c>
      <c r="P248" t="s">
        <v>21</v>
      </c>
    </row>
    <row r="249" spans="1:16" x14ac:dyDescent="0.25">
      <c r="A249" t="s">
        <v>511</v>
      </c>
      <c r="B249" s="4">
        <v>45925</v>
      </c>
      <c r="C249" s="3">
        <v>0.47472222222222221</v>
      </c>
      <c r="D249" t="s">
        <v>16</v>
      </c>
      <c r="E249" t="s">
        <v>512</v>
      </c>
      <c r="F249" s="4"/>
      <c r="G249">
        <v>1993</v>
      </c>
      <c r="H249">
        <v>5</v>
      </c>
      <c r="I249">
        <v>10</v>
      </c>
      <c r="J249" t="s">
        <v>141</v>
      </c>
      <c r="K249">
        <v>161.34</v>
      </c>
      <c r="L249">
        <v>2</v>
      </c>
      <c r="M249">
        <v>322.68</v>
      </c>
      <c r="O249" t="s">
        <v>32</v>
      </c>
      <c r="P249" t="s">
        <v>74</v>
      </c>
    </row>
    <row r="250" spans="1:16" x14ac:dyDescent="0.25">
      <c r="A250" t="s">
        <v>513</v>
      </c>
      <c r="B250" s="4">
        <v>45860</v>
      </c>
      <c r="C250" s="2">
        <v>0.92222222222222228</v>
      </c>
      <c r="D250" t="s">
        <v>16</v>
      </c>
      <c r="E250" t="s">
        <v>98</v>
      </c>
      <c r="G250">
        <v>1990</v>
      </c>
      <c r="H250">
        <v>2</v>
      </c>
      <c r="I250">
        <v>26</v>
      </c>
      <c r="J250" t="s">
        <v>45</v>
      </c>
      <c r="K250">
        <v>248.23</v>
      </c>
      <c r="L250">
        <v>2</v>
      </c>
      <c r="M250">
        <v>496.46</v>
      </c>
      <c r="N250" t="s">
        <v>19</v>
      </c>
      <c r="O250" t="s">
        <v>47</v>
      </c>
    </row>
    <row r="251" spans="1:16" x14ac:dyDescent="0.25">
      <c r="A251" t="s">
        <v>514</v>
      </c>
      <c r="B251" s="4">
        <v>45912</v>
      </c>
      <c r="C251" s="5">
        <v>0.9375</v>
      </c>
      <c r="D251" t="s">
        <v>16</v>
      </c>
      <c r="E251" t="s">
        <v>120</v>
      </c>
      <c r="G251">
        <v>1983</v>
      </c>
      <c r="H251">
        <v>4</v>
      </c>
      <c r="I251">
        <v>27</v>
      </c>
      <c r="J251" t="s">
        <v>53</v>
      </c>
      <c r="K251">
        <v>107.5</v>
      </c>
      <c r="L251">
        <v>2</v>
      </c>
      <c r="M251">
        <v>215</v>
      </c>
      <c r="N251" t="s">
        <v>19</v>
      </c>
      <c r="O251" t="s">
        <v>37</v>
      </c>
      <c r="P251" t="s">
        <v>48</v>
      </c>
    </row>
    <row r="252" spans="1:16" x14ac:dyDescent="0.25">
      <c r="A252" t="s">
        <v>515</v>
      </c>
      <c r="B252" s="4">
        <v>45690</v>
      </c>
      <c r="C252" s="2">
        <v>0.5131944444444444</v>
      </c>
      <c r="D252" t="s">
        <v>16</v>
      </c>
      <c r="E252" t="s">
        <v>59</v>
      </c>
      <c r="G252">
        <v>1971</v>
      </c>
      <c r="H252">
        <v>12</v>
      </c>
      <c r="I252">
        <v>2</v>
      </c>
      <c r="J252" t="s">
        <v>53</v>
      </c>
      <c r="K252">
        <v>123.37</v>
      </c>
      <c r="L252">
        <v>3</v>
      </c>
      <c r="M252">
        <v>370.11</v>
      </c>
      <c r="N252" t="s">
        <v>54</v>
      </c>
      <c r="O252" t="s">
        <v>32</v>
      </c>
    </row>
    <row r="253" spans="1:16" x14ac:dyDescent="0.25">
      <c r="A253" t="s">
        <v>516</v>
      </c>
      <c r="B253" t="s">
        <v>517</v>
      </c>
      <c r="C253" s="5">
        <v>0.43472222222222223</v>
      </c>
      <c r="D253" t="s">
        <v>16</v>
      </c>
      <c r="E253" t="s">
        <v>351</v>
      </c>
      <c r="F253" s="4"/>
      <c r="G253">
        <v>1976</v>
      </c>
      <c r="H253">
        <v>4</v>
      </c>
      <c r="I253">
        <v>25</v>
      </c>
      <c r="J253" t="s">
        <v>202</v>
      </c>
      <c r="K253">
        <v>100.17</v>
      </c>
      <c r="L253">
        <v>3</v>
      </c>
      <c r="M253" t="s">
        <v>518</v>
      </c>
      <c r="O253" t="s">
        <v>89</v>
      </c>
      <c r="P253" t="s">
        <v>27</v>
      </c>
    </row>
    <row r="254" spans="1:16" x14ac:dyDescent="0.25">
      <c r="A254" t="s">
        <v>519</v>
      </c>
      <c r="B254" t="s">
        <v>343</v>
      </c>
      <c r="C254" s="2">
        <v>0.60972222222222228</v>
      </c>
      <c r="D254" t="s">
        <v>16</v>
      </c>
      <c r="E254" t="s">
        <v>520</v>
      </c>
      <c r="F254" s="4"/>
      <c r="G254">
        <v>2002</v>
      </c>
      <c r="H254">
        <v>5</v>
      </c>
      <c r="I254">
        <v>2</v>
      </c>
      <c r="J254" t="s">
        <v>93</v>
      </c>
      <c r="K254">
        <v>214.63</v>
      </c>
      <c r="L254">
        <v>2</v>
      </c>
      <c r="M254">
        <v>429.26</v>
      </c>
      <c r="O254" t="s">
        <v>89</v>
      </c>
      <c r="P254" t="s">
        <v>33</v>
      </c>
    </row>
    <row r="255" spans="1:16" x14ac:dyDescent="0.25">
      <c r="A255" t="s">
        <v>521</v>
      </c>
      <c r="B255" s="1">
        <v>45956</v>
      </c>
      <c r="C255" s="3">
        <v>0.56224537037037037</v>
      </c>
      <c r="D255" t="s">
        <v>16</v>
      </c>
      <c r="E255" t="s">
        <v>522</v>
      </c>
      <c r="F255" s="1"/>
      <c r="G255">
        <v>2000</v>
      </c>
      <c r="H255">
        <v>1</v>
      </c>
      <c r="I255">
        <v>1</v>
      </c>
      <c r="J255" t="s">
        <v>45</v>
      </c>
      <c r="K255">
        <v>271.67</v>
      </c>
      <c r="L255">
        <v>2</v>
      </c>
      <c r="M255">
        <v>543.34</v>
      </c>
      <c r="N255" t="s">
        <v>64</v>
      </c>
      <c r="O255" t="s">
        <v>20</v>
      </c>
      <c r="P255" t="s">
        <v>27</v>
      </c>
    </row>
    <row r="256" spans="1:16" x14ac:dyDescent="0.25">
      <c r="A256" t="s">
        <v>523</v>
      </c>
      <c r="B256" s="4">
        <v>45973</v>
      </c>
      <c r="C256" s="5">
        <v>0.72430555555555554</v>
      </c>
      <c r="D256" t="s">
        <v>16</v>
      </c>
      <c r="E256" t="s">
        <v>524</v>
      </c>
      <c r="F256" s="4"/>
      <c r="G256">
        <v>1987</v>
      </c>
      <c r="H256">
        <v>11</v>
      </c>
      <c r="I256">
        <v>23</v>
      </c>
      <c r="J256" t="s">
        <v>18</v>
      </c>
      <c r="K256">
        <v>111.2</v>
      </c>
      <c r="L256">
        <v>-1</v>
      </c>
      <c r="M256">
        <v>-111.2</v>
      </c>
      <c r="N256" t="s">
        <v>19</v>
      </c>
      <c r="O256" t="s">
        <v>89</v>
      </c>
    </row>
    <row r="257" spans="1:16" x14ac:dyDescent="0.25">
      <c r="A257" t="s">
        <v>525</v>
      </c>
      <c r="B257" s="4">
        <v>45869</v>
      </c>
      <c r="C257" s="2">
        <v>0.86597222222222225</v>
      </c>
      <c r="D257" t="s">
        <v>16</v>
      </c>
      <c r="E257" t="s">
        <v>79</v>
      </c>
      <c r="G257">
        <v>1978</v>
      </c>
      <c r="H257">
        <v>12</v>
      </c>
      <c r="I257">
        <v>3</v>
      </c>
      <c r="J257" t="s">
        <v>30</v>
      </c>
      <c r="K257" t="s">
        <v>526</v>
      </c>
      <c r="L257">
        <v>3</v>
      </c>
      <c r="M257">
        <v>913.44</v>
      </c>
      <c r="O257" t="s">
        <v>55</v>
      </c>
      <c r="P257" t="s">
        <v>74</v>
      </c>
    </row>
    <row r="258" spans="1:16" x14ac:dyDescent="0.25">
      <c r="A258" t="s">
        <v>527</v>
      </c>
      <c r="B258" s="4">
        <v>45945</v>
      </c>
      <c r="C258" s="3">
        <v>0.97253472222222226</v>
      </c>
      <c r="D258" t="s">
        <v>16</v>
      </c>
      <c r="E258" t="s">
        <v>528</v>
      </c>
      <c r="F258" s="1"/>
      <c r="G258">
        <v>1993</v>
      </c>
      <c r="H258">
        <v>9</v>
      </c>
      <c r="I258">
        <v>25</v>
      </c>
      <c r="J258" t="s">
        <v>129</v>
      </c>
      <c r="K258">
        <v>144.41</v>
      </c>
      <c r="L258">
        <v>2</v>
      </c>
      <c r="M258">
        <v>288.82</v>
      </c>
      <c r="N258" t="s">
        <v>67</v>
      </c>
      <c r="O258" t="s">
        <v>37</v>
      </c>
      <c r="P258" t="s">
        <v>56</v>
      </c>
    </row>
    <row r="259" spans="1:16" x14ac:dyDescent="0.25">
      <c r="A259" t="s">
        <v>529</v>
      </c>
      <c r="B259" s="4">
        <v>45776</v>
      </c>
      <c r="C259" s="5">
        <v>0.4375</v>
      </c>
      <c r="D259" t="s">
        <v>16</v>
      </c>
      <c r="E259" t="s">
        <v>332</v>
      </c>
      <c r="F259" s="4"/>
      <c r="G259">
        <v>2000</v>
      </c>
      <c r="H259">
        <v>4</v>
      </c>
      <c r="I259">
        <v>11</v>
      </c>
      <c r="J259" t="s">
        <v>85</v>
      </c>
      <c r="K259">
        <v>145.16999999999999</v>
      </c>
      <c r="L259">
        <v>2</v>
      </c>
      <c r="M259">
        <v>290.33999999999997</v>
      </c>
      <c r="N259" t="s">
        <v>41</v>
      </c>
      <c r="O259" t="s">
        <v>55</v>
      </c>
    </row>
    <row r="260" spans="1:16" x14ac:dyDescent="0.25">
      <c r="A260" t="s">
        <v>530</v>
      </c>
      <c r="B260" t="s">
        <v>531</v>
      </c>
      <c r="C260" s="5">
        <v>0.46250000000000002</v>
      </c>
      <c r="D260" t="s">
        <v>16</v>
      </c>
      <c r="E260" t="s">
        <v>140</v>
      </c>
      <c r="F260" s="1"/>
      <c r="G260">
        <v>1976</v>
      </c>
      <c r="H260">
        <v>10</v>
      </c>
      <c r="I260">
        <v>25</v>
      </c>
      <c r="J260" t="s">
        <v>53</v>
      </c>
      <c r="K260">
        <v>101.89</v>
      </c>
      <c r="L260">
        <v>3</v>
      </c>
      <c r="M260">
        <v>305.67</v>
      </c>
      <c r="N260" t="s">
        <v>19</v>
      </c>
      <c r="O260" t="s">
        <v>55</v>
      </c>
      <c r="P260" t="s">
        <v>21</v>
      </c>
    </row>
    <row r="261" spans="1:16" x14ac:dyDescent="0.25">
      <c r="A261" t="s">
        <v>532</v>
      </c>
      <c r="B261" s="4">
        <v>45920</v>
      </c>
      <c r="C261" s="2">
        <v>0.79722222222222228</v>
      </c>
      <c r="D261" t="s">
        <v>16</v>
      </c>
      <c r="E261" t="s">
        <v>264</v>
      </c>
      <c r="G261">
        <v>1998</v>
      </c>
      <c r="H261">
        <v>3</v>
      </c>
      <c r="I261">
        <v>8</v>
      </c>
      <c r="J261" t="s">
        <v>141</v>
      </c>
      <c r="K261">
        <v>143.02000000000001</v>
      </c>
      <c r="L261">
        <v>3</v>
      </c>
      <c r="M261">
        <v>429.06</v>
      </c>
      <c r="N261" t="s">
        <v>54</v>
      </c>
      <c r="O261" t="s">
        <v>47</v>
      </c>
    </row>
    <row r="262" spans="1:16" x14ac:dyDescent="0.25">
      <c r="A262" t="s">
        <v>533</v>
      </c>
      <c r="B262" t="s">
        <v>69</v>
      </c>
      <c r="C262" s="2">
        <v>0.6333333333333333</v>
      </c>
      <c r="D262" t="s">
        <v>16</v>
      </c>
      <c r="E262" t="s">
        <v>370</v>
      </c>
      <c r="F262" s="1"/>
      <c r="G262">
        <v>1999</v>
      </c>
      <c r="H262">
        <v>10</v>
      </c>
      <c r="I262">
        <v>23</v>
      </c>
      <c r="J262" t="s">
        <v>129</v>
      </c>
      <c r="K262">
        <v>156.97999999999999</v>
      </c>
      <c r="L262">
        <v>0</v>
      </c>
      <c r="M262">
        <v>0</v>
      </c>
      <c r="N262" t="s">
        <v>67</v>
      </c>
      <c r="O262" t="s">
        <v>47</v>
      </c>
    </row>
    <row r="263" spans="1:16" x14ac:dyDescent="0.25">
      <c r="A263" t="s">
        <v>534</v>
      </c>
      <c r="B263" t="s">
        <v>271</v>
      </c>
      <c r="C263" s="5">
        <v>0.55902777777777779</v>
      </c>
      <c r="D263" t="s">
        <v>16</v>
      </c>
      <c r="E263" t="s">
        <v>535</v>
      </c>
      <c r="F263" s="4"/>
      <c r="G263">
        <v>1977</v>
      </c>
      <c r="H263">
        <v>3</v>
      </c>
      <c r="I263">
        <v>10</v>
      </c>
      <c r="J263" t="s">
        <v>30</v>
      </c>
      <c r="K263">
        <v>229.75</v>
      </c>
      <c r="L263">
        <v>1</v>
      </c>
      <c r="M263">
        <v>229.75</v>
      </c>
      <c r="N263" t="s">
        <v>19</v>
      </c>
      <c r="O263" t="s">
        <v>55</v>
      </c>
      <c r="P263" t="s">
        <v>27</v>
      </c>
    </row>
    <row r="264" spans="1:16" x14ac:dyDescent="0.25">
      <c r="A264" t="s">
        <v>536</v>
      </c>
      <c r="B264" s="4">
        <v>45811</v>
      </c>
      <c r="C264" s="3">
        <v>0.66612268518518514</v>
      </c>
      <c r="D264" t="s">
        <v>16</v>
      </c>
      <c r="E264" t="s">
        <v>307</v>
      </c>
      <c r="F264" s="4"/>
      <c r="G264">
        <v>1980</v>
      </c>
      <c r="H264">
        <v>9</v>
      </c>
      <c r="I264">
        <v>26</v>
      </c>
      <c r="J264" t="s">
        <v>93</v>
      </c>
      <c r="K264">
        <v>220.57</v>
      </c>
      <c r="L264">
        <v>1</v>
      </c>
      <c r="M264">
        <v>220.57</v>
      </c>
      <c r="N264" t="s">
        <v>25</v>
      </c>
      <c r="O264" t="s">
        <v>37</v>
      </c>
      <c r="P264" t="s">
        <v>56</v>
      </c>
    </row>
    <row r="265" spans="1:16" x14ac:dyDescent="0.25">
      <c r="A265" t="s">
        <v>537</v>
      </c>
      <c r="B265" s="1">
        <v>45743</v>
      </c>
      <c r="C265" s="2">
        <v>0.96388888888888891</v>
      </c>
      <c r="D265" t="s">
        <v>16</v>
      </c>
      <c r="E265" t="s">
        <v>50</v>
      </c>
      <c r="G265">
        <v>2000</v>
      </c>
      <c r="H265">
        <v>11</v>
      </c>
      <c r="I265">
        <v>20</v>
      </c>
      <c r="J265" t="s">
        <v>116</v>
      </c>
      <c r="K265">
        <v>113.21</v>
      </c>
      <c r="L265">
        <v>2</v>
      </c>
      <c r="M265">
        <v>226.42</v>
      </c>
      <c r="N265" t="s">
        <v>54</v>
      </c>
      <c r="O265" t="s">
        <v>47</v>
      </c>
      <c r="P265" t="s">
        <v>33</v>
      </c>
    </row>
    <row r="266" spans="1:16" x14ac:dyDescent="0.25">
      <c r="A266" t="s">
        <v>538</v>
      </c>
      <c r="B266" s="4">
        <v>45720</v>
      </c>
      <c r="C266" s="3">
        <v>0.67591435185185189</v>
      </c>
      <c r="D266" t="s">
        <v>16</v>
      </c>
      <c r="E266" t="s">
        <v>107</v>
      </c>
      <c r="F266" s="4"/>
      <c r="G266">
        <v>1986</v>
      </c>
      <c r="H266">
        <v>9</v>
      </c>
      <c r="I266">
        <v>3</v>
      </c>
      <c r="J266" t="s">
        <v>243</v>
      </c>
      <c r="K266">
        <v>138.74</v>
      </c>
      <c r="L266">
        <v>1</v>
      </c>
      <c r="M266">
        <v>138.74</v>
      </c>
      <c r="N266" t="s">
        <v>19</v>
      </c>
      <c r="O266" t="s">
        <v>32</v>
      </c>
      <c r="P266" t="s">
        <v>21</v>
      </c>
    </row>
    <row r="267" spans="1:16" x14ac:dyDescent="0.25">
      <c r="A267" t="s">
        <v>539</v>
      </c>
      <c r="B267" s="4">
        <v>45767</v>
      </c>
      <c r="C267" s="5">
        <v>0.92847222222222225</v>
      </c>
      <c r="D267" t="s">
        <v>16</v>
      </c>
      <c r="E267" t="s">
        <v>540</v>
      </c>
      <c r="G267">
        <v>1982</v>
      </c>
      <c r="H267">
        <v>6</v>
      </c>
      <c r="I267">
        <v>7</v>
      </c>
      <c r="J267" t="s">
        <v>30</v>
      </c>
      <c r="K267">
        <v>288.14999999999998</v>
      </c>
      <c r="L267">
        <v>-1</v>
      </c>
      <c r="M267">
        <v>-288.14999999999998</v>
      </c>
      <c r="N267" t="s">
        <v>31</v>
      </c>
      <c r="O267" t="s">
        <v>20</v>
      </c>
      <c r="P267" t="s">
        <v>105</v>
      </c>
    </row>
    <row r="268" spans="1:16" x14ac:dyDescent="0.25">
      <c r="A268" t="s">
        <v>541</v>
      </c>
      <c r="B268" s="4">
        <v>45858</v>
      </c>
      <c r="C268" s="5">
        <v>0.97569444444444442</v>
      </c>
      <c r="D268" t="s">
        <v>16</v>
      </c>
      <c r="E268" t="s">
        <v>44</v>
      </c>
      <c r="F268" s="1"/>
      <c r="G268">
        <v>2005</v>
      </c>
      <c r="H268">
        <v>8</v>
      </c>
      <c r="I268">
        <v>24</v>
      </c>
      <c r="J268" t="s">
        <v>85</v>
      </c>
      <c r="K268">
        <v>188.5</v>
      </c>
      <c r="L268">
        <v>1</v>
      </c>
      <c r="M268">
        <v>188.5</v>
      </c>
      <c r="N268" t="s">
        <v>64</v>
      </c>
      <c r="O268" t="s">
        <v>32</v>
      </c>
      <c r="P268" t="s">
        <v>33</v>
      </c>
    </row>
    <row r="269" spans="1:16" x14ac:dyDescent="0.25">
      <c r="A269" t="s">
        <v>542</v>
      </c>
      <c r="B269" t="s">
        <v>543</v>
      </c>
      <c r="C269" s="2">
        <v>0.9506944444444444</v>
      </c>
      <c r="D269" t="s">
        <v>16</v>
      </c>
      <c r="E269" t="s">
        <v>264</v>
      </c>
      <c r="F269" s="1"/>
      <c r="G269">
        <v>1972</v>
      </c>
      <c r="H269">
        <v>3</v>
      </c>
      <c r="I269">
        <v>5</v>
      </c>
      <c r="J269" t="s">
        <v>53</v>
      </c>
      <c r="K269">
        <v>90.19</v>
      </c>
      <c r="L269">
        <v>2</v>
      </c>
      <c r="M269">
        <v>180.38</v>
      </c>
      <c r="N269" t="s">
        <v>41</v>
      </c>
      <c r="O269" t="s">
        <v>55</v>
      </c>
    </row>
    <row r="270" spans="1:16" x14ac:dyDescent="0.25">
      <c r="A270" t="s">
        <v>544</v>
      </c>
      <c r="B270" s="4">
        <v>45630</v>
      </c>
      <c r="C270" s="5">
        <v>0.6791666666666667</v>
      </c>
      <c r="D270" t="s">
        <v>16</v>
      </c>
      <c r="E270" t="s">
        <v>545</v>
      </c>
      <c r="F270" s="4"/>
      <c r="G270">
        <v>2003</v>
      </c>
      <c r="H270">
        <v>1</v>
      </c>
      <c r="I270">
        <v>6</v>
      </c>
      <c r="J270" t="s">
        <v>45</v>
      </c>
      <c r="K270">
        <v>262</v>
      </c>
      <c r="L270">
        <v>2</v>
      </c>
      <c r="M270">
        <v>524</v>
      </c>
      <c r="N270" t="s">
        <v>25</v>
      </c>
      <c r="O270" t="s">
        <v>47</v>
      </c>
    </row>
    <row r="271" spans="1:16" x14ac:dyDescent="0.25">
      <c r="A271" t="s">
        <v>546</v>
      </c>
      <c r="B271" s="4">
        <v>45967</v>
      </c>
      <c r="C271" s="5">
        <v>0.42291666666666666</v>
      </c>
      <c r="D271" t="s">
        <v>16</v>
      </c>
      <c r="E271" t="s">
        <v>107</v>
      </c>
      <c r="F271" s="1"/>
      <c r="G271">
        <v>2006</v>
      </c>
      <c r="H271">
        <v>8</v>
      </c>
      <c r="I271">
        <v>15</v>
      </c>
      <c r="J271" t="s">
        <v>40</v>
      </c>
      <c r="K271">
        <v>212.53</v>
      </c>
      <c r="L271">
        <v>3</v>
      </c>
      <c r="M271">
        <v>637.59</v>
      </c>
      <c r="N271" t="s">
        <v>41</v>
      </c>
      <c r="O271" t="s">
        <v>26</v>
      </c>
      <c r="P271" t="s">
        <v>74</v>
      </c>
    </row>
    <row r="272" spans="1:16" x14ac:dyDescent="0.25">
      <c r="A272" t="s">
        <v>547</v>
      </c>
      <c r="B272" s="4">
        <v>45974</v>
      </c>
      <c r="C272" s="2">
        <v>0.96527777777777779</v>
      </c>
      <c r="D272" t="s">
        <v>16</v>
      </c>
      <c r="E272" t="s">
        <v>548</v>
      </c>
      <c r="F272" s="4"/>
      <c r="G272">
        <v>1983</v>
      </c>
      <c r="H272">
        <v>8</v>
      </c>
      <c r="I272">
        <v>14</v>
      </c>
      <c r="J272" t="s">
        <v>145</v>
      </c>
      <c r="K272">
        <v>116.08</v>
      </c>
      <c r="L272">
        <v>2</v>
      </c>
      <c r="M272">
        <v>232.16</v>
      </c>
      <c r="N272" t="s">
        <v>67</v>
      </c>
      <c r="O272" t="s">
        <v>20</v>
      </c>
      <c r="P272" t="s">
        <v>105</v>
      </c>
    </row>
    <row r="273" spans="1:16" x14ac:dyDescent="0.25">
      <c r="A273" t="s">
        <v>549</v>
      </c>
      <c r="B273" s="4">
        <v>45622</v>
      </c>
      <c r="C273" s="3">
        <v>0.65471064814814817</v>
      </c>
      <c r="D273" t="s">
        <v>16</v>
      </c>
      <c r="E273" t="s">
        <v>550</v>
      </c>
      <c r="F273" s="4"/>
      <c r="G273">
        <v>1985</v>
      </c>
      <c r="H273">
        <v>12</v>
      </c>
      <c r="I273">
        <v>15</v>
      </c>
      <c r="J273" t="s">
        <v>77</v>
      </c>
      <c r="K273">
        <v>207.61</v>
      </c>
      <c r="L273">
        <v>0</v>
      </c>
      <c r="M273">
        <v>0</v>
      </c>
      <c r="N273" t="s">
        <v>41</v>
      </c>
      <c r="O273" t="s">
        <v>47</v>
      </c>
      <c r="P273" t="s">
        <v>105</v>
      </c>
    </row>
    <row r="274" spans="1:16" x14ac:dyDescent="0.25">
      <c r="A274" t="s">
        <v>551</v>
      </c>
      <c r="B274" t="s">
        <v>381</v>
      </c>
      <c r="C274" s="2">
        <v>0.87708333333333333</v>
      </c>
      <c r="D274" t="s">
        <v>16</v>
      </c>
      <c r="E274" t="s">
        <v>23</v>
      </c>
      <c r="F274" s="4"/>
      <c r="G274">
        <v>1973</v>
      </c>
      <c r="H274">
        <v>10</v>
      </c>
      <c r="I274">
        <v>1</v>
      </c>
      <c r="J274" t="s">
        <v>30</v>
      </c>
      <c r="K274">
        <v>217.51</v>
      </c>
      <c r="L274">
        <v>1</v>
      </c>
      <c r="M274">
        <v>217.51</v>
      </c>
      <c r="N274" t="s">
        <v>41</v>
      </c>
      <c r="O274" t="s">
        <v>37</v>
      </c>
      <c r="P274" t="s">
        <v>105</v>
      </c>
    </row>
    <row r="275" spans="1:16" x14ac:dyDescent="0.25">
      <c r="A275" t="s">
        <v>552</v>
      </c>
      <c r="B275" s="1">
        <v>45829</v>
      </c>
      <c r="C275" s="5">
        <v>0.64930555555555558</v>
      </c>
      <c r="D275" t="s">
        <v>16</v>
      </c>
      <c r="E275" t="s">
        <v>198</v>
      </c>
      <c r="G275">
        <v>1997</v>
      </c>
      <c r="H275">
        <v>2</v>
      </c>
      <c r="I275">
        <v>8</v>
      </c>
      <c r="J275" t="s">
        <v>199</v>
      </c>
      <c r="K275">
        <v>197.03</v>
      </c>
      <c r="L275">
        <v>1</v>
      </c>
      <c r="M275">
        <v>197.03</v>
      </c>
      <c r="O275" t="s">
        <v>26</v>
      </c>
    </row>
    <row r="276" spans="1:16" x14ac:dyDescent="0.25">
      <c r="A276" t="s">
        <v>553</v>
      </c>
      <c r="B276" s="4">
        <v>45908</v>
      </c>
      <c r="C276" s="2">
        <v>0.80555555555555558</v>
      </c>
      <c r="D276" t="s">
        <v>16</v>
      </c>
      <c r="E276" t="s">
        <v>194</v>
      </c>
      <c r="J276" t="s">
        <v>60</v>
      </c>
      <c r="K276">
        <v>87.29</v>
      </c>
      <c r="L276">
        <v>1</v>
      </c>
      <c r="M276">
        <v>87.29</v>
      </c>
      <c r="N276" t="s">
        <v>67</v>
      </c>
      <c r="O276" t="s">
        <v>26</v>
      </c>
      <c r="P276" t="s">
        <v>105</v>
      </c>
    </row>
    <row r="277" spans="1:16" x14ac:dyDescent="0.25">
      <c r="A277" t="s">
        <v>554</v>
      </c>
      <c r="B277" s="1">
        <v>45687</v>
      </c>
      <c r="C277" s="5">
        <v>0.54791666666666672</v>
      </c>
      <c r="D277" t="s">
        <v>16</v>
      </c>
      <c r="E277" t="s">
        <v>346</v>
      </c>
      <c r="F277" s="1"/>
      <c r="G277">
        <v>1998</v>
      </c>
      <c r="H277">
        <v>12</v>
      </c>
      <c r="I277">
        <v>11</v>
      </c>
      <c r="J277" t="s">
        <v>202</v>
      </c>
      <c r="K277" t="s">
        <v>555</v>
      </c>
      <c r="L277">
        <v>1</v>
      </c>
      <c r="M277">
        <v>41.77</v>
      </c>
      <c r="N277" t="s">
        <v>67</v>
      </c>
      <c r="O277" t="s">
        <v>47</v>
      </c>
      <c r="P277" t="s">
        <v>74</v>
      </c>
    </row>
    <row r="278" spans="1:16" x14ac:dyDescent="0.25">
      <c r="A278" t="s">
        <v>556</v>
      </c>
      <c r="B278" t="s">
        <v>557</v>
      </c>
      <c r="C278" s="3">
        <v>0.83337962962962964</v>
      </c>
      <c r="D278" t="s">
        <v>16</v>
      </c>
      <c r="E278" t="s">
        <v>558</v>
      </c>
      <c r="F278" s="4"/>
      <c r="G278">
        <v>1983</v>
      </c>
      <c r="H278">
        <v>3</v>
      </c>
      <c r="I278">
        <v>3</v>
      </c>
      <c r="J278" t="s">
        <v>73</v>
      </c>
      <c r="K278">
        <v>50.5</v>
      </c>
      <c r="L278">
        <v>2</v>
      </c>
      <c r="M278">
        <v>101</v>
      </c>
      <c r="O278" t="s">
        <v>26</v>
      </c>
      <c r="P278" t="s">
        <v>56</v>
      </c>
    </row>
    <row r="279" spans="1:16" x14ac:dyDescent="0.25">
      <c r="A279" t="s">
        <v>559</v>
      </c>
      <c r="B279" t="s">
        <v>255</v>
      </c>
      <c r="C279" s="2">
        <v>0.7270833333333333</v>
      </c>
      <c r="D279" t="s">
        <v>16</v>
      </c>
      <c r="E279" t="s">
        <v>131</v>
      </c>
      <c r="F279" s="4"/>
      <c r="G279">
        <v>2000</v>
      </c>
      <c r="H279">
        <v>1</v>
      </c>
      <c r="I279">
        <v>25</v>
      </c>
      <c r="J279" t="s">
        <v>45</v>
      </c>
      <c r="K279">
        <v>167.93</v>
      </c>
      <c r="L279">
        <v>2</v>
      </c>
      <c r="M279">
        <v>335.86</v>
      </c>
      <c r="N279" t="s">
        <v>54</v>
      </c>
      <c r="O279" t="s">
        <v>55</v>
      </c>
    </row>
    <row r="280" spans="1:16" x14ac:dyDescent="0.25">
      <c r="A280" t="s">
        <v>560</v>
      </c>
      <c r="B280" t="s">
        <v>561</v>
      </c>
      <c r="C280" s="3">
        <v>0.6995717592592593</v>
      </c>
      <c r="D280" t="s">
        <v>16</v>
      </c>
      <c r="E280" t="s">
        <v>562</v>
      </c>
      <c r="G280">
        <v>1996</v>
      </c>
      <c r="H280">
        <v>1</v>
      </c>
      <c r="I280">
        <v>4</v>
      </c>
      <c r="J280" t="s">
        <v>85</v>
      </c>
      <c r="K280">
        <v>153.09</v>
      </c>
      <c r="L280">
        <v>2</v>
      </c>
      <c r="M280">
        <v>306.18</v>
      </c>
      <c r="N280" t="s">
        <v>54</v>
      </c>
      <c r="O280" t="s">
        <v>32</v>
      </c>
      <c r="P280" t="s">
        <v>105</v>
      </c>
    </row>
    <row r="281" spans="1:16" x14ac:dyDescent="0.25">
      <c r="A281" t="s">
        <v>563</v>
      </c>
      <c r="B281" s="4">
        <v>45974</v>
      </c>
      <c r="C281" s="2">
        <v>0.60972222222222228</v>
      </c>
      <c r="D281" t="s">
        <v>16</v>
      </c>
      <c r="E281" t="s">
        <v>471</v>
      </c>
      <c r="F281" s="4"/>
      <c r="G281">
        <v>1980</v>
      </c>
      <c r="H281">
        <v>1</v>
      </c>
      <c r="I281">
        <v>4</v>
      </c>
      <c r="J281" t="s">
        <v>145</v>
      </c>
      <c r="K281">
        <v>119.33</v>
      </c>
      <c r="L281">
        <v>2</v>
      </c>
      <c r="M281">
        <v>238.66</v>
      </c>
      <c r="N281" t="s">
        <v>19</v>
      </c>
      <c r="O281" t="s">
        <v>26</v>
      </c>
      <c r="P281" t="s">
        <v>56</v>
      </c>
    </row>
    <row r="282" spans="1:16" x14ac:dyDescent="0.25">
      <c r="A282" t="s">
        <v>564</v>
      </c>
      <c r="B282" s="4">
        <v>45690</v>
      </c>
      <c r="C282" s="3">
        <v>0.89287037037037043</v>
      </c>
      <c r="D282" t="s">
        <v>16</v>
      </c>
      <c r="E282" t="s">
        <v>522</v>
      </c>
      <c r="G282">
        <v>1974</v>
      </c>
      <c r="H282">
        <v>12</v>
      </c>
      <c r="I282">
        <v>14</v>
      </c>
      <c r="J282" t="s">
        <v>178</v>
      </c>
      <c r="K282">
        <v>313.01</v>
      </c>
      <c r="L282">
        <v>1</v>
      </c>
      <c r="M282">
        <v>313.01</v>
      </c>
      <c r="N282" t="s">
        <v>67</v>
      </c>
      <c r="O282" t="s">
        <v>89</v>
      </c>
      <c r="P282" t="s">
        <v>74</v>
      </c>
    </row>
    <row r="283" spans="1:16" x14ac:dyDescent="0.25">
      <c r="A283" t="s">
        <v>565</v>
      </c>
      <c r="B283" s="4">
        <v>45842</v>
      </c>
      <c r="C283" s="5">
        <v>0.98611111111111116</v>
      </c>
      <c r="D283" t="s">
        <v>16</v>
      </c>
      <c r="E283" t="s">
        <v>528</v>
      </c>
      <c r="J283" t="s">
        <v>110</v>
      </c>
      <c r="K283" t="s">
        <v>566</v>
      </c>
      <c r="L283">
        <v>1</v>
      </c>
      <c r="M283">
        <v>127.59</v>
      </c>
      <c r="N283" t="s">
        <v>31</v>
      </c>
      <c r="O283" t="s">
        <v>89</v>
      </c>
    </row>
    <row r="284" spans="1:16" x14ac:dyDescent="0.25">
      <c r="A284" t="s">
        <v>567</v>
      </c>
      <c r="B284" t="s">
        <v>568</v>
      </c>
      <c r="C284" s="3">
        <v>0.64146990740740739</v>
      </c>
      <c r="D284" t="s">
        <v>16</v>
      </c>
      <c r="E284" t="s">
        <v>92</v>
      </c>
      <c r="J284" t="s">
        <v>126</v>
      </c>
      <c r="K284">
        <v>290.39999999999998</v>
      </c>
      <c r="L284">
        <v>1</v>
      </c>
      <c r="M284">
        <v>290.39999999999998</v>
      </c>
      <c r="O284" t="s">
        <v>20</v>
      </c>
      <c r="P284" t="s">
        <v>33</v>
      </c>
    </row>
    <row r="285" spans="1:16" x14ac:dyDescent="0.25">
      <c r="A285" t="s">
        <v>569</v>
      </c>
      <c r="B285" s="1">
        <v>45618</v>
      </c>
      <c r="C285" s="5">
        <v>0.44444444444444442</v>
      </c>
      <c r="D285" t="s">
        <v>16</v>
      </c>
      <c r="E285" t="s">
        <v>151</v>
      </c>
      <c r="F285" s="1"/>
      <c r="G285">
        <v>2001</v>
      </c>
      <c r="H285">
        <v>7</v>
      </c>
      <c r="I285">
        <v>24</v>
      </c>
      <c r="J285" t="s">
        <v>36</v>
      </c>
      <c r="K285">
        <v>49.99</v>
      </c>
      <c r="L285">
        <v>3</v>
      </c>
      <c r="M285">
        <v>162.97</v>
      </c>
      <c r="N285" t="s">
        <v>25</v>
      </c>
      <c r="O285" t="s">
        <v>61</v>
      </c>
      <c r="P285" t="s">
        <v>27</v>
      </c>
    </row>
    <row r="286" spans="1:16" x14ac:dyDescent="0.25">
      <c r="A286" t="s">
        <v>570</v>
      </c>
      <c r="B286" t="s">
        <v>175</v>
      </c>
      <c r="C286" s="5">
        <v>0.8569444444444444</v>
      </c>
      <c r="D286" t="s">
        <v>16</v>
      </c>
      <c r="E286" t="s">
        <v>39</v>
      </c>
      <c r="J286" t="s">
        <v>129</v>
      </c>
      <c r="K286">
        <v>216.21</v>
      </c>
      <c r="L286">
        <v>1</v>
      </c>
      <c r="M286">
        <v>216.21</v>
      </c>
      <c r="O286" t="s">
        <v>26</v>
      </c>
      <c r="P286" t="s">
        <v>56</v>
      </c>
    </row>
    <row r="287" spans="1:16" x14ac:dyDescent="0.25">
      <c r="A287" t="s">
        <v>571</v>
      </c>
      <c r="B287" s="4">
        <v>45731</v>
      </c>
      <c r="C287" s="2">
        <v>0.84791666666666665</v>
      </c>
      <c r="D287" t="s">
        <v>16</v>
      </c>
      <c r="E287" t="s">
        <v>131</v>
      </c>
      <c r="F287" s="4"/>
      <c r="G287">
        <v>1997</v>
      </c>
      <c r="H287">
        <v>4</v>
      </c>
      <c r="I287">
        <v>8</v>
      </c>
      <c r="J287" t="s">
        <v>259</v>
      </c>
      <c r="K287">
        <v>249.15</v>
      </c>
      <c r="L287">
        <v>1</v>
      </c>
      <c r="M287">
        <v>249.15</v>
      </c>
      <c r="N287" t="s">
        <v>64</v>
      </c>
      <c r="O287" t="s">
        <v>32</v>
      </c>
      <c r="P287" t="s">
        <v>27</v>
      </c>
    </row>
    <row r="288" spans="1:16" x14ac:dyDescent="0.25">
      <c r="A288" t="s">
        <v>572</v>
      </c>
      <c r="B288" s="4">
        <v>45883</v>
      </c>
      <c r="C288" s="2">
        <v>0.47569444444444442</v>
      </c>
      <c r="D288" t="s">
        <v>16</v>
      </c>
      <c r="E288" t="s">
        <v>163</v>
      </c>
      <c r="F288" s="4"/>
      <c r="G288">
        <v>1984</v>
      </c>
      <c r="H288">
        <v>8</v>
      </c>
      <c r="I288">
        <v>22</v>
      </c>
      <c r="J288" t="s">
        <v>77</v>
      </c>
      <c r="K288">
        <v>263.61</v>
      </c>
      <c r="L288">
        <v>2</v>
      </c>
      <c r="M288">
        <v>527.22</v>
      </c>
      <c r="N288" t="s">
        <v>54</v>
      </c>
      <c r="O288" t="s">
        <v>32</v>
      </c>
      <c r="P288" t="s">
        <v>27</v>
      </c>
    </row>
    <row r="289" spans="1:16" x14ac:dyDescent="0.25">
      <c r="A289" t="s">
        <v>573</v>
      </c>
      <c r="B289" s="4">
        <v>45724</v>
      </c>
      <c r="C289" s="5">
        <v>0.90763888888888888</v>
      </c>
      <c r="D289" t="s">
        <v>16</v>
      </c>
      <c r="E289" t="s">
        <v>187</v>
      </c>
      <c r="F289" s="1"/>
      <c r="G289">
        <v>1980</v>
      </c>
      <c r="H289">
        <v>1</v>
      </c>
      <c r="I289">
        <v>18</v>
      </c>
      <c r="J289" t="s">
        <v>53</v>
      </c>
      <c r="K289">
        <v>84.23</v>
      </c>
      <c r="L289">
        <v>2</v>
      </c>
      <c r="M289">
        <v>168.46</v>
      </c>
      <c r="N289" t="s">
        <v>54</v>
      </c>
      <c r="O289" t="s">
        <v>89</v>
      </c>
    </row>
    <row r="290" spans="1:16" x14ac:dyDescent="0.25">
      <c r="A290" t="s">
        <v>574</v>
      </c>
      <c r="B290" s="4">
        <v>45952</v>
      </c>
      <c r="C290" s="3">
        <v>0.73923611111111109</v>
      </c>
      <c r="D290" t="s">
        <v>16</v>
      </c>
      <c r="E290" t="s">
        <v>492</v>
      </c>
      <c r="F290" s="1"/>
      <c r="G290">
        <v>1970</v>
      </c>
      <c r="H290">
        <v>6</v>
      </c>
      <c r="I290">
        <v>24</v>
      </c>
      <c r="J290" t="s">
        <v>73</v>
      </c>
      <c r="K290">
        <v>49.59</v>
      </c>
      <c r="L290">
        <v>3</v>
      </c>
      <c r="M290">
        <v>148.77000000000001</v>
      </c>
      <c r="N290" t="s">
        <v>41</v>
      </c>
      <c r="O290" t="s">
        <v>20</v>
      </c>
      <c r="P290" t="s">
        <v>33</v>
      </c>
    </row>
    <row r="291" spans="1:16" x14ac:dyDescent="0.25">
      <c r="A291" t="s">
        <v>575</v>
      </c>
      <c r="B291" t="s">
        <v>576</v>
      </c>
      <c r="C291" s="2">
        <v>0.72152777777777777</v>
      </c>
      <c r="D291" t="s">
        <v>16</v>
      </c>
      <c r="E291" t="s">
        <v>328</v>
      </c>
      <c r="F291" s="4"/>
      <c r="G291">
        <v>1975</v>
      </c>
      <c r="H291">
        <v>8</v>
      </c>
      <c r="I291">
        <v>28</v>
      </c>
      <c r="J291" t="s">
        <v>104</v>
      </c>
      <c r="K291">
        <v>230</v>
      </c>
      <c r="L291">
        <v>2</v>
      </c>
      <c r="M291">
        <v>460</v>
      </c>
      <c r="N291" t="s">
        <v>41</v>
      </c>
      <c r="O291" t="s">
        <v>20</v>
      </c>
    </row>
    <row r="292" spans="1:16" x14ac:dyDescent="0.25">
      <c r="A292" t="s">
        <v>577</v>
      </c>
      <c r="B292" s="1">
        <v>45947</v>
      </c>
      <c r="C292" s="3">
        <v>0.79729166666666662</v>
      </c>
      <c r="D292" t="s">
        <v>16</v>
      </c>
      <c r="E292" t="s">
        <v>17</v>
      </c>
      <c r="F292" s="4"/>
      <c r="G292">
        <v>1971</v>
      </c>
      <c r="H292">
        <v>7</v>
      </c>
      <c r="I292">
        <v>18</v>
      </c>
      <c r="J292" t="s">
        <v>85</v>
      </c>
      <c r="K292">
        <v>90.34</v>
      </c>
      <c r="L292">
        <v>0</v>
      </c>
      <c r="M292">
        <v>0</v>
      </c>
      <c r="N292" t="s">
        <v>54</v>
      </c>
      <c r="O292" t="s">
        <v>37</v>
      </c>
      <c r="P292" t="s">
        <v>33</v>
      </c>
    </row>
    <row r="293" spans="1:16" x14ac:dyDescent="0.25">
      <c r="A293" t="s">
        <v>578</v>
      </c>
      <c r="B293" s="1">
        <v>45951</v>
      </c>
      <c r="C293" s="5">
        <v>0.9916666666666667</v>
      </c>
      <c r="D293" t="s">
        <v>16</v>
      </c>
      <c r="E293" t="s">
        <v>17</v>
      </c>
      <c r="J293" t="s">
        <v>141</v>
      </c>
      <c r="K293">
        <v>110.77</v>
      </c>
      <c r="L293">
        <v>2</v>
      </c>
      <c r="M293">
        <v>221.54</v>
      </c>
      <c r="N293" t="s">
        <v>64</v>
      </c>
      <c r="O293" t="s">
        <v>47</v>
      </c>
      <c r="P293" t="s">
        <v>21</v>
      </c>
    </row>
    <row r="294" spans="1:16" x14ac:dyDescent="0.25">
      <c r="A294" t="s">
        <v>579</v>
      </c>
      <c r="B294" s="4">
        <v>45956</v>
      </c>
      <c r="C294" s="3">
        <v>0.42510416666666667</v>
      </c>
      <c r="D294" t="s">
        <v>16</v>
      </c>
      <c r="E294" t="s">
        <v>39</v>
      </c>
      <c r="F294" s="4"/>
      <c r="G294">
        <v>1992</v>
      </c>
      <c r="H294">
        <v>5</v>
      </c>
      <c r="I294">
        <v>5</v>
      </c>
      <c r="J294" t="s">
        <v>53</v>
      </c>
      <c r="K294">
        <v>101.52</v>
      </c>
      <c r="L294">
        <v>2</v>
      </c>
      <c r="M294">
        <v>203.04</v>
      </c>
      <c r="N294" t="s">
        <v>67</v>
      </c>
      <c r="O294" t="s">
        <v>32</v>
      </c>
    </row>
    <row r="295" spans="1:16" x14ac:dyDescent="0.25">
      <c r="A295" t="s">
        <v>580</v>
      </c>
      <c r="B295" s="4">
        <v>45926</v>
      </c>
      <c r="C295" s="3">
        <v>0.66003472222222226</v>
      </c>
      <c r="D295" t="s">
        <v>16</v>
      </c>
      <c r="E295" t="s">
        <v>334</v>
      </c>
      <c r="G295">
        <v>2004</v>
      </c>
      <c r="H295">
        <v>2</v>
      </c>
      <c r="I295">
        <v>22</v>
      </c>
      <c r="J295" t="s">
        <v>85</v>
      </c>
      <c r="K295">
        <v>165.44</v>
      </c>
      <c r="L295">
        <v>1</v>
      </c>
      <c r="M295">
        <v>165.44</v>
      </c>
      <c r="N295" t="s">
        <v>25</v>
      </c>
      <c r="O295" t="s">
        <v>61</v>
      </c>
      <c r="P295" t="s">
        <v>21</v>
      </c>
    </row>
    <row r="296" spans="1:16" x14ac:dyDescent="0.25">
      <c r="A296" t="s">
        <v>581</v>
      </c>
      <c r="B296" s="1">
        <v>45887</v>
      </c>
      <c r="C296" s="5">
        <v>0.76180555555555551</v>
      </c>
      <c r="D296" t="s">
        <v>16</v>
      </c>
      <c r="E296" t="s">
        <v>582</v>
      </c>
      <c r="F296" s="1"/>
      <c r="G296">
        <v>1981</v>
      </c>
      <c r="H296">
        <v>6</v>
      </c>
      <c r="I296">
        <v>26</v>
      </c>
      <c r="J296" t="s">
        <v>116</v>
      </c>
      <c r="K296" t="s">
        <v>583</v>
      </c>
      <c r="L296">
        <v>1</v>
      </c>
      <c r="M296">
        <v>115.65</v>
      </c>
      <c r="N296" t="s">
        <v>25</v>
      </c>
      <c r="O296" t="s">
        <v>55</v>
      </c>
      <c r="P296" t="s">
        <v>56</v>
      </c>
    </row>
    <row r="297" spans="1:16" x14ac:dyDescent="0.25">
      <c r="A297" t="s">
        <v>584</v>
      </c>
      <c r="B297" t="s">
        <v>585</v>
      </c>
      <c r="C297" s="3">
        <v>0.89526620370370369</v>
      </c>
      <c r="D297" t="s">
        <v>16</v>
      </c>
      <c r="E297" t="s">
        <v>451</v>
      </c>
      <c r="G297">
        <v>1997</v>
      </c>
      <c r="H297">
        <v>9</v>
      </c>
      <c r="I297">
        <v>23</v>
      </c>
      <c r="J297" t="s">
        <v>73</v>
      </c>
      <c r="K297">
        <v>51.41</v>
      </c>
      <c r="L297">
        <v>1</v>
      </c>
      <c r="M297">
        <v>51.41</v>
      </c>
      <c r="O297" t="s">
        <v>55</v>
      </c>
      <c r="P297" t="s">
        <v>74</v>
      </c>
    </row>
    <row r="298" spans="1:16" x14ac:dyDescent="0.25">
      <c r="A298" t="s">
        <v>586</v>
      </c>
      <c r="B298" s="4">
        <v>45963</v>
      </c>
      <c r="C298" s="2">
        <v>0.72986111111111107</v>
      </c>
      <c r="D298" t="s">
        <v>16</v>
      </c>
      <c r="E298" t="s">
        <v>256</v>
      </c>
      <c r="F298" s="4"/>
      <c r="G298">
        <v>2009</v>
      </c>
      <c r="H298">
        <v>4</v>
      </c>
      <c r="I298">
        <v>27</v>
      </c>
      <c r="J298" t="s">
        <v>259</v>
      </c>
      <c r="K298">
        <v>220.07</v>
      </c>
      <c r="L298">
        <v>3</v>
      </c>
      <c r="M298">
        <v>660.21</v>
      </c>
      <c r="N298" t="s">
        <v>64</v>
      </c>
      <c r="O298" t="s">
        <v>37</v>
      </c>
    </row>
    <row r="299" spans="1:16" x14ac:dyDescent="0.25">
      <c r="A299" t="s">
        <v>587</v>
      </c>
      <c r="B299" t="s">
        <v>588</v>
      </c>
      <c r="C299" s="3">
        <v>0.7251157407407407</v>
      </c>
      <c r="D299" t="s">
        <v>16</v>
      </c>
      <c r="E299" t="s">
        <v>324</v>
      </c>
      <c r="F299" s="1"/>
      <c r="G299">
        <v>2004</v>
      </c>
      <c r="H299">
        <v>2</v>
      </c>
      <c r="I299">
        <v>10</v>
      </c>
      <c r="J299" t="s">
        <v>30</v>
      </c>
      <c r="K299">
        <v>313.14999999999998</v>
      </c>
      <c r="L299">
        <v>2</v>
      </c>
      <c r="M299">
        <v>576.29999999999995</v>
      </c>
      <c r="N299" t="s">
        <v>64</v>
      </c>
      <c r="O299" t="s">
        <v>89</v>
      </c>
      <c r="P299" t="s">
        <v>56</v>
      </c>
    </row>
    <row r="300" spans="1:16" x14ac:dyDescent="0.25">
      <c r="A300" t="s">
        <v>589</v>
      </c>
      <c r="C300" s="3">
        <v>0.88292824074074072</v>
      </c>
      <c r="D300" t="s">
        <v>16</v>
      </c>
      <c r="E300" t="s">
        <v>405</v>
      </c>
      <c r="G300">
        <v>1991</v>
      </c>
      <c r="H300">
        <v>12</v>
      </c>
      <c r="I300">
        <v>12</v>
      </c>
      <c r="J300" t="s">
        <v>85</v>
      </c>
      <c r="K300">
        <v>164.01</v>
      </c>
      <c r="L300">
        <v>2</v>
      </c>
      <c r="M300">
        <v>328.02</v>
      </c>
      <c r="N300" t="s">
        <v>41</v>
      </c>
      <c r="O300" t="s">
        <v>32</v>
      </c>
      <c r="P300" t="s">
        <v>74</v>
      </c>
    </row>
    <row r="301" spans="1:16" x14ac:dyDescent="0.25">
      <c r="A301" t="s">
        <v>590</v>
      </c>
      <c r="B301" s="4">
        <v>45619</v>
      </c>
      <c r="C301" s="5">
        <v>0.46666666666666667</v>
      </c>
      <c r="D301" t="s">
        <v>16</v>
      </c>
      <c r="E301" t="s">
        <v>328</v>
      </c>
      <c r="F301" s="1"/>
      <c r="G301">
        <v>1972</v>
      </c>
      <c r="H301">
        <v>3</v>
      </c>
      <c r="I301">
        <v>22</v>
      </c>
      <c r="J301" t="s">
        <v>116</v>
      </c>
      <c r="K301">
        <v>114.78</v>
      </c>
      <c r="L301">
        <v>2</v>
      </c>
      <c r="M301">
        <v>229.56</v>
      </c>
      <c r="N301" t="s">
        <v>54</v>
      </c>
      <c r="O301" t="s">
        <v>37</v>
      </c>
      <c r="P301" t="s">
        <v>27</v>
      </c>
    </row>
    <row r="302" spans="1:16" x14ac:dyDescent="0.25">
      <c r="A302" t="s">
        <v>591</v>
      </c>
      <c r="B302" s="4">
        <v>45793</v>
      </c>
      <c r="C302" s="3">
        <v>0.44714120370370369</v>
      </c>
      <c r="D302" t="s">
        <v>16</v>
      </c>
      <c r="E302" t="s">
        <v>107</v>
      </c>
      <c r="F302" s="4"/>
      <c r="G302">
        <v>1988</v>
      </c>
      <c r="H302">
        <v>5</v>
      </c>
      <c r="I302">
        <v>16</v>
      </c>
      <c r="J302" t="s">
        <v>18</v>
      </c>
      <c r="K302">
        <v>83.25</v>
      </c>
      <c r="L302">
        <v>1</v>
      </c>
      <c r="M302">
        <v>83.25</v>
      </c>
      <c r="N302" t="s">
        <v>41</v>
      </c>
      <c r="O302" t="s">
        <v>47</v>
      </c>
      <c r="P302" t="s">
        <v>27</v>
      </c>
    </row>
    <row r="303" spans="1:16" x14ac:dyDescent="0.25">
      <c r="A303" t="s">
        <v>592</v>
      </c>
      <c r="B303" t="s">
        <v>593</v>
      </c>
      <c r="C303" s="5">
        <v>0.4284722222222222</v>
      </c>
      <c r="D303" t="s">
        <v>16</v>
      </c>
      <c r="E303" t="s">
        <v>594</v>
      </c>
      <c r="F303" s="1"/>
      <c r="G303">
        <v>1973</v>
      </c>
      <c r="H303">
        <v>7</v>
      </c>
      <c r="I303">
        <v>14</v>
      </c>
      <c r="J303" t="s">
        <v>116</v>
      </c>
      <c r="K303">
        <v>207.89</v>
      </c>
      <c r="L303">
        <v>2</v>
      </c>
      <c r="M303">
        <v>415.78</v>
      </c>
      <c r="N303" t="s">
        <v>54</v>
      </c>
      <c r="O303" t="s">
        <v>55</v>
      </c>
      <c r="P303" t="s">
        <v>56</v>
      </c>
    </row>
    <row r="304" spans="1:16" x14ac:dyDescent="0.25">
      <c r="A304" t="s">
        <v>595</v>
      </c>
      <c r="B304" s="1">
        <v>45725</v>
      </c>
      <c r="C304" s="5">
        <v>0.79583333333333328</v>
      </c>
      <c r="D304" t="s">
        <v>16</v>
      </c>
      <c r="E304" t="s">
        <v>166</v>
      </c>
      <c r="G304">
        <v>1976</v>
      </c>
      <c r="H304">
        <v>11</v>
      </c>
      <c r="I304">
        <v>1</v>
      </c>
      <c r="J304" t="s">
        <v>259</v>
      </c>
      <c r="K304">
        <v>107.5</v>
      </c>
      <c r="L304">
        <v>3</v>
      </c>
      <c r="M304">
        <v>322.5</v>
      </c>
      <c r="N304" t="s">
        <v>67</v>
      </c>
      <c r="O304" t="s">
        <v>47</v>
      </c>
    </row>
    <row r="305" spans="1:16" x14ac:dyDescent="0.25">
      <c r="A305" t="s">
        <v>596</v>
      </c>
      <c r="B305" s="1">
        <v>45667</v>
      </c>
      <c r="C305" s="5">
        <v>0.61527777777777781</v>
      </c>
      <c r="D305" t="s">
        <v>16</v>
      </c>
      <c r="E305" t="s">
        <v>597</v>
      </c>
      <c r="G305">
        <v>2005</v>
      </c>
      <c r="H305">
        <v>12</v>
      </c>
      <c r="I305">
        <v>9</v>
      </c>
      <c r="J305" t="s">
        <v>40</v>
      </c>
      <c r="K305">
        <v>191.12</v>
      </c>
      <c r="L305">
        <v>1</v>
      </c>
      <c r="M305">
        <v>191.12</v>
      </c>
      <c r="N305" t="s">
        <v>41</v>
      </c>
      <c r="O305" t="s">
        <v>89</v>
      </c>
      <c r="P305" t="s">
        <v>105</v>
      </c>
    </row>
    <row r="306" spans="1:16" x14ac:dyDescent="0.25">
      <c r="A306" t="s">
        <v>598</v>
      </c>
      <c r="B306" s="4">
        <v>45906</v>
      </c>
      <c r="C306" s="3">
        <v>0.91140046296296295</v>
      </c>
      <c r="D306" t="s">
        <v>16</v>
      </c>
      <c r="E306" t="s">
        <v>256</v>
      </c>
      <c r="F306" s="4"/>
      <c r="G306">
        <v>1980</v>
      </c>
      <c r="H306">
        <v>8</v>
      </c>
      <c r="I306">
        <v>25</v>
      </c>
      <c r="J306" t="s">
        <v>178</v>
      </c>
      <c r="L306">
        <v>3</v>
      </c>
      <c r="N306" t="s">
        <v>25</v>
      </c>
      <c r="O306" t="s">
        <v>89</v>
      </c>
      <c r="P306" t="s">
        <v>33</v>
      </c>
    </row>
    <row r="307" spans="1:16" x14ac:dyDescent="0.25">
      <c r="A307" t="s">
        <v>599</v>
      </c>
      <c r="B307" s="4">
        <v>45768</v>
      </c>
      <c r="C307" s="2">
        <v>0.50972222222222219</v>
      </c>
      <c r="D307" t="s">
        <v>16</v>
      </c>
      <c r="E307" t="s">
        <v>600</v>
      </c>
      <c r="F307" s="4"/>
      <c r="G307">
        <v>1987</v>
      </c>
      <c r="H307">
        <v>3</v>
      </c>
      <c r="I307">
        <v>9</v>
      </c>
      <c r="J307" t="s">
        <v>45</v>
      </c>
      <c r="K307">
        <v>189.15</v>
      </c>
      <c r="L307">
        <v>1</v>
      </c>
      <c r="M307">
        <v>189.15</v>
      </c>
      <c r="N307" t="s">
        <v>64</v>
      </c>
      <c r="O307" t="s">
        <v>55</v>
      </c>
      <c r="P307" t="s">
        <v>105</v>
      </c>
    </row>
    <row r="308" spans="1:16" x14ac:dyDescent="0.25">
      <c r="A308" t="s">
        <v>601</v>
      </c>
      <c r="B308" s="1">
        <v>45799</v>
      </c>
      <c r="C308" s="2">
        <v>0.51111111111111107</v>
      </c>
      <c r="D308" t="s">
        <v>16</v>
      </c>
      <c r="E308" t="s">
        <v>79</v>
      </c>
      <c r="F308" s="4"/>
      <c r="G308">
        <v>1994</v>
      </c>
      <c r="H308">
        <v>11</v>
      </c>
      <c r="I308">
        <v>9</v>
      </c>
      <c r="J308" t="s">
        <v>129</v>
      </c>
      <c r="K308">
        <v>165.5</v>
      </c>
      <c r="L308">
        <v>2</v>
      </c>
      <c r="M308">
        <v>331</v>
      </c>
      <c r="O308" t="s">
        <v>37</v>
      </c>
    </row>
    <row r="309" spans="1:16" x14ac:dyDescent="0.25">
      <c r="A309" t="s">
        <v>602</v>
      </c>
      <c r="B309" s="4">
        <v>45711</v>
      </c>
      <c r="C309" s="2">
        <v>0.56666666666666665</v>
      </c>
      <c r="D309" t="s">
        <v>16</v>
      </c>
      <c r="E309" t="s">
        <v>603</v>
      </c>
      <c r="F309" s="1"/>
      <c r="G309">
        <v>1981</v>
      </c>
      <c r="H309">
        <v>7</v>
      </c>
      <c r="I309">
        <v>22</v>
      </c>
      <c r="J309" t="s">
        <v>104</v>
      </c>
      <c r="L309">
        <v>1</v>
      </c>
      <c r="N309" t="s">
        <v>54</v>
      </c>
      <c r="O309" t="s">
        <v>55</v>
      </c>
      <c r="P309" t="s">
        <v>27</v>
      </c>
    </row>
    <row r="310" spans="1:16" x14ac:dyDescent="0.25">
      <c r="A310" t="s">
        <v>604</v>
      </c>
      <c r="B310" s="1">
        <v>45744</v>
      </c>
      <c r="C310" s="5">
        <v>0.52777777777777779</v>
      </c>
      <c r="D310" t="s">
        <v>16</v>
      </c>
      <c r="E310" t="s">
        <v>405</v>
      </c>
      <c r="G310">
        <v>1975</v>
      </c>
      <c r="H310">
        <v>4</v>
      </c>
      <c r="I310">
        <v>5</v>
      </c>
      <c r="J310" t="s">
        <v>116</v>
      </c>
      <c r="K310">
        <v>265.7</v>
      </c>
      <c r="L310">
        <v>1</v>
      </c>
      <c r="M310">
        <v>265.7</v>
      </c>
      <c r="N310" t="s">
        <v>41</v>
      </c>
      <c r="O310" t="s">
        <v>55</v>
      </c>
      <c r="P310" t="s">
        <v>33</v>
      </c>
    </row>
    <row r="311" spans="1:16" x14ac:dyDescent="0.25">
      <c r="A311" t="s">
        <v>605</v>
      </c>
      <c r="B311" t="s">
        <v>606</v>
      </c>
      <c r="C311" s="3">
        <v>0.51575231481481476</v>
      </c>
      <c r="D311" t="s">
        <v>16</v>
      </c>
      <c r="E311" t="s">
        <v>84</v>
      </c>
      <c r="F311" s="4"/>
      <c r="G311">
        <v>1977</v>
      </c>
      <c r="H311">
        <v>8</v>
      </c>
      <c r="I311">
        <v>6</v>
      </c>
      <c r="J311" t="s">
        <v>77</v>
      </c>
      <c r="K311">
        <v>239.79</v>
      </c>
      <c r="L311">
        <v>3</v>
      </c>
      <c r="M311">
        <v>719.37</v>
      </c>
      <c r="N311" t="s">
        <v>25</v>
      </c>
      <c r="O311" t="s">
        <v>89</v>
      </c>
      <c r="P311" t="s">
        <v>56</v>
      </c>
    </row>
    <row r="312" spans="1:16" x14ac:dyDescent="0.25">
      <c r="A312" t="s">
        <v>607</v>
      </c>
      <c r="B312" t="s">
        <v>608</v>
      </c>
      <c r="C312" s="3">
        <v>0.84998842592592594</v>
      </c>
      <c r="D312" t="s">
        <v>16</v>
      </c>
      <c r="E312" t="s">
        <v>295</v>
      </c>
      <c r="F312" s="1"/>
      <c r="G312">
        <v>1979</v>
      </c>
      <c r="H312">
        <v>11</v>
      </c>
      <c r="I312">
        <v>5</v>
      </c>
      <c r="J312" t="s">
        <v>164</v>
      </c>
      <c r="K312">
        <v>248.71</v>
      </c>
      <c r="L312">
        <v>2</v>
      </c>
      <c r="M312">
        <v>497.42</v>
      </c>
      <c r="N312" t="s">
        <v>31</v>
      </c>
      <c r="O312" t="s">
        <v>32</v>
      </c>
      <c r="P312" t="s">
        <v>27</v>
      </c>
    </row>
    <row r="313" spans="1:16" x14ac:dyDescent="0.25">
      <c r="A313" t="s">
        <v>609</v>
      </c>
      <c r="B313" t="s">
        <v>610</v>
      </c>
      <c r="C313" s="2">
        <v>0.69097222222222221</v>
      </c>
      <c r="D313" t="s">
        <v>16</v>
      </c>
      <c r="E313" t="s">
        <v>189</v>
      </c>
      <c r="F313" s="4"/>
      <c r="G313">
        <v>1994</v>
      </c>
      <c r="H313">
        <v>2</v>
      </c>
      <c r="I313">
        <v>19</v>
      </c>
      <c r="J313" t="s">
        <v>126</v>
      </c>
      <c r="K313" t="s">
        <v>611</v>
      </c>
      <c r="L313">
        <v>3</v>
      </c>
      <c r="M313">
        <v>641.1</v>
      </c>
      <c r="N313" t="s">
        <v>19</v>
      </c>
      <c r="O313" t="s">
        <v>55</v>
      </c>
      <c r="P313" t="s">
        <v>56</v>
      </c>
    </row>
    <row r="314" spans="1:16" x14ac:dyDescent="0.25">
      <c r="A314" t="s">
        <v>612</v>
      </c>
      <c r="B314" s="4">
        <v>45801</v>
      </c>
      <c r="C314" s="2">
        <v>0.60347222222222219</v>
      </c>
      <c r="D314" t="s">
        <v>16</v>
      </c>
      <c r="E314" t="s">
        <v>95</v>
      </c>
      <c r="G314">
        <v>1991</v>
      </c>
      <c r="H314">
        <v>12</v>
      </c>
      <c r="I314">
        <v>12</v>
      </c>
      <c r="J314" t="s">
        <v>73</v>
      </c>
      <c r="K314">
        <v>43.43</v>
      </c>
      <c r="L314">
        <v>2</v>
      </c>
      <c r="M314">
        <v>86.86</v>
      </c>
      <c r="N314" t="s">
        <v>54</v>
      </c>
      <c r="O314" t="s">
        <v>20</v>
      </c>
      <c r="P314" t="s">
        <v>27</v>
      </c>
    </row>
    <row r="315" spans="1:16" x14ac:dyDescent="0.25">
      <c r="A315" t="s">
        <v>613</v>
      </c>
      <c r="B315" s="4">
        <v>45710</v>
      </c>
      <c r="C315" s="3">
        <v>0.89842592592592596</v>
      </c>
      <c r="D315" t="s">
        <v>16</v>
      </c>
      <c r="E315" t="s">
        <v>187</v>
      </c>
      <c r="F315" s="4"/>
      <c r="G315">
        <v>1970</v>
      </c>
      <c r="H315">
        <v>5</v>
      </c>
      <c r="I315">
        <v>4</v>
      </c>
      <c r="J315" t="s">
        <v>199</v>
      </c>
      <c r="K315">
        <v>197.68</v>
      </c>
      <c r="L315">
        <v>2</v>
      </c>
      <c r="M315">
        <v>395.36</v>
      </c>
      <c r="N315" t="s">
        <v>41</v>
      </c>
      <c r="O315" t="s">
        <v>89</v>
      </c>
      <c r="P315" t="s">
        <v>21</v>
      </c>
    </row>
    <row r="316" spans="1:16" x14ac:dyDescent="0.25">
      <c r="A316" t="s">
        <v>614</v>
      </c>
      <c r="B316" s="4">
        <v>45884</v>
      </c>
      <c r="C316" s="2">
        <v>0.88402777777777775</v>
      </c>
      <c r="D316" t="s">
        <v>16</v>
      </c>
      <c r="E316" t="s">
        <v>252</v>
      </c>
      <c r="F316" s="1"/>
      <c r="G316">
        <v>2005</v>
      </c>
      <c r="H316">
        <v>10</v>
      </c>
      <c r="I316">
        <v>27</v>
      </c>
      <c r="J316" t="s">
        <v>53</v>
      </c>
      <c r="K316">
        <v>88.42</v>
      </c>
      <c r="L316">
        <v>2</v>
      </c>
      <c r="M316">
        <v>162.84</v>
      </c>
      <c r="N316" t="s">
        <v>19</v>
      </c>
      <c r="O316" t="s">
        <v>26</v>
      </c>
      <c r="P316" t="s">
        <v>33</v>
      </c>
    </row>
    <row r="317" spans="1:16" x14ac:dyDescent="0.25">
      <c r="A317" t="s">
        <v>615</v>
      </c>
      <c r="C317" s="5">
        <v>0.59166666666666667</v>
      </c>
      <c r="D317" t="s">
        <v>16</v>
      </c>
      <c r="E317" t="s">
        <v>346</v>
      </c>
      <c r="G317">
        <v>2006</v>
      </c>
      <c r="H317">
        <v>10</v>
      </c>
      <c r="I317">
        <v>2</v>
      </c>
      <c r="J317" t="s">
        <v>199</v>
      </c>
      <c r="K317">
        <v>250.25</v>
      </c>
      <c r="L317">
        <v>1</v>
      </c>
      <c r="M317">
        <v>250.25</v>
      </c>
      <c r="N317" t="s">
        <v>31</v>
      </c>
      <c r="O317" t="s">
        <v>26</v>
      </c>
    </row>
    <row r="318" spans="1:16" x14ac:dyDescent="0.25">
      <c r="A318" t="s">
        <v>616</v>
      </c>
      <c r="C318" s="2">
        <v>0.93333333333333335</v>
      </c>
      <c r="D318" t="s">
        <v>16</v>
      </c>
      <c r="E318" t="s">
        <v>351</v>
      </c>
      <c r="F318" s="4"/>
      <c r="G318">
        <v>1975</v>
      </c>
      <c r="H318">
        <v>11</v>
      </c>
      <c r="I318">
        <v>3</v>
      </c>
      <c r="J318" t="s">
        <v>85</v>
      </c>
      <c r="K318">
        <v>166.69</v>
      </c>
      <c r="L318">
        <v>1</v>
      </c>
      <c r="M318">
        <v>166.69</v>
      </c>
      <c r="N318" t="s">
        <v>31</v>
      </c>
      <c r="O318" t="s">
        <v>55</v>
      </c>
      <c r="P318" t="s">
        <v>74</v>
      </c>
    </row>
    <row r="319" spans="1:16" x14ac:dyDescent="0.25">
      <c r="A319" t="s">
        <v>617</v>
      </c>
      <c r="B319" s="4">
        <v>45739</v>
      </c>
      <c r="C319" s="3">
        <v>0.52546296296296291</v>
      </c>
      <c r="D319" t="s">
        <v>16</v>
      </c>
      <c r="E319" t="s">
        <v>211</v>
      </c>
      <c r="G319">
        <v>2005</v>
      </c>
      <c r="H319">
        <v>2</v>
      </c>
      <c r="I319">
        <v>16</v>
      </c>
      <c r="J319" t="s">
        <v>60</v>
      </c>
      <c r="K319">
        <v>269.17</v>
      </c>
      <c r="L319">
        <v>2</v>
      </c>
      <c r="M319">
        <v>538.34</v>
      </c>
      <c r="N319" t="s">
        <v>19</v>
      </c>
      <c r="O319" t="s">
        <v>61</v>
      </c>
      <c r="P319" t="s">
        <v>105</v>
      </c>
    </row>
    <row r="320" spans="1:16" x14ac:dyDescent="0.25">
      <c r="A320" t="s">
        <v>618</v>
      </c>
      <c r="B320" t="s">
        <v>619</v>
      </c>
      <c r="C320" s="2">
        <v>0.70416666666666672</v>
      </c>
      <c r="D320" t="s">
        <v>16</v>
      </c>
      <c r="E320" t="s">
        <v>358</v>
      </c>
      <c r="F320" s="4"/>
      <c r="G320">
        <v>1990</v>
      </c>
      <c r="H320">
        <v>6</v>
      </c>
      <c r="I320">
        <v>3</v>
      </c>
      <c r="J320" t="s">
        <v>77</v>
      </c>
      <c r="K320">
        <v>148.56</v>
      </c>
      <c r="L320">
        <v>3</v>
      </c>
      <c r="M320">
        <v>445.68</v>
      </c>
      <c r="N320" t="s">
        <v>31</v>
      </c>
      <c r="O320" t="s">
        <v>61</v>
      </c>
      <c r="P320" t="s">
        <v>21</v>
      </c>
    </row>
    <row r="321" spans="1:16" x14ac:dyDescent="0.25">
      <c r="A321" t="s">
        <v>620</v>
      </c>
      <c r="B321" t="s">
        <v>621</v>
      </c>
      <c r="C321" s="2">
        <v>0.46180555555555558</v>
      </c>
      <c r="D321" t="s">
        <v>16</v>
      </c>
      <c r="E321" t="s">
        <v>622</v>
      </c>
      <c r="F321" s="4"/>
      <c r="G321">
        <v>1991</v>
      </c>
      <c r="H321">
        <v>2</v>
      </c>
      <c r="I321">
        <v>11</v>
      </c>
      <c r="J321" t="s">
        <v>110</v>
      </c>
      <c r="K321">
        <v>112.73</v>
      </c>
      <c r="L321">
        <v>2</v>
      </c>
      <c r="M321">
        <v>221.46</v>
      </c>
      <c r="O321" t="s">
        <v>47</v>
      </c>
      <c r="P321" t="s">
        <v>105</v>
      </c>
    </row>
    <row r="322" spans="1:16" x14ac:dyDescent="0.25">
      <c r="A322" t="s">
        <v>623</v>
      </c>
      <c r="B322" t="s">
        <v>224</v>
      </c>
      <c r="C322" s="5">
        <v>0.59444444444444444</v>
      </c>
      <c r="D322" t="s">
        <v>16</v>
      </c>
      <c r="E322" t="s">
        <v>624</v>
      </c>
      <c r="F322" s="4"/>
      <c r="G322">
        <v>1989</v>
      </c>
      <c r="H322">
        <v>12</v>
      </c>
      <c r="I322">
        <v>15</v>
      </c>
      <c r="J322" t="s">
        <v>164</v>
      </c>
      <c r="K322">
        <v>350.34</v>
      </c>
      <c r="L322">
        <v>3</v>
      </c>
      <c r="M322">
        <v>1051.02</v>
      </c>
      <c r="N322" t="s">
        <v>31</v>
      </c>
      <c r="O322" t="s">
        <v>32</v>
      </c>
      <c r="P322" t="s">
        <v>74</v>
      </c>
    </row>
    <row r="323" spans="1:16" x14ac:dyDescent="0.25">
      <c r="A323" t="s">
        <v>625</v>
      </c>
      <c r="B323" s="4">
        <v>45622</v>
      </c>
      <c r="C323" s="2">
        <v>0.49027777777777776</v>
      </c>
      <c r="D323" t="s">
        <v>16</v>
      </c>
      <c r="E323" t="s">
        <v>161</v>
      </c>
      <c r="F323" s="1"/>
      <c r="G323">
        <v>1990</v>
      </c>
      <c r="H323">
        <v>1</v>
      </c>
      <c r="I323">
        <v>5</v>
      </c>
      <c r="J323" t="s">
        <v>110</v>
      </c>
      <c r="K323" t="s">
        <v>626</v>
      </c>
      <c r="L323">
        <v>1</v>
      </c>
      <c r="M323">
        <v>116.03</v>
      </c>
      <c r="N323" t="s">
        <v>19</v>
      </c>
      <c r="O323" t="s">
        <v>55</v>
      </c>
      <c r="P323" t="s">
        <v>33</v>
      </c>
    </row>
    <row r="324" spans="1:16" x14ac:dyDescent="0.25">
      <c r="A324" t="s">
        <v>627</v>
      </c>
      <c r="B324" s="4">
        <v>45713</v>
      </c>
      <c r="C324" s="3">
        <v>0.8084837962962963</v>
      </c>
      <c r="D324" t="s">
        <v>16</v>
      </c>
      <c r="E324" t="s">
        <v>628</v>
      </c>
      <c r="F324" s="4"/>
      <c r="G324">
        <v>1970</v>
      </c>
      <c r="H324">
        <v>6</v>
      </c>
      <c r="I324">
        <v>27</v>
      </c>
      <c r="J324" t="s">
        <v>126</v>
      </c>
      <c r="K324">
        <v>97.96</v>
      </c>
      <c r="L324">
        <v>1</v>
      </c>
      <c r="M324">
        <v>97.96</v>
      </c>
      <c r="N324" t="s">
        <v>64</v>
      </c>
      <c r="O324" t="s">
        <v>37</v>
      </c>
    </row>
    <row r="325" spans="1:16" x14ac:dyDescent="0.25">
      <c r="A325" t="s">
        <v>629</v>
      </c>
      <c r="B325" t="s">
        <v>630</v>
      </c>
      <c r="C325" s="2">
        <v>0.6791666666666667</v>
      </c>
      <c r="D325" t="s">
        <v>16</v>
      </c>
      <c r="E325" t="s">
        <v>131</v>
      </c>
      <c r="G325">
        <v>1991</v>
      </c>
      <c r="H325">
        <v>12</v>
      </c>
      <c r="I325">
        <v>12</v>
      </c>
      <c r="J325" t="s">
        <v>73</v>
      </c>
      <c r="K325">
        <v>38.07</v>
      </c>
      <c r="L325">
        <v>2</v>
      </c>
      <c r="M325">
        <v>76.14</v>
      </c>
      <c r="O325" t="s">
        <v>20</v>
      </c>
      <c r="P325" t="s">
        <v>21</v>
      </c>
    </row>
    <row r="326" spans="1:16" x14ac:dyDescent="0.25">
      <c r="A326" t="s">
        <v>631</v>
      </c>
      <c r="B326" s="4">
        <v>45717</v>
      </c>
      <c r="C326" s="3">
        <v>0.66039351851851846</v>
      </c>
      <c r="D326" t="s">
        <v>16</v>
      </c>
      <c r="E326" t="s">
        <v>632</v>
      </c>
      <c r="F326" s="1"/>
      <c r="G326">
        <v>1984</v>
      </c>
      <c r="H326">
        <v>9</v>
      </c>
      <c r="I326">
        <v>10</v>
      </c>
      <c r="J326" t="s">
        <v>36</v>
      </c>
      <c r="L326">
        <v>3</v>
      </c>
      <c r="N326" t="s">
        <v>64</v>
      </c>
      <c r="O326" t="s">
        <v>32</v>
      </c>
      <c r="P326" t="s">
        <v>27</v>
      </c>
    </row>
    <row r="327" spans="1:16" x14ac:dyDescent="0.25">
      <c r="A327" t="s">
        <v>633</v>
      </c>
      <c r="B327" s="4">
        <v>45909</v>
      </c>
      <c r="C327" s="2">
        <v>0.76736111111111116</v>
      </c>
      <c r="D327" t="s">
        <v>16</v>
      </c>
      <c r="E327" t="s">
        <v>144</v>
      </c>
      <c r="G327">
        <v>2006</v>
      </c>
      <c r="H327">
        <v>7</v>
      </c>
      <c r="I327">
        <v>5</v>
      </c>
      <c r="J327" t="s">
        <v>145</v>
      </c>
      <c r="K327">
        <v>290.86</v>
      </c>
      <c r="L327">
        <v>2</v>
      </c>
      <c r="M327">
        <v>581.72</v>
      </c>
      <c r="N327" t="s">
        <v>64</v>
      </c>
      <c r="O327" t="s">
        <v>47</v>
      </c>
      <c r="P327" t="s">
        <v>21</v>
      </c>
    </row>
    <row r="328" spans="1:16" x14ac:dyDescent="0.25">
      <c r="A328" t="s">
        <v>634</v>
      </c>
      <c r="C328" s="2">
        <v>0.44444444444444442</v>
      </c>
      <c r="D328" t="s">
        <v>16</v>
      </c>
      <c r="E328" t="s">
        <v>59</v>
      </c>
      <c r="J328" t="s">
        <v>259</v>
      </c>
      <c r="K328">
        <v>361.84</v>
      </c>
      <c r="L328">
        <v>1</v>
      </c>
      <c r="M328">
        <v>361.84</v>
      </c>
      <c r="N328" t="s">
        <v>31</v>
      </c>
      <c r="O328" t="s">
        <v>89</v>
      </c>
      <c r="P328" t="s">
        <v>105</v>
      </c>
    </row>
    <row r="329" spans="1:16" x14ac:dyDescent="0.25">
      <c r="A329" t="s">
        <v>635</v>
      </c>
      <c r="B329" s="4">
        <v>45757</v>
      </c>
      <c r="C329" s="2">
        <v>0.83402777777777781</v>
      </c>
      <c r="D329" t="s">
        <v>16</v>
      </c>
      <c r="E329" t="s">
        <v>246</v>
      </c>
      <c r="F329" s="4"/>
      <c r="G329">
        <v>1976</v>
      </c>
      <c r="H329">
        <v>3</v>
      </c>
      <c r="I329">
        <v>10</v>
      </c>
      <c r="J329" t="s">
        <v>53</v>
      </c>
      <c r="K329">
        <v>85.53</v>
      </c>
      <c r="L329">
        <v>2</v>
      </c>
      <c r="M329">
        <v>171.06</v>
      </c>
      <c r="N329" t="s">
        <v>41</v>
      </c>
      <c r="O329" t="s">
        <v>37</v>
      </c>
      <c r="P329" t="s">
        <v>48</v>
      </c>
    </row>
    <row r="330" spans="1:16" x14ac:dyDescent="0.25">
      <c r="A330" t="s">
        <v>636</v>
      </c>
      <c r="B330" s="4">
        <v>45622</v>
      </c>
      <c r="C330" s="3">
        <v>0.47317129629629628</v>
      </c>
      <c r="D330" t="s">
        <v>16</v>
      </c>
      <c r="E330" t="s">
        <v>360</v>
      </c>
      <c r="F330" s="4"/>
      <c r="G330">
        <v>1986</v>
      </c>
      <c r="H330">
        <v>2</v>
      </c>
      <c r="I330">
        <v>7</v>
      </c>
      <c r="J330" t="s">
        <v>40</v>
      </c>
      <c r="K330">
        <v>162.76</v>
      </c>
      <c r="L330">
        <v>2</v>
      </c>
      <c r="M330">
        <v>325.52</v>
      </c>
      <c r="N330" t="s">
        <v>25</v>
      </c>
      <c r="O330" t="s">
        <v>61</v>
      </c>
    </row>
    <row r="331" spans="1:16" x14ac:dyDescent="0.25">
      <c r="A331" t="s">
        <v>637</v>
      </c>
      <c r="B331" t="s">
        <v>496</v>
      </c>
      <c r="C331" s="5">
        <v>0.55277777777777781</v>
      </c>
      <c r="D331" t="s">
        <v>16</v>
      </c>
      <c r="E331" t="s">
        <v>225</v>
      </c>
      <c r="F331" s="1"/>
      <c r="G331">
        <v>2007</v>
      </c>
      <c r="H331">
        <v>5</v>
      </c>
      <c r="I331">
        <v>6</v>
      </c>
      <c r="J331" t="s">
        <v>77</v>
      </c>
      <c r="K331">
        <v>176.09</v>
      </c>
      <c r="L331">
        <v>1</v>
      </c>
      <c r="M331">
        <v>176.09</v>
      </c>
      <c r="N331" t="s">
        <v>25</v>
      </c>
      <c r="O331" t="s">
        <v>20</v>
      </c>
      <c r="P331" t="s">
        <v>48</v>
      </c>
    </row>
    <row r="332" spans="1:16" x14ac:dyDescent="0.25">
      <c r="A332" t="s">
        <v>638</v>
      </c>
      <c r="B332" s="1">
        <v>45926</v>
      </c>
      <c r="C332" s="5">
        <v>0.66736111111111107</v>
      </c>
      <c r="D332" t="s">
        <v>16</v>
      </c>
      <c r="E332" t="s">
        <v>222</v>
      </c>
      <c r="J332" t="s">
        <v>126</v>
      </c>
      <c r="K332">
        <v>226.51</v>
      </c>
      <c r="L332">
        <v>1</v>
      </c>
      <c r="M332">
        <v>226.51</v>
      </c>
      <c r="N332" t="s">
        <v>25</v>
      </c>
      <c r="O332" t="s">
        <v>26</v>
      </c>
      <c r="P332" t="s">
        <v>74</v>
      </c>
    </row>
    <row r="333" spans="1:16" x14ac:dyDescent="0.25">
      <c r="A333" t="s">
        <v>639</v>
      </c>
      <c r="B333" s="1">
        <v>45966</v>
      </c>
      <c r="C333" s="5">
        <v>0.97222222222222221</v>
      </c>
      <c r="D333" t="s">
        <v>16</v>
      </c>
      <c r="E333" t="s">
        <v>640</v>
      </c>
      <c r="F333" s="4"/>
      <c r="G333">
        <v>1996</v>
      </c>
      <c r="H333">
        <v>2</v>
      </c>
      <c r="I333">
        <v>4</v>
      </c>
      <c r="J333" t="s">
        <v>141</v>
      </c>
      <c r="L333">
        <v>2</v>
      </c>
      <c r="N333" t="s">
        <v>54</v>
      </c>
      <c r="O333" t="s">
        <v>55</v>
      </c>
      <c r="P333" t="s">
        <v>56</v>
      </c>
    </row>
    <row r="334" spans="1:16" x14ac:dyDescent="0.25">
      <c r="A334" t="s">
        <v>641</v>
      </c>
      <c r="C334" s="3">
        <v>0.71311342592592597</v>
      </c>
      <c r="D334" t="s">
        <v>16</v>
      </c>
      <c r="E334" t="s">
        <v>76</v>
      </c>
      <c r="F334" s="1"/>
      <c r="G334">
        <v>1995</v>
      </c>
      <c r="H334">
        <v>2</v>
      </c>
      <c r="I334">
        <v>18</v>
      </c>
      <c r="J334" t="s">
        <v>116</v>
      </c>
      <c r="K334">
        <v>48.82</v>
      </c>
      <c r="L334">
        <v>1</v>
      </c>
      <c r="M334">
        <v>48.82</v>
      </c>
      <c r="N334" t="s">
        <v>31</v>
      </c>
      <c r="O334" t="s">
        <v>47</v>
      </c>
      <c r="P334" t="s">
        <v>27</v>
      </c>
    </row>
    <row r="335" spans="1:16" x14ac:dyDescent="0.25">
      <c r="A335" t="s">
        <v>642</v>
      </c>
      <c r="B335" s="1">
        <v>45662</v>
      </c>
      <c r="C335" s="5">
        <v>0.99791666666666667</v>
      </c>
      <c r="D335" t="s">
        <v>16</v>
      </c>
      <c r="E335" t="s">
        <v>258</v>
      </c>
      <c r="G335">
        <v>1977</v>
      </c>
      <c r="H335">
        <v>1</v>
      </c>
      <c r="I335">
        <v>10</v>
      </c>
      <c r="J335" t="s">
        <v>126</v>
      </c>
      <c r="K335">
        <v>354.23</v>
      </c>
      <c r="L335">
        <v>2</v>
      </c>
      <c r="M335">
        <v>708.46</v>
      </c>
      <c r="N335" t="s">
        <v>67</v>
      </c>
      <c r="O335" t="s">
        <v>61</v>
      </c>
    </row>
    <row r="336" spans="1:16" x14ac:dyDescent="0.25">
      <c r="A336" t="s">
        <v>643</v>
      </c>
      <c r="B336" t="s">
        <v>644</v>
      </c>
      <c r="C336" s="3">
        <v>0.54532407407407413</v>
      </c>
      <c r="D336" t="s">
        <v>16</v>
      </c>
      <c r="E336" t="s">
        <v>295</v>
      </c>
      <c r="F336" s="4"/>
      <c r="G336">
        <v>1985</v>
      </c>
      <c r="H336">
        <v>11</v>
      </c>
      <c r="I336">
        <v>21</v>
      </c>
      <c r="J336" t="s">
        <v>30</v>
      </c>
      <c r="K336">
        <v>208.51</v>
      </c>
      <c r="L336">
        <v>3</v>
      </c>
      <c r="M336">
        <v>625.53</v>
      </c>
      <c r="N336" t="s">
        <v>25</v>
      </c>
      <c r="O336" t="s">
        <v>61</v>
      </c>
      <c r="P336" t="s">
        <v>27</v>
      </c>
    </row>
    <row r="337" spans="1:16" x14ac:dyDescent="0.25">
      <c r="A337" t="s">
        <v>645</v>
      </c>
      <c r="B337" s="4">
        <v>45875</v>
      </c>
      <c r="C337" s="3">
        <v>0.58221064814814816</v>
      </c>
      <c r="D337" t="s">
        <v>16</v>
      </c>
      <c r="E337" t="s">
        <v>387</v>
      </c>
      <c r="F337" s="4"/>
      <c r="G337">
        <v>1982</v>
      </c>
      <c r="H337">
        <v>2</v>
      </c>
      <c r="I337">
        <v>9</v>
      </c>
      <c r="J337" t="s">
        <v>93</v>
      </c>
      <c r="L337">
        <v>2</v>
      </c>
      <c r="O337" t="s">
        <v>32</v>
      </c>
      <c r="P337" t="s">
        <v>48</v>
      </c>
    </row>
    <row r="338" spans="1:16" x14ac:dyDescent="0.25">
      <c r="A338" t="s">
        <v>646</v>
      </c>
      <c r="B338" s="4">
        <v>45677</v>
      </c>
      <c r="C338" s="5">
        <v>0.64375000000000004</v>
      </c>
      <c r="D338" t="s">
        <v>16</v>
      </c>
      <c r="E338" t="s">
        <v>191</v>
      </c>
      <c r="G338">
        <v>1998</v>
      </c>
      <c r="H338">
        <v>5</v>
      </c>
      <c r="I338">
        <v>12</v>
      </c>
      <c r="J338" t="s">
        <v>30</v>
      </c>
      <c r="K338">
        <v>253.31</v>
      </c>
      <c r="L338">
        <v>1</v>
      </c>
      <c r="M338">
        <v>253.31</v>
      </c>
      <c r="N338" t="s">
        <v>54</v>
      </c>
      <c r="O338" t="s">
        <v>89</v>
      </c>
      <c r="P338" t="s">
        <v>33</v>
      </c>
    </row>
    <row r="339" spans="1:16" x14ac:dyDescent="0.25">
      <c r="A339" t="s">
        <v>647</v>
      </c>
      <c r="B339" s="1">
        <v>45650</v>
      </c>
      <c r="C339" s="2">
        <v>0.5805555555555556</v>
      </c>
      <c r="D339" t="s">
        <v>16</v>
      </c>
      <c r="E339" t="s">
        <v>131</v>
      </c>
      <c r="G339">
        <v>1987</v>
      </c>
      <c r="H339">
        <v>8</v>
      </c>
      <c r="I339">
        <v>7</v>
      </c>
      <c r="J339" t="s">
        <v>259</v>
      </c>
      <c r="K339">
        <v>170.48</v>
      </c>
      <c r="L339">
        <v>2</v>
      </c>
      <c r="M339">
        <v>340.96</v>
      </c>
      <c r="N339" t="s">
        <v>64</v>
      </c>
      <c r="O339" t="s">
        <v>61</v>
      </c>
      <c r="P339" t="s">
        <v>27</v>
      </c>
    </row>
    <row r="340" spans="1:16" x14ac:dyDescent="0.25">
      <c r="A340" t="s">
        <v>648</v>
      </c>
      <c r="B340" t="s">
        <v>403</v>
      </c>
      <c r="C340" s="3">
        <v>0.62582175925925931</v>
      </c>
      <c r="D340" t="s">
        <v>16</v>
      </c>
      <c r="E340" t="s">
        <v>229</v>
      </c>
      <c r="F340" s="4"/>
      <c r="G340">
        <v>2008</v>
      </c>
      <c r="H340">
        <v>6</v>
      </c>
      <c r="I340">
        <v>16</v>
      </c>
      <c r="J340" t="s">
        <v>60</v>
      </c>
      <c r="K340">
        <v>223.23</v>
      </c>
      <c r="L340">
        <v>2</v>
      </c>
      <c r="M340">
        <v>446.46</v>
      </c>
      <c r="N340" t="s">
        <v>25</v>
      </c>
      <c r="O340" t="s">
        <v>61</v>
      </c>
      <c r="P340" t="s">
        <v>48</v>
      </c>
    </row>
    <row r="341" spans="1:16" x14ac:dyDescent="0.25">
      <c r="A341" t="s">
        <v>649</v>
      </c>
      <c r="B341" s="1">
        <v>45803</v>
      </c>
      <c r="C341" s="2">
        <v>0.61458333333333337</v>
      </c>
      <c r="D341" t="s">
        <v>16</v>
      </c>
      <c r="E341" t="s">
        <v>79</v>
      </c>
      <c r="J341" t="s">
        <v>73</v>
      </c>
      <c r="K341">
        <v>53.13</v>
      </c>
      <c r="L341">
        <v>2</v>
      </c>
      <c r="M341">
        <v>106.26</v>
      </c>
      <c r="N341" t="s">
        <v>31</v>
      </c>
      <c r="O341" t="s">
        <v>26</v>
      </c>
      <c r="P341" t="s">
        <v>48</v>
      </c>
    </row>
    <row r="342" spans="1:16" x14ac:dyDescent="0.25">
      <c r="A342" t="s">
        <v>650</v>
      </c>
      <c r="B342" t="s">
        <v>651</v>
      </c>
      <c r="C342" s="2">
        <v>0.75763888888888886</v>
      </c>
      <c r="D342" t="s">
        <v>16</v>
      </c>
      <c r="E342" t="s">
        <v>652</v>
      </c>
      <c r="F342" s="1"/>
      <c r="G342">
        <v>1987</v>
      </c>
      <c r="H342">
        <v>5</v>
      </c>
      <c r="I342">
        <v>7</v>
      </c>
      <c r="J342" t="s">
        <v>213</v>
      </c>
      <c r="K342" t="s">
        <v>653</v>
      </c>
      <c r="L342">
        <v>1</v>
      </c>
      <c r="M342">
        <v>94.67</v>
      </c>
      <c r="N342" t="s">
        <v>41</v>
      </c>
      <c r="O342" t="s">
        <v>89</v>
      </c>
    </row>
    <row r="343" spans="1:16" x14ac:dyDescent="0.25">
      <c r="A343" t="s">
        <v>654</v>
      </c>
      <c r="B343" s="1">
        <v>45764</v>
      </c>
      <c r="C343" s="5">
        <v>0.43680555555555556</v>
      </c>
      <c r="D343" t="s">
        <v>16</v>
      </c>
      <c r="E343" t="s">
        <v>118</v>
      </c>
      <c r="J343" t="s">
        <v>110</v>
      </c>
      <c r="K343">
        <v>96.89</v>
      </c>
      <c r="L343">
        <v>2</v>
      </c>
      <c r="M343">
        <v>193.78</v>
      </c>
      <c r="N343" t="s">
        <v>31</v>
      </c>
      <c r="O343" t="s">
        <v>26</v>
      </c>
      <c r="P343" t="s">
        <v>48</v>
      </c>
    </row>
    <row r="344" spans="1:16" x14ac:dyDescent="0.25">
      <c r="A344" t="s">
        <v>655</v>
      </c>
      <c r="B344" s="1">
        <v>45729</v>
      </c>
      <c r="C344" s="2">
        <v>0.57708333333333328</v>
      </c>
      <c r="D344" t="s">
        <v>16</v>
      </c>
      <c r="E344" t="s">
        <v>204</v>
      </c>
      <c r="F344" s="4"/>
      <c r="G344">
        <v>1986</v>
      </c>
      <c r="H344">
        <v>5</v>
      </c>
      <c r="I344">
        <v>20</v>
      </c>
      <c r="J344" t="s">
        <v>36</v>
      </c>
      <c r="K344">
        <v>89.98</v>
      </c>
      <c r="L344">
        <v>3</v>
      </c>
      <c r="M344">
        <v>269.94</v>
      </c>
      <c r="N344" t="s">
        <v>31</v>
      </c>
      <c r="O344" t="s">
        <v>26</v>
      </c>
      <c r="P344" t="s">
        <v>27</v>
      </c>
    </row>
    <row r="345" spans="1:16" x14ac:dyDescent="0.25">
      <c r="A345" t="s">
        <v>656</v>
      </c>
      <c r="B345" s="1">
        <v>45886</v>
      </c>
      <c r="C345" s="2">
        <v>0.79097222222222219</v>
      </c>
      <c r="D345" t="s">
        <v>16</v>
      </c>
      <c r="E345" t="s">
        <v>451</v>
      </c>
      <c r="J345" t="s">
        <v>85</v>
      </c>
      <c r="K345">
        <v>217.17</v>
      </c>
      <c r="L345">
        <v>3</v>
      </c>
      <c r="M345">
        <v>651.51</v>
      </c>
      <c r="N345" t="s">
        <v>31</v>
      </c>
      <c r="O345" t="s">
        <v>37</v>
      </c>
      <c r="P345" t="s">
        <v>74</v>
      </c>
    </row>
    <row r="346" spans="1:16" x14ac:dyDescent="0.25">
      <c r="A346" t="s">
        <v>657</v>
      </c>
      <c r="C346" s="2">
        <v>0.95</v>
      </c>
      <c r="D346" t="s">
        <v>16</v>
      </c>
      <c r="E346" t="s">
        <v>88</v>
      </c>
      <c r="F346" s="4"/>
      <c r="G346">
        <v>1976</v>
      </c>
      <c r="H346">
        <v>6</v>
      </c>
      <c r="I346">
        <v>20</v>
      </c>
      <c r="J346" t="s">
        <v>104</v>
      </c>
      <c r="K346">
        <v>304.86</v>
      </c>
      <c r="L346">
        <v>2</v>
      </c>
      <c r="M346">
        <v>609.72</v>
      </c>
      <c r="N346" t="s">
        <v>41</v>
      </c>
      <c r="O346" t="s">
        <v>89</v>
      </c>
      <c r="P346" t="s">
        <v>48</v>
      </c>
    </row>
    <row r="347" spans="1:16" x14ac:dyDescent="0.25">
      <c r="A347" t="s">
        <v>658</v>
      </c>
      <c r="B347" s="4">
        <v>45620</v>
      </c>
      <c r="C347" s="5">
        <v>0.46111111111111114</v>
      </c>
      <c r="D347" t="s">
        <v>16</v>
      </c>
      <c r="E347" t="s">
        <v>659</v>
      </c>
      <c r="F347" s="1"/>
      <c r="G347">
        <v>1976</v>
      </c>
      <c r="H347">
        <v>8</v>
      </c>
      <c r="I347">
        <v>1</v>
      </c>
      <c r="J347" t="s">
        <v>116</v>
      </c>
      <c r="K347">
        <v>340.64</v>
      </c>
      <c r="L347">
        <v>2</v>
      </c>
      <c r="M347" t="s">
        <v>660</v>
      </c>
      <c r="N347" t="s">
        <v>41</v>
      </c>
      <c r="O347" t="s">
        <v>47</v>
      </c>
      <c r="P347" t="s">
        <v>27</v>
      </c>
    </row>
    <row r="348" spans="1:16" x14ac:dyDescent="0.25">
      <c r="A348" t="s">
        <v>661</v>
      </c>
      <c r="B348" s="4">
        <v>45878</v>
      </c>
      <c r="C348" s="3">
        <v>0.729375</v>
      </c>
      <c r="D348" t="s">
        <v>16</v>
      </c>
      <c r="E348" t="s">
        <v>494</v>
      </c>
      <c r="F348" s="4"/>
      <c r="G348">
        <v>1987</v>
      </c>
      <c r="H348">
        <v>7</v>
      </c>
      <c r="I348">
        <v>13</v>
      </c>
      <c r="J348" t="s">
        <v>141</v>
      </c>
      <c r="K348">
        <v>-135.41999999999999</v>
      </c>
      <c r="L348">
        <v>3</v>
      </c>
      <c r="M348">
        <v>-406.26</v>
      </c>
      <c r="N348" t="s">
        <v>64</v>
      </c>
      <c r="O348" t="s">
        <v>37</v>
      </c>
    </row>
    <row r="349" spans="1:16" x14ac:dyDescent="0.25">
      <c r="A349" t="s">
        <v>662</v>
      </c>
      <c r="B349" s="4">
        <v>45851</v>
      </c>
      <c r="C349" s="2">
        <v>0.64722222222222225</v>
      </c>
      <c r="D349" t="s">
        <v>16</v>
      </c>
      <c r="E349" t="s">
        <v>411</v>
      </c>
      <c r="F349" s="4"/>
      <c r="G349">
        <v>2002</v>
      </c>
      <c r="H349">
        <v>2</v>
      </c>
      <c r="I349">
        <v>6</v>
      </c>
      <c r="J349" t="s">
        <v>110</v>
      </c>
      <c r="K349">
        <v>129.25</v>
      </c>
      <c r="L349">
        <v>3</v>
      </c>
      <c r="M349">
        <v>387.75</v>
      </c>
      <c r="N349" t="s">
        <v>25</v>
      </c>
      <c r="O349" t="s">
        <v>37</v>
      </c>
      <c r="P349" t="s">
        <v>56</v>
      </c>
    </row>
    <row r="350" spans="1:16" x14ac:dyDescent="0.25">
      <c r="A350" t="s">
        <v>663</v>
      </c>
      <c r="B350" s="1">
        <v>45918</v>
      </c>
      <c r="C350" s="3">
        <v>0.81936342592592593</v>
      </c>
      <c r="D350" t="s">
        <v>16</v>
      </c>
      <c r="E350" t="s">
        <v>664</v>
      </c>
      <c r="F350" s="4"/>
      <c r="G350">
        <v>1984</v>
      </c>
      <c r="H350">
        <v>2</v>
      </c>
      <c r="I350">
        <v>22</v>
      </c>
      <c r="J350" t="s">
        <v>104</v>
      </c>
      <c r="K350">
        <v>323.98</v>
      </c>
      <c r="L350">
        <v>1</v>
      </c>
      <c r="M350">
        <v>368.98</v>
      </c>
      <c r="N350" t="s">
        <v>64</v>
      </c>
      <c r="O350" t="s">
        <v>55</v>
      </c>
      <c r="P350" t="s">
        <v>27</v>
      </c>
    </row>
    <row r="351" spans="1:16" x14ac:dyDescent="0.25">
      <c r="A351" t="s">
        <v>665</v>
      </c>
      <c r="B351" t="s">
        <v>376</v>
      </c>
      <c r="C351" s="2">
        <v>0.67222222222222228</v>
      </c>
      <c r="D351" t="s">
        <v>16</v>
      </c>
      <c r="E351" t="s">
        <v>63</v>
      </c>
      <c r="F351" s="4"/>
      <c r="G351">
        <v>1988</v>
      </c>
      <c r="H351">
        <v>4</v>
      </c>
      <c r="I351">
        <v>7</v>
      </c>
      <c r="J351" t="s">
        <v>60</v>
      </c>
      <c r="K351">
        <v>218.62</v>
      </c>
      <c r="L351">
        <v>3</v>
      </c>
      <c r="M351">
        <v>655.86</v>
      </c>
      <c r="O351" t="s">
        <v>47</v>
      </c>
      <c r="P351" t="s">
        <v>33</v>
      </c>
    </row>
    <row r="352" spans="1:16" x14ac:dyDescent="0.25">
      <c r="A352" t="s">
        <v>666</v>
      </c>
      <c r="B352" s="1">
        <v>45909</v>
      </c>
      <c r="C352" s="2">
        <v>0.65208333333333335</v>
      </c>
      <c r="D352" t="s">
        <v>16</v>
      </c>
      <c r="E352" t="s">
        <v>458</v>
      </c>
      <c r="F352" s="4"/>
      <c r="G352">
        <v>1974</v>
      </c>
      <c r="H352">
        <v>10</v>
      </c>
      <c r="I352">
        <v>3</v>
      </c>
      <c r="J352" t="s">
        <v>77</v>
      </c>
      <c r="K352">
        <v>106.55</v>
      </c>
      <c r="L352">
        <v>1</v>
      </c>
      <c r="M352">
        <v>106.55</v>
      </c>
      <c r="N352" t="s">
        <v>67</v>
      </c>
      <c r="O352" t="s">
        <v>89</v>
      </c>
      <c r="P352" t="s">
        <v>74</v>
      </c>
    </row>
    <row r="353" spans="1:16" x14ac:dyDescent="0.25">
      <c r="A353" t="s">
        <v>667</v>
      </c>
      <c r="B353" s="4">
        <v>45933</v>
      </c>
      <c r="C353" s="3">
        <v>0.8131828703703704</v>
      </c>
      <c r="D353" t="s">
        <v>16</v>
      </c>
      <c r="E353" t="s">
        <v>248</v>
      </c>
      <c r="F353" s="4"/>
      <c r="G353">
        <v>1982</v>
      </c>
      <c r="H353">
        <v>6</v>
      </c>
      <c r="I353">
        <v>25</v>
      </c>
      <c r="J353" t="s">
        <v>18</v>
      </c>
      <c r="K353">
        <v>91.74</v>
      </c>
      <c r="L353">
        <v>1</v>
      </c>
      <c r="M353">
        <v>91.74</v>
      </c>
      <c r="N353" t="s">
        <v>19</v>
      </c>
      <c r="O353" t="s">
        <v>61</v>
      </c>
      <c r="P353" t="s">
        <v>27</v>
      </c>
    </row>
    <row r="354" spans="1:16" x14ac:dyDescent="0.25">
      <c r="A354" t="s">
        <v>668</v>
      </c>
      <c r="B354" s="4">
        <v>45755</v>
      </c>
      <c r="C354" s="5">
        <v>0.43819444444444444</v>
      </c>
      <c r="D354" t="s">
        <v>16</v>
      </c>
      <c r="E354" t="s">
        <v>181</v>
      </c>
      <c r="J354" t="s">
        <v>213</v>
      </c>
      <c r="K354" t="s">
        <v>669</v>
      </c>
      <c r="L354">
        <v>2</v>
      </c>
      <c r="M354">
        <v>179.66</v>
      </c>
      <c r="N354" t="s">
        <v>31</v>
      </c>
      <c r="O354" t="s">
        <v>37</v>
      </c>
      <c r="P354" t="s">
        <v>21</v>
      </c>
    </row>
    <row r="355" spans="1:16" x14ac:dyDescent="0.25">
      <c r="A355" t="s">
        <v>670</v>
      </c>
      <c r="B355" s="1">
        <v>45841</v>
      </c>
      <c r="C355" s="3">
        <v>0.6335763888888889</v>
      </c>
      <c r="D355" t="s">
        <v>16</v>
      </c>
      <c r="E355" t="s">
        <v>252</v>
      </c>
      <c r="F355" s="4"/>
      <c r="G355">
        <v>1984</v>
      </c>
      <c r="H355">
        <v>7</v>
      </c>
      <c r="I355">
        <v>24</v>
      </c>
      <c r="J355" t="s">
        <v>259</v>
      </c>
      <c r="K355">
        <v>313.51</v>
      </c>
      <c r="L355">
        <v>1</v>
      </c>
      <c r="M355">
        <v>313.51</v>
      </c>
      <c r="N355" t="s">
        <v>31</v>
      </c>
      <c r="O355" t="s">
        <v>61</v>
      </c>
      <c r="P355" t="s">
        <v>21</v>
      </c>
    </row>
    <row r="356" spans="1:16" x14ac:dyDescent="0.25">
      <c r="A356" t="s">
        <v>671</v>
      </c>
      <c r="B356" s="1">
        <v>45953</v>
      </c>
      <c r="C356" s="2">
        <v>0.75902777777777775</v>
      </c>
      <c r="D356" t="s">
        <v>16</v>
      </c>
      <c r="E356" t="s">
        <v>151</v>
      </c>
      <c r="G356">
        <v>1998</v>
      </c>
      <c r="H356">
        <v>12</v>
      </c>
      <c r="I356">
        <v>10</v>
      </c>
      <c r="J356" t="s">
        <v>129</v>
      </c>
      <c r="K356">
        <v>199.82</v>
      </c>
      <c r="L356">
        <v>1</v>
      </c>
      <c r="M356">
        <v>199.82</v>
      </c>
      <c r="N356" t="s">
        <v>67</v>
      </c>
      <c r="O356" t="s">
        <v>89</v>
      </c>
    </row>
    <row r="357" spans="1:16" x14ac:dyDescent="0.25">
      <c r="A357" t="s">
        <v>672</v>
      </c>
      <c r="B357" s="4">
        <v>45724</v>
      </c>
      <c r="C357" s="3">
        <v>0.42759259259259258</v>
      </c>
      <c r="D357" t="s">
        <v>16</v>
      </c>
      <c r="E357" t="s">
        <v>673</v>
      </c>
      <c r="F357" s="1"/>
      <c r="G357">
        <v>1972</v>
      </c>
      <c r="H357">
        <v>5</v>
      </c>
      <c r="I357">
        <v>9</v>
      </c>
      <c r="J357" t="s">
        <v>116</v>
      </c>
      <c r="K357">
        <v>239.65</v>
      </c>
      <c r="L357">
        <v>2</v>
      </c>
      <c r="M357">
        <v>526.29999999999995</v>
      </c>
      <c r="N357" t="s">
        <v>54</v>
      </c>
      <c r="O357" t="s">
        <v>32</v>
      </c>
      <c r="P357" t="s">
        <v>48</v>
      </c>
    </row>
    <row r="358" spans="1:16" x14ac:dyDescent="0.25">
      <c r="A358" t="s">
        <v>674</v>
      </c>
      <c r="B358" s="4">
        <v>45919</v>
      </c>
      <c r="C358" s="2">
        <v>0.65694444444444444</v>
      </c>
      <c r="D358" t="s">
        <v>16</v>
      </c>
      <c r="E358" t="s">
        <v>204</v>
      </c>
      <c r="F358" s="1"/>
      <c r="G358">
        <v>1973</v>
      </c>
      <c r="H358">
        <v>2</v>
      </c>
      <c r="I358">
        <v>18</v>
      </c>
      <c r="J358" t="s">
        <v>73</v>
      </c>
      <c r="K358">
        <v>47.45</v>
      </c>
      <c r="L358">
        <v>1</v>
      </c>
      <c r="M358">
        <v>47.45</v>
      </c>
      <c r="N358" t="s">
        <v>25</v>
      </c>
      <c r="O358" t="s">
        <v>26</v>
      </c>
      <c r="P358" t="s">
        <v>33</v>
      </c>
    </row>
    <row r="359" spans="1:16" x14ac:dyDescent="0.25">
      <c r="A359" t="s">
        <v>675</v>
      </c>
      <c r="B359" t="s">
        <v>676</v>
      </c>
      <c r="C359" s="3">
        <v>0.44394675925925925</v>
      </c>
      <c r="D359" t="s">
        <v>16</v>
      </c>
      <c r="E359" t="s">
        <v>299</v>
      </c>
      <c r="F359" s="1"/>
      <c r="G359">
        <v>2008</v>
      </c>
      <c r="H359">
        <v>1</v>
      </c>
      <c r="I359">
        <v>4</v>
      </c>
      <c r="J359" t="s">
        <v>243</v>
      </c>
      <c r="K359" t="s">
        <v>677</v>
      </c>
      <c r="L359">
        <v>3</v>
      </c>
      <c r="M359">
        <v>327.12</v>
      </c>
      <c r="N359" t="s">
        <v>19</v>
      </c>
      <c r="O359" t="s">
        <v>89</v>
      </c>
    </row>
    <row r="360" spans="1:16" x14ac:dyDescent="0.25">
      <c r="A360" t="s">
        <v>678</v>
      </c>
      <c r="B360" t="s">
        <v>679</v>
      </c>
      <c r="C360" s="3">
        <v>0.51167824074074075</v>
      </c>
      <c r="D360" t="s">
        <v>16</v>
      </c>
      <c r="E360" t="s">
        <v>166</v>
      </c>
      <c r="F360" s="1"/>
      <c r="G360">
        <v>1979</v>
      </c>
      <c r="H360">
        <v>10</v>
      </c>
      <c r="I360">
        <v>21</v>
      </c>
      <c r="J360" t="s">
        <v>60</v>
      </c>
      <c r="K360">
        <v>230.24</v>
      </c>
      <c r="L360">
        <v>2</v>
      </c>
      <c r="M360">
        <v>460.48</v>
      </c>
      <c r="N360" t="s">
        <v>67</v>
      </c>
      <c r="O360" t="s">
        <v>32</v>
      </c>
      <c r="P360" t="s">
        <v>21</v>
      </c>
    </row>
    <row r="361" spans="1:16" x14ac:dyDescent="0.25">
      <c r="A361" t="s">
        <v>680</v>
      </c>
      <c r="B361" s="4">
        <v>45656</v>
      </c>
      <c r="C361" s="5">
        <v>0.75277777777777777</v>
      </c>
      <c r="D361" t="s">
        <v>16</v>
      </c>
      <c r="E361" t="s">
        <v>206</v>
      </c>
      <c r="G361">
        <v>1991</v>
      </c>
      <c r="H361">
        <v>12</v>
      </c>
      <c r="I361">
        <v>12</v>
      </c>
      <c r="J361" t="s">
        <v>77</v>
      </c>
      <c r="K361">
        <v>97.21</v>
      </c>
      <c r="L361">
        <v>2</v>
      </c>
      <c r="M361">
        <v>163.41999999999999</v>
      </c>
      <c r="N361" t="s">
        <v>54</v>
      </c>
      <c r="O361" t="s">
        <v>26</v>
      </c>
      <c r="P361" t="s">
        <v>33</v>
      </c>
    </row>
    <row r="362" spans="1:16" x14ac:dyDescent="0.25">
      <c r="A362" t="s">
        <v>681</v>
      </c>
      <c r="B362" s="1">
        <v>45777</v>
      </c>
      <c r="C362" s="2">
        <v>0.55833333333333335</v>
      </c>
      <c r="D362" t="s">
        <v>16</v>
      </c>
      <c r="E362" t="s">
        <v>582</v>
      </c>
      <c r="F362" s="4"/>
      <c r="G362">
        <v>1975</v>
      </c>
      <c r="H362">
        <v>2</v>
      </c>
      <c r="I362">
        <v>8</v>
      </c>
      <c r="J362" t="s">
        <v>145</v>
      </c>
      <c r="K362">
        <v>83.31</v>
      </c>
      <c r="L362">
        <v>1</v>
      </c>
      <c r="M362">
        <v>83.31</v>
      </c>
      <c r="N362" t="s">
        <v>64</v>
      </c>
      <c r="O362" t="s">
        <v>47</v>
      </c>
    </row>
    <row r="363" spans="1:16" x14ac:dyDescent="0.25">
      <c r="A363" t="s">
        <v>682</v>
      </c>
      <c r="B363" s="4">
        <v>45778</v>
      </c>
      <c r="C363" s="2">
        <v>0.88541666666666663</v>
      </c>
      <c r="D363" t="s">
        <v>16</v>
      </c>
      <c r="E363" t="s">
        <v>520</v>
      </c>
      <c r="F363" s="4"/>
      <c r="G363">
        <v>1974</v>
      </c>
      <c r="H363">
        <v>6</v>
      </c>
      <c r="I363">
        <v>21</v>
      </c>
      <c r="J363" t="s">
        <v>45</v>
      </c>
      <c r="K363">
        <v>309.17</v>
      </c>
      <c r="L363">
        <v>1</v>
      </c>
      <c r="M363">
        <v>309.17</v>
      </c>
      <c r="N363" t="s">
        <v>41</v>
      </c>
      <c r="O363" t="s">
        <v>61</v>
      </c>
      <c r="P363" t="s">
        <v>33</v>
      </c>
    </row>
    <row r="364" spans="1:16" x14ac:dyDescent="0.25">
      <c r="A364" t="s">
        <v>683</v>
      </c>
      <c r="B364" s="4">
        <v>45709</v>
      </c>
      <c r="C364" s="3">
        <v>0.50516203703703699</v>
      </c>
      <c r="D364" t="s">
        <v>16</v>
      </c>
      <c r="E364" t="s">
        <v>189</v>
      </c>
      <c r="F364" s="1"/>
      <c r="G364">
        <v>1972</v>
      </c>
      <c r="H364">
        <v>7</v>
      </c>
      <c r="I364">
        <v>1</v>
      </c>
      <c r="J364" t="s">
        <v>73</v>
      </c>
      <c r="K364">
        <v>43.09</v>
      </c>
      <c r="L364">
        <v>3</v>
      </c>
      <c r="M364">
        <v>129.27000000000001</v>
      </c>
      <c r="N364" t="s">
        <v>54</v>
      </c>
      <c r="O364" t="s">
        <v>26</v>
      </c>
      <c r="P364" t="s">
        <v>56</v>
      </c>
    </row>
    <row r="365" spans="1:16" x14ac:dyDescent="0.25">
      <c r="A365" t="s">
        <v>684</v>
      </c>
      <c r="B365" t="s">
        <v>685</v>
      </c>
      <c r="C365" s="3">
        <v>0.91211805555555558</v>
      </c>
      <c r="D365" t="s">
        <v>16</v>
      </c>
      <c r="E365" t="s">
        <v>82</v>
      </c>
      <c r="J365" t="s">
        <v>60</v>
      </c>
      <c r="K365">
        <v>309.24</v>
      </c>
      <c r="L365">
        <v>1</v>
      </c>
      <c r="M365">
        <v>309.24</v>
      </c>
      <c r="N365" t="s">
        <v>31</v>
      </c>
      <c r="O365" t="s">
        <v>89</v>
      </c>
      <c r="P365" t="s">
        <v>56</v>
      </c>
    </row>
    <row r="366" spans="1:16" x14ac:dyDescent="0.25">
      <c r="A366" t="s">
        <v>686</v>
      </c>
      <c r="B366" s="4">
        <v>45813</v>
      </c>
      <c r="C366" s="2">
        <v>0.50138888888888888</v>
      </c>
      <c r="D366" t="s">
        <v>16</v>
      </c>
      <c r="E366" t="s">
        <v>44</v>
      </c>
      <c r="F366" s="4"/>
      <c r="G366">
        <v>2009</v>
      </c>
      <c r="H366">
        <v>6</v>
      </c>
      <c r="I366">
        <v>4</v>
      </c>
      <c r="J366" t="s">
        <v>178</v>
      </c>
      <c r="K366">
        <v>261.06</v>
      </c>
      <c r="L366">
        <v>1</v>
      </c>
      <c r="M366">
        <v>261.06</v>
      </c>
      <c r="N366" t="s">
        <v>41</v>
      </c>
      <c r="O366" t="s">
        <v>55</v>
      </c>
      <c r="P366" t="s">
        <v>105</v>
      </c>
    </row>
    <row r="367" spans="1:16" x14ac:dyDescent="0.25">
      <c r="A367" t="s">
        <v>687</v>
      </c>
      <c r="B367" s="4">
        <v>45893</v>
      </c>
      <c r="C367" s="5">
        <v>0.43819444444444444</v>
      </c>
      <c r="D367" t="s">
        <v>16</v>
      </c>
      <c r="E367" t="s">
        <v>92</v>
      </c>
      <c r="F367" s="4"/>
      <c r="G367">
        <v>1997</v>
      </c>
      <c r="H367">
        <v>12</v>
      </c>
      <c r="I367">
        <v>15</v>
      </c>
      <c r="J367" t="s">
        <v>243</v>
      </c>
      <c r="K367">
        <v>161.33000000000001</v>
      </c>
      <c r="L367">
        <v>1</v>
      </c>
      <c r="M367">
        <v>161.33000000000001</v>
      </c>
      <c r="N367" t="s">
        <v>19</v>
      </c>
      <c r="O367" t="s">
        <v>32</v>
      </c>
      <c r="P367" t="s">
        <v>27</v>
      </c>
    </row>
    <row r="368" spans="1:16" x14ac:dyDescent="0.25">
      <c r="A368" t="s">
        <v>688</v>
      </c>
      <c r="B368" t="s">
        <v>689</v>
      </c>
      <c r="C368" s="2">
        <v>0.86597222222222225</v>
      </c>
      <c r="D368" t="s">
        <v>16</v>
      </c>
      <c r="E368" t="s">
        <v>690</v>
      </c>
      <c r="F368" s="4"/>
      <c r="G368">
        <v>1976</v>
      </c>
      <c r="H368">
        <v>12</v>
      </c>
      <c r="I368">
        <v>26</v>
      </c>
      <c r="J368" t="s">
        <v>202</v>
      </c>
      <c r="K368">
        <v>144.63999999999999</v>
      </c>
      <c r="L368">
        <v>1</v>
      </c>
      <c r="M368">
        <v>144.63999999999999</v>
      </c>
      <c r="N368" t="s">
        <v>67</v>
      </c>
      <c r="O368" t="s">
        <v>26</v>
      </c>
    </row>
    <row r="369" spans="1:16" x14ac:dyDescent="0.25">
      <c r="A369" t="s">
        <v>691</v>
      </c>
      <c r="C369" s="2">
        <v>0.47986111111111113</v>
      </c>
      <c r="D369" t="s">
        <v>16</v>
      </c>
      <c r="E369" t="s">
        <v>692</v>
      </c>
      <c r="F369" s="4"/>
      <c r="G369">
        <v>2009</v>
      </c>
      <c r="H369">
        <v>7</v>
      </c>
      <c r="I369">
        <v>21</v>
      </c>
      <c r="J369" t="s">
        <v>141</v>
      </c>
      <c r="K369">
        <v>158.44</v>
      </c>
      <c r="L369">
        <v>2</v>
      </c>
      <c r="M369">
        <v>316.88</v>
      </c>
      <c r="N369" t="s">
        <v>25</v>
      </c>
      <c r="O369" t="s">
        <v>20</v>
      </c>
    </row>
    <row r="370" spans="1:16" x14ac:dyDescent="0.25">
      <c r="A370" t="s">
        <v>693</v>
      </c>
      <c r="B370" t="s">
        <v>694</v>
      </c>
      <c r="C370" s="3">
        <v>0.46630787037037036</v>
      </c>
      <c r="D370" t="s">
        <v>16</v>
      </c>
      <c r="E370" t="s">
        <v>494</v>
      </c>
      <c r="G370">
        <v>1978</v>
      </c>
      <c r="H370">
        <v>8</v>
      </c>
      <c r="I370">
        <v>27</v>
      </c>
      <c r="J370" t="s">
        <v>110</v>
      </c>
      <c r="K370">
        <v>115.37</v>
      </c>
      <c r="L370">
        <v>2</v>
      </c>
      <c r="M370">
        <v>230.74</v>
      </c>
      <c r="N370" t="s">
        <v>25</v>
      </c>
      <c r="O370" t="s">
        <v>55</v>
      </c>
      <c r="P370" t="s">
        <v>48</v>
      </c>
    </row>
    <row r="371" spans="1:16" x14ac:dyDescent="0.25">
      <c r="A371" t="s">
        <v>695</v>
      </c>
      <c r="B371" s="1">
        <v>45865</v>
      </c>
      <c r="C371" s="3">
        <v>0.86946759259259254</v>
      </c>
      <c r="D371" t="s">
        <v>16</v>
      </c>
      <c r="E371" t="s">
        <v>187</v>
      </c>
      <c r="F371" s="4"/>
      <c r="G371">
        <v>2004</v>
      </c>
      <c r="H371">
        <v>4</v>
      </c>
      <c r="I371">
        <v>25</v>
      </c>
      <c r="J371" t="s">
        <v>259</v>
      </c>
      <c r="K371">
        <v>234.22</v>
      </c>
      <c r="L371">
        <v>3</v>
      </c>
      <c r="M371">
        <v>702.66</v>
      </c>
      <c r="N371" t="s">
        <v>41</v>
      </c>
      <c r="O371" t="s">
        <v>20</v>
      </c>
      <c r="P371" t="s">
        <v>33</v>
      </c>
    </row>
    <row r="372" spans="1:16" x14ac:dyDescent="0.25">
      <c r="A372" t="s">
        <v>696</v>
      </c>
      <c r="B372" s="1">
        <v>45765</v>
      </c>
      <c r="C372" s="2">
        <v>0.6430555555555556</v>
      </c>
      <c r="D372" t="s">
        <v>16</v>
      </c>
      <c r="E372" t="s">
        <v>697</v>
      </c>
      <c r="F372" s="4"/>
      <c r="G372">
        <v>1971</v>
      </c>
      <c r="H372">
        <v>9</v>
      </c>
      <c r="I372">
        <v>4</v>
      </c>
      <c r="J372" t="s">
        <v>18</v>
      </c>
      <c r="K372">
        <v>97.26</v>
      </c>
      <c r="L372">
        <v>2</v>
      </c>
      <c r="M372">
        <v>194.52</v>
      </c>
      <c r="N372" t="s">
        <v>31</v>
      </c>
      <c r="O372" t="s">
        <v>55</v>
      </c>
      <c r="P372" t="s">
        <v>105</v>
      </c>
    </row>
    <row r="373" spans="1:16" x14ac:dyDescent="0.25">
      <c r="A373" t="s">
        <v>698</v>
      </c>
      <c r="B373" s="4">
        <v>45894</v>
      </c>
      <c r="C373" s="3">
        <v>0.49140046296296297</v>
      </c>
      <c r="D373" t="s">
        <v>16</v>
      </c>
      <c r="E373" t="s">
        <v>699</v>
      </c>
      <c r="J373" t="s">
        <v>110</v>
      </c>
      <c r="K373">
        <v>112.95</v>
      </c>
      <c r="L373">
        <v>2</v>
      </c>
      <c r="M373">
        <v>225.9</v>
      </c>
      <c r="N373" t="s">
        <v>67</v>
      </c>
      <c r="O373" t="s">
        <v>20</v>
      </c>
      <c r="P373" t="s">
        <v>105</v>
      </c>
    </row>
    <row r="374" spans="1:16" x14ac:dyDescent="0.25">
      <c r="A374" t="s">
        <v>700</v>
      </c>
      <c r="B374" s="1">
        <v>45871</v>
      </c>
      <c r="C374" s="5">
        <v>0.94027777777777777</v>
      </c>
      <c r="D374" t="s">
        <v>16</v>
      </c>
      <c r="E374" t="s">
        <v>701</v>
      </c>
      <c r="F374" s="4"/>
      <c r="G374">
        <v>1984</v>
      </c>
      <c r="H374">
        <v>8</v>
      </c>
      <c r="I374">
        <v>12</v>
      </c>
      <c r="J374" t="s">
        <v>104</v>
      </c>
      <c r="K374">
        <v>283.31</v>
      </c>
      <c r="L374">
        <v>3</v>
      </c>
      <c r="M374">
        <v>849.93</v>
      </c>
      <c r="N374" t="s">
        <v>67</v>
      </c>
      <c r="O374" t="s">
        <v>55</v>
      </c>
    </row>
    <row r="375" spans="1:16" x14ac:dyDescent="0.25">
      <c r="A375" t="s">
        <v>702</v>
      </c>
      <c r="B375" s="1">
        <v>45746</v>
      </c>
      <c r="C375" s="3">
        <v>0.96460648148148154</v>
      </c>
      <c r="D375" t="s">
        <v>16</v>
      </c>
      <c r="E375" t="s">
        <v>281</v>
      </c>
      <c r="F375" s="4"/>
      <c r="G375">
        <v>1987</v>
      </c>
      <c r="H375">
        <v>12</v>
      </c>
      <c r="I375">
        <v>7</v>
      </c>
      <c r="J375" t="s">
        <v>129</v>
      </c>
      <c r="K375">
        <v>180.91</v>
      </c>
      <c r="L375">
        <v>1</v>
      </c>
      <c r="M375">
        <v>180.91</v>
      </c>
      <c r="N375" t="s">
        <v>41</v>
      </c>
      <c r="O375" t="s">
        <v>26</v>
      </c>
      <c r="P375" t="s">
        <v>27</v>
      </c>
    </row>
    <row r="376" spans="1:16" x14ac:dyDescent="0.25">
      <c r="A376" t="s">
        <v>703</v>
      </c>
      <c r="B376" s="4">
        <v>45718</v>
      </c>
      <c r="C376" s="3">
        <v>0.45586805555555554</v>
      </c>
      <c r="D376" t="s">
        <v>16</v>
      </c>
      <c r="E376" t="s">
        <v>397</v>
      </c>
      <c r="J376" t="s">
        <v>104</v>
      </c>
      <c r="K376">
        <v>268.26</v>
      </c>
      <c r="L376">
        <v>1</v>
      </c>
      <c r="M376">
        <v>268.26</v>
      </c>
      <c r="N376" t="s">
        <v>67</v>
      </c>
      <c r="O376" t="s">
        <v>32</v>
      </c>
    </row>
    <row r="377" spans="1:16" x14ac:dyDescent="0.25">
      <c r="A377" t="s">
        <v>704</v>
      </c>
      <c r="B377" t="s">
        <v>177</v>
      </c>
      <c r="C377" s="2">
        <v>0.58263888888888893</v>
      </c>
      <c r="D377" t="s">
        <v>16</v>
      </c>
      <c r="E377" t="s">
        <v>279</v>
      </c>
      <c r="G377">
        <v>2000</v>
      </c>
      <c r="H377">
        <v>1</v>
      </c>
      <c r="I377">
        <v>11</v>
      </c>
      <c r="J377" t="s">
        <v>126</v>
      </c>
      <c r="K377">
        <v>239.91</v>
      </c>
      <c r="L377">
        <v>3</v>
      </c>
      <c r="M377">
        <v>719.73</v>
      </c>
      <c r="N377" t="s">
        <v>54</v>
      </c>
      <c r="O377" t="s">
        <v>47</v>
      </c>
      <c r="P377" t="s">
        <v>48</v>
      </c>
    </row>
    <row r="378" spans="1:16" x14ac:dyDescent="0.25">
      <c r="A378" t="s">
        <v>705</v>
      </c>
      <c r="B378" t="s">
        <v>706</v>
      </c>
      <c r="C378" s="3">
        <v>0.82383101851851848</v>
      </c>
      <c r="D378" t="s">
        <v>16</v>
      </c>
      <c r="E378" t="s">
        <v>227</v>
      </c>
      <c r="F378" s="4"/>
      <c r="G378">
        <v>1982</v>
      </c>
      <c r="H378">
        <v>2</v>
      </c>
      <c r="I378">
        <v>19</v>
      </c>
      <c r="J378" t="s">
        <v>93</v>
      </c>
      <c r="K378">
        <v>220.74</v>
      </c>
      <c r="L378">
        <v>3</v>
      </c>
      <c r="M378">
        <v>662.22</v>
      </c>
      <c r="N378" t="s">
        <v>41</v>
      </c>
      <c r="O378" t="s">
        <v>55</v>
      </c>
      <c r="P378" t="s">
        <v>33</v>
      </c>
    </row>
    <row r="379" spans="1:16" x14ac:dyDescent="0.25">
      <c r="A379" t="s">
        <v>707</v>
      </c>
      <c r="B379" s="4">
        <v>45727</v>
      </c>
      <c r="C379" s="5">
        <v>0.50694444444444442</v>
      </c>
      <c r="D379" t="s">
        <v>16</v>
      </c>
      <c r="E379" t="s">
        <v>147</v>
      </c>
      <c r="F379" s="1"/>
      <c r="G379">
        <v>2002</v>
      </c>
      <c r="H379">
        <v>8</v>
      </c>
      <c r="I379">
        <v>14</v>
      </c>
      <c r="J379" t="s">
        <v>53</v>
      </c>
      <c r="K379">
        <v>115.83</v>
      </c>
      <c r="L379">
        <v>1</v>
      </c>
      <c r="M379">
        <v>115.83</v>
      </c>
      <c r="N379" t="s">
        <v>25</v>
      </c>
      <c r="O379" t="s">
        <v>37</v>
      </c>
      <c r="P379" t="s">
        <v>74</v>
      </c>
    </row>
    <row r="380" spans="1:16" x14ac:dyDescent="0.25">
      <c r="A380" t="s">
        <v>708</v>
      </c>
      <c r="B380" s="1">
        <v>45903</v>
      </c>
      <c r="C380" s="3">
        <v>0.83859953703703705</v>
      </c>
      <c r="D380" t="s">
        <v>16</v>
      </c>
      <c r="E380" t="s">
        <v>181</v>
      </c>
      <c r="F380" s="4"/>
      <c r="G380">
        <v>1999</v>
      </c>
      <c r="H380">
        <v>11</v>
      </c>
      <c r="I380">
        <v>12</v>
      </c>
      <c r="J380" t="s">
        <v>53</v>
      </c>
      <c r="K380">
        <v>97.84</v>
      </c>
      <c r="L380">
        <v>2</v>
      </c>
      <c r="M380">
        <v>195.68</v>
      </c>
      <c r="N380" t="s">
        <v>25</v>
      </c>
      <c r="O380" t="s">
        <v>55</v>
      </c>
      <c r="P380" t="s">
        <v>48</v>
      </c>
    </row>
    <row r="381" spans="1:16" x14ac:dyDescent="0.25">
      <c r="A381" t="s">
        <v>709</v>
      </c>
      <c r="B381" t="s">
        <v>576</v>
      </c>
      <c r="C381" s="2">
        <v>0.66805555555555551</v>
      </c>
      <c r="D381" t="s">
        <v>16</v>
      </c>
      <c r="E381" t="s">
        <v>299</v>
      </c>
      <c r="F381" s="4"/>
      <c r="G381">
        <v>1971</v>
      </c>
      <c r="H381">
        <v>12</v>
      </c>
      <c r="I381">
        <v>16</v>
      </c>
      <c r="J381" t="s">
        <v>24</v>
      </c>
      <c r="K381">
        <v>227.8</v>
      </c>
      <c r="L381">
        <v>1</v>
      </c>
      <c r="M381">
        <v>258.8</v>
      </c>
      <c r="N381" t="s">
        <v>64</v>
      </c>
      <c r="O381" t="s">
        <v>26</v>
      </c>
    </row>
    <row r="382" spans="1:16" x14ac:dyDescent="0.25">
      <c r="A382" t="s">
        <v>710</v>
      </c>
      <c r="B382" s="4">
        <v>45759</v>
      </c>
      <c r="C382" s="5">
        <v>0.86041666666666672</v>
      </c>
      <c r="D382" t="s">
        <v>16</v>
      </c>
      <c r="E382" t="s">
        <v>652</v>
      </c>
      <c r="F382" s="4"/>
      <c r="G382">
        <v>2007</v>
      </c>
      <c r="H382">
        <v>12</v>
      </c>
      <c r="I382">
        <v>12</v>
      </c>
      <c r="J382" t="s">
        <v>164</v>
      </c>
      <c r="K382">
        <v>259.08</v>
      </c>
      <c r="L382">
        <v>3</v>
      </c>
      <c r="M382">
        <v>777.24</v>
      </c>
      <c r="N382" t="s">
        <v>54</v>
      </c>
      <c r="O382" t="s">
        <v>89</v>
      </c>
      <c r="P382" t="s">
        <v>48</v>
      </c>
    </row>
    <row r="383" spans="1:16" x14ac:dyDescent="0.25">
      <c r="A383" t="s">
        <v>711</v>
      </c>
      <c r="B383" s="1">
        <v>45904</v>
      </c>
      <c r="C383" s="2">
        <v>0.73333333333333328</v>
      </c>
      <c r="D383" t="s">
        <v>16</v>
      </c>
      <c r="E383" t="s">
        <v>712</v>
      </c>
      <c r="J383" t="s">
        <v>178</v>
      </c>
      <c r="K383">
        <v>323.58999999999997</v>
      </c>
      <c r="L383">
        <v>1</v>
      </c>
      <c r="M383">
        <v>323.58999999999997</v>
      </c>
      <c r="N383" t="s">
        <v>25</v>
      </c>
      <c r="O383" t="s">
        <v>55</v>
      </c>
      <c r="P383" t="s">
        <v>74</v>
      </c>
    </row>
    <row r="384" spans="1:16" x14ac:dyDescent="0.25">
      <c r="A384" t="s">
        <v>713</v>
      </c>
      <c r="B384" s="1">
        <v>45978</v>
      </c>
      <c r="C384" s="3">
        <v>0.52523148148148147</v>
      </c>
      <c r="D384" t="s">
        <v>16</v>
      </c>
      <c r="E384" t="s">
        <v>628</v>
      </c>
      <c r="F384" s="1"/>
      <c r="G384">
        <v>1988</v>
      </c>
      <c r="H384">
        <v>5</v>
      </c>
      <c r="I384">
        <v>23</v>
      </c>
      <c r="J384" t="s">
        <v>202</v>
      </c>
      <c r="K384" t="s">
        <v>714</v>
      </c>
      <c r="L384">
        <v>3</v>
      </c>
      <c r="M384">
        <v>631.62</v>
      </c>
      <c r="N384" t="s">
        <v>31</v>
      </c>
      <c r="O384" t="s">
        <v>32</v>
      </c>
      <c r="P384" t="s">
        <v>48</v>
      </c>
    </row>
    <row r="385" spans="1:16" x14ac:dyDescent="0.25">
      <c r="A385" t="s">
        <v>715</v>
      </c>
      <c r="B385" s="1">
        <v>45723</v>
      </c>
      <c r="C385" s="5">
        <v>0.48055555555555557</v>
      </c>
      <c r="D385" t="s">
        <v>16</v>
      </c>
      <c r="E385" t="s">
        <v>716</v>
      </c>
      <c r="F385" s="1"/>
      <c r="G385">
        <v>1977</v>
      </c>
      <c r="H385">
        <v>9</v>
      </c>
      <c r="I385">
        <v>22</v>
      </c>
      <c r="J385" t="s">
        <v>36</v>
      </c>
      <c r="K385">
        <v>162.08000000000001</v>
      </c>
      <c r="L385">
        <v>2</v>
      </c>
      <c r="M385">
        <v>324.16000000000003</v>
      </c>
      <c r="N385" t="s">
        <v>64</v>
      </c>
      <c r="O385" t="s">
        <v>89</v>
      </c>
      <c r="P385" t="s">
        <v>27</v>
      </c>
    </row>
    <row r="386" spans="1:16" x14ac:dyDescent="0.25">
      <c r="A386" t="s">
        <v>717</v>
      </c>
      <c r="B386" s="4">
        <v>45856</v>
      </c>
      <c r="C386" s="3">
        <v>0.74420138888888887</v>
      </c>
      <c r="D386" t="s">
        <v>16</v>
      </c>
      <c r="E386" t="s">
        <v>360</v>
      </c>
      <c r="F386" s="4"/>
      <c r="G386">
        <v>2000</v>
      </c>
      <c r="H386">
        <v>4</v>
      </c>
      <c r="I386">
        <v>9</v>
      </c>
      <c r="J386" t="s">
        <v>18</v>
      </c>
      <c r="K386">
        <v>102.53</v>
      </c>
      <c r="L386">
        <v>1</v>
      </c>
      <c r="M386">
        <v>102.53</v>
      </c>
      <c r="N386" t="s">
        <v>25</v>
      </c>
      <c r="O386" t="s">
        <v>47</v>
      </c>
      <c r="P386" t="s">
        <v>27</v>
      </c>
    </row>
    <row r="387" spans="1:16" x14ac:dyDescent="0.25">
      <c r="A387" t="s">
        <v>718</v>
      </c>
      <c r="B387" s="4">
        <v>45683</v>
      </c>
      <c r="C387" s="5">
        <v>0.47152777777777777</v>
      </c>
      <c r="D387" t="s">
        <v>16</v>
      </c>
      <c r="E387" t="s">
        <v>451</v>
      </c>
      <c r="F387" s="4"/>
      <c r="G387">
        <v>1979</v>
      </c>
      <c r="H387">
        <v>4</v>
      </c>
      <c r="I387">
        <v>6</v>
      </c>
      <c r="J387" t="s">
        <v>259</v>
      </c>
      <c r="L387">
        <v>3</v>
      </c>
      <c r="N387" t="s">
        <v>31</v>
      </c>
      <c r="O387" t="s">
        <v>47</v>
      </c>
    </row>
    <row r="388" spans="1:16" x14ac:dyDescent="0.25">
      <c r="A388" t="s">
        <v>719</v>
      </c>
      <c r="B388" t="s">
        <v>720</v>
      </c>
      <c r="C388" s="5">
        <v>0.88541666666666663</v>
      </c>
      <c r="D388" t="s">
        <v>16</v>
      </c>
      <c r="E388" t="s">
        <v>194</v>
      </c>
      <c r="F388" s="4"/>
      <c r="G388">
        <v>1995</v>
      </c>
      <c r="H388">
        <v>6</v>
      </c>
      <c r="I388">
        <v>10</v>
      </c>
      <c r="J388" t="s">
        <v>40</v>
      </c>
      <c r="K388">
        <v>194.51</v>
      </c>
      <c r="L388">
        <v>2</v>
      </c>
      <c r="M388" t="s">
        <v>721</v>
      </c>
      <c r="N388" t="s">
        <v>31</v>
      </c>
      <c r="O388" t="s">
        <v>26</v>
      </c>
      <c r="P388" t="s">
        <v>33</v>
      </c>
    </row>
    <row r="389" spans="1:16" x14ac:dyDescent="0.25">
      <c r="A389" t="s">
        <v>722</v>
      </c>
      <c r="B389" s="4">
        <v>45687</v>
      </c>
      <c r="C389" s="5">
        <v>0.55486111111111114</v>
      </c>
      <c r="D389" t="s">
        <v>16</v>
      </c>
      <c r="E389" t="s">
        <v>222</v>
      </c>
      <c r="F389" s="4"/>
      <c r="G389">
        <v>1988</v>
      </c>
      <c r="H389">
        <v>5</v>
      </c>
      <c r="I389">
        <v>13</v>
      </c>
      <c r="J389" t="s">
        <v>178</v>
      </c>
      <c r="K389">
        <v>274.77999999999997</v>
      </c>
      <c r="L389">
        <v>2</v>
      </c>
      <c r="M389" t="s">
        <v>723</v>
      </c>
      <c r="N389" t="s">
        <v>64</v>
      </c>
      <c r="O389" t="s">
        <v>37</v>
      </c>
    </row>
    <row r="390" spans="1:16" x14ac:dyDescent="0.25">
      <c r="A390" t="s">
        <v>724</v>
      </c>
      <c r="B390" s="4">
        <v>45813</v>
      </c>
      <c r="C390" s="3">
        <v>0.73729166666666668</v>
      </c>
      <c r="D390" t="s">
        <v>16</v>
      </c>
      <c r="E390" t="s">
        <v>594</v>
      </c>
      <c r="G390">
        <v>2010</v>
      </c>
      <c r="H390">
        <v>2</v>
      </c>
      <c r="I390">
        <v>20</v>
      </c>
      <c r="J390" t="s">
        <v>45</v>
      </c>
      <c r="K390">
        <v>238.96</v>
      </c>
      <c r="L390">
        <v>-1</v>
      </c>
      <c r="M390">
        <v>-238.96</v>
      </c>
      <c r="N390" t="s">
        <v>25</v>
      </c>
      <c r="O390" t="s">
        <v>47</v>
      </c>
    </row>
    <row r="391" spans="1:16" x14ac:dyDescent="0.25">
      <c r="A391" t="s">
        <v>725</v>
      </c>
      <c r="B391" t="s">
        <v>726</v>
      </c>
      <c r="C391" s="3">
        <v>0.66908564814814819</v>
      </c>
      <c r="D391" t="s">
        <v>16</v>
      </c>
      <c r="E391" t="s">
        <v>405</v>
      </c>
      <c r="F391" s="4"/>
      <c r="G391">
        <v>1973</v>
      </c>
      <c r="H391">
        <v>10</v>
      </c>
      <c r="I391">
        <v>22</v>
      </c>
      <c r="J391" t="s">
        <v>45</v>
      </c>
      <c r="K391">
        <v>-168.19</v>
      </c>
      <c r="L391">
        <v>3</v>
      </c>
      <c r="M391">
        <v>-504.57</v>
      </c>
      <c r="N391" t="s">
        <v>31</v>
      </c>
      <c r="O391" t="s">
        <v>47</v>
      </c>
      <c r="P391" t="s">
        <v>27</v>
      </c>
    </row>
    <row r="392" spans="1:16" x14ac:dyDescent="0.25">
      <c r="A392" t="s">
        <v>727</v>
      </c>
      <c r="B392" s="4">
        <v>45660</v>
      </c>
      <c r="C392" s="3">
        <v>0.88171296296296298</v>
      </c>
      <c r="D392" t="s">
        <v>16</v>
      </c>
      <c r="E392" t="s">
        <v>232</v>
      </c>
      <c r="F392" s="4"/>
      <c r="G392">
        <v>2009</v>
      </c>
      <c r="H392">
        <v>4</v>
      </c>
      <c r="I392">
        <v>27</v>
      </c>
      <c r="J392" t="s">
        <v>164</v>
      </c>
      <c r="K392" t="s">
        <v>728</v>
      </c>
      <c r="L392">
        <v>1</v>
      </c>
      <c r="M392">
        <v>276.45999999999998</v>
      </c>
      <c r="N392" t="s">
        <v>19</v>
      </c>
      <c r="O392" t="s">
        <v>32</v>
      </c>
      <c r="P392" t="s">
        <v>48</v>
      </c>
    </row>
    <row r="393" spans="1:16" x14ac:dyDescent="0.25">
      <c r="A393" t="s">
        <v>729</v>
      </c>
      <c r="B393" s="4">
        <v>45833</v>
      </c>
      <c r="C393" s="2">
        <v>0.88611111111111107</v>
      </c>
      <c r="D393" t="s">
        <v>16</v>
      </c>
      <c r="E393" t="s">
        <v>295</v>
      </c>
      <c r="F393" s="4"/>
      <c r="G393">
        <v>1977</v>
      </c>
      <c r="H393">
        <v>4</v>
      </c>
      <c r="I393">
        <v>19</v>
      </c>
      <c r="J393" t="s">
        <v>126</v>
      </c>
      <c r="K393">
        <v>83.2</v>
      </c>
      <c r="L393">
        <v>3</v>
      </c>
      <c r="M393">
        <v>249.6</v>
      </c>
      <c r="N393" t="s">
        <v>41</v>
      </c>
      <c r="O393" t="s">
        <v>89</v>
      </c>
      <c r="P393" t="s">
        <v>48</v>
      </c>
    </row>
    <row r="394" spans="1:16" x14ac:dyDescent="0.25">
      <c r="A394" t="s">
        <v>730</v>
      </c>
      <c r="B394" s="4">
        <v>45619</v>
      </c>
      <c r="C394" s="5">
        <v>0.93472222222222223</v>
      </c>
      <c r="D394" t="s">
        <v>16</v>
      </c>
      <c r="E394" t="s">
        <v>299</v>
      </c>
      <c r="J394" t="s">
        <v>129</v>
      </c>
      <c r="K394">
        <v>161.68</v>
      </c>
      <c r="L394">
        <v>3</v>
      </c>
      <c r="M394">
        <v>485.04</v>
      </c>
      <c r="N394" t="s">
        <v>54</v>
      </c>
      <c r="O394" t="s">
        <v>32</v>
      </c>
      <c r="P394" t="s">
        <v>56</v>
      </c>
    </row>
    <row r="395" spans="1:16" x14ac:dyDescent="0.25">
      <c r="A395" t="s">
        <v>731</v>
      </c>
      <c r="B395" t="s">
        <v>732</v>
      </c>
      <c r="C395" s="2">
        <v>0.52013888888888893</v>
      </c>
      <c r="D395" t="s">
        <v>16</v>
      </c>
      <c r="E395" t="s">
        <v>307</v>
      </c>
      <c r="G395">
        <v>1994</v>
      </c>
      <c r="H395">
        <v>5</v>
      </c>
      <c r="I395">
        <v>13</v>
      </c>
      <c r="J395" t="s">
        <v>164</v>
      </c>
      <c r="K395">
        <v>260.98</v>
      </c>
      <c r="L395">
        <v>3</v>
      </c>
      <c r="M395">
        <v>782.94</v>
      </c>
      <c r="N395" t="s">
        <v>31</v>
      </c>
      <c r="O395" t="s">
        <v>20</v>
      </c>
      <c r="P395" t="s">
        <v>105</v>
      </c>
    </row>
    <row r="396" spans="1:16" x14ac:dyDescent="0.25">
      <c r="A396" t="s">
        <v>733</v>
      </c>
      <c r="B396" t="s">
        <v>706</v>
      </c>
      <c r="C396" s="2">
        <v>0.55833333333333335</v>
      </c>
      <c r="D396" t="s">
        <v>16</v>
      </c>
      <c r="E396" t="s">
        <v>328</v>
      </c>
      <c r="F396" s="1"/>
      <c r="G396">
        <v>1976</v>
      </c>
      <c r="H396">
        <v>7</v>
      </c>
      <c r="I396">
        <v>7</v>
      </c>
      <c r="J396" t="s">
        <v>45</v>
      </c>
      <c r="K396">
        <v>247.48</v>
      </c>
      <c r="L396">
        <v>2</v>
      </c>
      <c r="M396">
        <v>494.96</v>
      </c>
      <c r="N396" t="s">
        <v>67</v>
      </c>
      <c r="O396" t="s">
        <v>20</v>
      </c>
    </row>
    <row r="397" spans="1:16" x14ac:dyDescent="0.25">
      <c r="A397" t="s">
        <v>734</v>
      </c>
      <c r="B397" t="s">
        <v>735</v>
      </c>
      <c r="C397" s="5">
        <v>0.54097222222222219</v>
      </c>
      <c r="D397" t="s">
        <v>16</v>
      </c>
      <c r="E397" t="s">
        <v>736</v>
      </c>
      <c r="F397" s="1"/>
      <c r="G397">
        <v>1999</v>
      </c>
      <c r="H397">
        <v>11</v>
      </c>
      <c r="I397">
        <v>6</v>
      </c>
      <c r="J397" t="s">
        <v>73</v>
      </c>
      <c r="K397" t="s">
        <v>737</v>
      </c>
      <c r="L397">
        <v>3</v>
      </c>
      <c r="M397">
        <v>119.34</v>
      </c>
      <c r="N397" t="s">
        <v>31</v>
      </c>
      <c r="O397" t="s">
        <v>55</v>
      </c>
      <c r="P397" t="s">
        <v>56</v>
      </c>
    </row>
    <row r="398" spans="1:16" x14ac:dyDescent="0.25">
      <c r="A398" t="s">
        <v>738</v>
      </c>
      <c r="B398" t="s">
        <v>739</v>
      </c>
      <c r="C398" s="5">
        <v>0.83680555555555558</v>
      </c>
      <c r="D398" t="s">
        <v>16</v>
      </c>
      <c r="E398" t="s">
        <v>281</v>
      </c>
      <c r="F398" s="4"/>
      <c r="G398">
        <v>2005</v>
      </c>
      <c r="H398">
        <v>9</v>
      </c>
      <c r="I398">
        <v>28</v>
      </c>
      <c r="J398" t="s">
        <v>178</v>
      </c>
      <c r="K398">
        <v>284.02</v>
      </c>
      <c r="L398">
        <v>2</v>
      </c>
      <c r="M398">
        <v>568.04</v>
      </c>
      <c r="N398" t="s">
        <v>67</v>
      </c>
      <c r="O398" t="s">
        <v>37</v>
      </c>
    </row>
    <row r="399" spans="1:16" x14ac:dyDescent="0.25">
      <c r="A399" t="s">
        <v>740</v>
      </c>
      <c r="B399" s="1">
        <v>45873</v>
      </c>
      <c r="C399" s="5">
        <v>0.99861111111111112</v>
      </c>
      <c r="D399" t="s">
        <v>16</v>
      </c>
      <c r="E399" t="s">
        <v>425</v>
      </c>
      <c r="F399" s="1"/>
      <c r="G399">
        <v>1972</v>
      </c>
      <c r="H399">
        <v>11</v>
      </c>
      <c r="I399">
        <v>22</v>
      </c>
      <c r="J399" t="s">
        <v>110</v>
      </c>
      <c r="K399">
        <v>134.16999999999999</v>
      </c>
      <c r="L399">
        <v>1</v>
      </c>
      <c r="M399">
        <v>134.16999999999999</v>
      </c>
      <c r="N399" t="s">
        <v>54</v>
      </c>
      <c r="O399" t="s">
        <v>32</v>
      </c>
      <c r="P399" t="s">
        <v>74</v>
      </c>
    </row>
    <row r="400" spans="1:16" x14ac:dyDescent="0.25">
      <c r="A400" t="s">
        <v>741</v>
      </c>
      <c r="B400" t="s">
        <v>742</v>
      </c>
      <c r="C400" s="5">
        <v>0.70138888888888884</v>
      </c>
      <c r="D400" t="s">
        <v>16</v>
      </c>
      <c r="E400" t="s">
        <v>471</v>
      </c>
      <c r="F400" s="1"/>
      <c r="G400">
        <v>1977</v>
      </c>
      <c r="H400">
        <v>12</v>
      </c>
      <c r="I400">
        <v>6</v>
      </c>
      <c r="J400" t="s">
        <v>30</v>
      </c>
      <c r="K400">
        <v>237.42</v>
      </c>
      <c r="L400">
        <v>2</v>
      </c>
      <c r="M400">
        <v>474.84</v>
      </c>
      <c r="O400" t="s">
        <v>89</v>
      </c>
      <c r="P400" t="s">
        <v>48</v>
      </c>
    </row>
    <row r="401" spans="1:16" x14ac:dyDescent="0.25">
      <c r="A401" t="s">
        <v>743</v>
      </c>
      <c r="B401" s="4">
        <v>45921</v>
      </c>
      <c r="C401" s="5">
        <v>0.5229166666666667</v>
      </c>
      <c r="D401" t="s">
        <v>16</v>
      </c>
      <c r="E401" t="s">
        <v>411</v>
      </c>
      <c r="F401" s="4"/>
      <c r="G401">
        <v>1989</v>
      </c>
      <c r="H401">
        <v>12</v>
      </c>
      <c r="I401">
        <v>6</v>
      </c>
      <c r="J401" t="s">
        <v>259</v>
      </c>
      <c r="K401">
        <v>112.28</v>
      </c>
      <c r="L401">
        <v>2</v>
      </c>
      <c r="M401" t="s">
        <v>744</v>
      </c>
      <c r="N401" t="s">
        <v>64</v>
      </c>
      <c r="O401" t="s">
        <v>20</v>
      </c>
    </row>
    <row r="402" spans="1:16" x14ac:dyDescent="0.25">
      <c r="A402" t="s">
        <v>745</v>
      </c>
      <c r="B402" s="1">
        <v>45933</v>
      </c>
      <c r="C402" s="2">
        <v>0.83958333333333335</v>
      </c>
      <c r="D402" t="s">
        <v>16</v>
      </c>
      <c r="E402" t="s">
        <v>379</v>
      </c>
      <c r="F402" s="4"/>
      <c r="G402">
        <v>2001</v>
      </c>
      <c r="H402">
        <v>11</v>
      </c>
      <c r="I402">
        <v>6</v>
      </c>
      <c r="J402" t="s">
        <v>129</v>
      </c>
      <c r="K402">
        <v>161.99</v>
      </c>
      <c r="L402">
        <v>2</v>
      </c>
      <c r="M402">
        <v>323.98</v>
      </c>
      <c r="N402" t="s">
        <v>54</v>
      </c>
      <c r="O402" t="s">
        <v>47</v>
      </c>
      <c r="P402" t="s">
        <v>33</v>
      </c>
    </row>
    <row r="403" spans="1:16" x14ac:dyDescent="0.25">
      <c r="A403" t="s">
        <v>746</v>
      </c>
      <c r="B403" t="s">
        <v>619</v>
      </c>
      <c r="C403" s="2">
        <v>0.83750000000000002</v>
      </c>
      <c r="D403" t="s">
        <v>16</v>
      </c>
      <c r="E403" t="s">
        <v>420</v>
      </c>
      <c r="F403" s="4"/>
      <c r="G403">
        <v>2004</v>
      </c>
      <c r="H403">
        <v>2</v>
      </c>
      <c r="I403">
        <v>26</v>
      </c>
      <c r="J403" t="s">
        <v>126</v>
      </c>
      <c r="K403">
        <v>147.05000000000001</v>
      </c>
      <c r="L403">
        <v>1</v>
      </c>
      <c r="M403">
        <v>147.05000000000001</v>
      </c>
      <c r="N403" t="s">
        <v>19</v>
      </c>
      <c r="O403" t="s">
        <v>37</v>
      </c>
    </row>
    <row r="404" spans="1:16" x14ac:dyDescent="0.25">
      <c r="A404" t="s">
        <v>747</v>
      </c>
      <c r="B404" s="4">
        <v>45772</v>
      </c>
      <c r="C404" s="2">
        <v>0.56736111111111109</v>
      </c>
      <c r="D404" t="s">
        <v>16</v>
      </c>
      <c r="E404" t="s">
        <v>98</v>
      </c>
      <c r="F404" s="4"/>
      <c r="G404">
        <v>1973</v>
      </c>
      <c r="H404">
        <v>6</v>
      </c>
      <c r="I404">
        <v>26</v>
      </c>
      <c r="J404" t="s">
        <v>104</v>
      </c>
      <c r="K404">
        <v>281.08</v>
      </c>
      <c r="L404">
        <v>2</v>
      </c>
      <c r="M404">
        <v>562.16</v>
      </c>
      <c r="O404" t="s">
        <v>55</v>
      </c>
      <c r="P404" t="s">
        <v>48</v>
      </c>
    </row>
    <row r="405" spans="1:16" x14ac:dyDescent="0.25">
      <c r="A405" t="s">
        <v>748</v>
      </c>
      <c r="B405" t="s">
        <v>749</v>
      </c>
      <c r="C405" s="2">
        <v>0.84097222222222223</v>
      </c>
      <c r="D405" t="s">
        <v>16</v>
      </c>
      <c r="E405" t="s">
        <v>240</v>
      </c>
      <c r="F405" s="4"/>
      <c r="G405">
        <v>1986</v>
      </c>
      <c r="H405">
        <v>9</v>
      </c>
      <c r="I405">
        <v>8</v>
      </c>
      <c r="J405" t="s">
        <v>85</v>
      </c>
      <c r="K405">
        <v>297.39</v>
      </c>
      <c r="L405">
        <v>2</v>
      </c>
      <c r="M405">
        <v>594.78</v>
      </c>
      <c r="N405" t="s">
        <v>64</v>
      </c>
      <c r="O405" t="s">
        <v>37</v>
      </c>
      <c r="P405" t="s">
        <v>33</v>
      </c>
    </row>
    <row r="406" spans="1:16" x14ac:dyDescent="0.25">
      <c r="A406" t="s">
        <v>750</v>
      </c>
      <c r="B406" s="4">
        <v>45672</v>
      </c>
      <c r="C406" s="3">
        <v>0.60577546296296292</v>
      </c>
      <c r="D406" t="s">
        <v>16</v>
      </c>
      <c r="E406" t="s">
        <v>189</v>
      </c>
      <c r="F406" s="4"/>
      <c r="G406">
        <v>2009</v>
      </c>
      <c r="H406">
        <v>4</v>
      </c>
      <c r="I406">
        <v>19</v>
      </c>
      <c r="J406" t="s">
        <v>178</v>
      </c>
      <c r="K406">
        <v>301.27</v>
      </c>
      <c r="L406">
        <v>2</v>
      </c>
      <c r="M406">
        <v>602.54</v>
      </c>
      <c r="N406" t="s">
        <v>25</v>
      </c>
      <c r="O406" t="s">
        <v>32</v>
      </c>
      <c r="P406" t="s">
        <v>27</v>
      </c>
    </row>
    <row r="407" spans="1:16" x14ac:dyDescent="0.25">
      <c r="A407" t="s">
        <v>751</v>
      </c>
      <c r="B407" s="1">
        <v>45773</v>
      </c>
      <c r="C407" s="3">
        <v>0.9912037037037037</v>
      </c>
      <c r="D407" t="s">
        <v>16</v>
      </c>
      <c r="E407" t="s">
        <v>125</v>
      </c>
      <c r="G407">
        <v>1970</v>
      </c>
      <c r="H407">
        <v>7</v>
      </c>
      <c r="I407">
        <v>2</v>
      </c>
      <c r="J407" t="s">
        <v>199</v>
      </c>
      <c r="K407">
        <v>235.67</v>
      </c>
      <c r="L407">
        <v>2</v>
      </c>
      <c r="M407">
        <v>471.34</v>
      </c>
      <c r="N407" t="s">
        <v>67</v>
      </c>
      <c r="O407" t="s">
        <v>47</v>
      </c>
    </row>
    <row r="408" spans="1:16" x14ac:dyDescent="0.25">
      <c r="A408" t="s">
        <v>752</v>
      </c>
      <c r="B408" s="4">
        <v>45842</v>
      </c>
      <c r="C408" s="3">
        <v>0.46886574074074072</v>
      </c>
      <c r="D408" t="s">
        <v>16</v>
      </c>
      <c r="E408" t="s">
        <v>101</v>
      </c>
      <c r="F408" s="1"/>
      <c r="G408">
        <v>1972</v>
      </c>
      <c r="H408">
        <v>11</v>
      </c>
      <c r="I408">
        <v>13</v>
      </c>
      <c r="J408" t="s">
        <v>24</v>
      </c>
      <c r="K408">
        <v>199.65</v>
      </c>
      <c r="L408">
        <v>1</v>
      </c>
      <c r="M408">
        <v>199.65</v>
      </c>
      <c r="N408" t="s">
        <v>31</v>
      </c>
      <c r="O408" t="s">
        <v>37</v>
      </c>
      <c r="P408" t="s">
        <v>27</v>
      </c>
    </row>
    <row r="409" spans="1:16" x14ac:dyDescent="0.25">
      <c r="A409" t="s">
        <v>753</v>
      </c>
      <c r="B409" s="4">
        <v>45918</v>
      </c>
      <c r="C409" s="5">
        <v>0.75347222222222221</v>
      </c>
      <c r="D409" t="s">
        <v>16</v>
      </c>
      <c r="E409" t="s">
        <v>206</v>
      </c>
      <c r="J409" t="s">
        <v>85</v>
      </c>
      <c r="K409">
        <v>84.06</v>
      </c>
      <c r="L409">
        <v>1</v>
      </c>
      <c r="M409">
        <v>84.06</v>
      </c>
      <c r="O409" t="s">
        <v>32</v>
      </c>
      <c r="P409" t="s">
        <v>56</v>
      </c>
    </row>
    <row r="410" spans="1:16" x14ac:dyDescent="0.25">
      <c r="A410" t="s">
        <v>754</v>
      </c>
      <c r="B410" s="1">
        <v>45718</v>
      </c>
      <c r="C410" s="5">
        <v>0.60972222222222228</v>
      </c>
      <c r="D410" t="s">
        <v>16</v>
      </c>
      <c r="E410" t="s">
        <v>458</v>
      </c>
      <c r="J410" t="s">
        <v>73</v>
      </c>
      <c r="K410">
        <v>55.91</v>
      </c>
      <c r="L410">
        <v>1</v>
      </c>
      <c r="M410">
        <v>55.91</v>
      </c>
      <c r="N410" t="s">
        <v>19</v>
      </c>
      <c r="O410" t="s">
        <v>37</v>
      </c>
    </row>
    <row r="411" spans="1:16" x14ac:dyDescent="0.25">
      <c r="A411" t="s">
        <v>755</v>
      </c>
      <c r="B411" t="s">
        <v>756</v>
      </c>
      <c r="C411" s="5">
        <v>0.82013888888888886</v>
      </c>
      <c r="D411" t="s">
        <v>16</v>
      </c>
      <c r="E411" t="s">
        <v>144</v>
      </c>
      <c r="F411" s="1"/>
      <c r="G411">
        <v>1979</v>
      </c>
      <c r="H411">
        <v>11</v>
      </c>
      <c r="I411">
        <v>11</v>
      </c>
      <c r="J411" t="s">
        <v>199</v>
      </c>
      <c r="K411" t="s">
        <v>757</v>
      </c>
      <c r="L411">
        <v>1</v>
      </c>
      <c r="M411">
        <v>198.13</v>
      </c>
      <c r="O411" t="s">
        <v>47</v>
      </c>
      <c r="P411" t="s">
        <v>56</v>
      </c>
    </row>
    <row r="412" spans="1:16" x14ac:dyDescent="0.25">
      <c r="A412" t="s">
        <v>758</v>
      </c>
      <c r="B412" s="4">
        <v>45912</v>
      </c>
      <c r="C412" s="5">
        <v>0.55486111111111114</v>
      </c>
      <c r="D412" t="s">
        <v>16</v>
      </c>
      <c r="E412" t="s">
        <v>512</v>
      </c>
      <c r="F412" s="4"/>
      <c r="G412">
        <v>1978</v>
      </c>
      <c r="H412">
        <v>9</v>
      </c>
      <c r="I412">
        <v>12</v>
      </c>
      <c r="J412" t="s">
        <v>30</v>
      </c>
      <c r="K412">
        <v>241.84</v>
      </c>
      <c r="L412">
        <v>2</v>
      </c>
      <c r="M412">
        <v>483.68</v>
      </c>
      <c r="N412" t="s">
        <v>54</v>
      </c>
      <c r="O412" t="s">
        <v>61</v>
      </c>
      <c r="P412" t="s">
        <v>33</v>
      </c>
    </row>
    <row r="413" spans="1:16" x14ac:dyDescent="0.25">
      <c r="A413" t="s">
        <v>759</v>
      </c>
      <c r="B413" t="s">
        <v>760</v>
      </c>
      <c r="C413" s="3">
        <v>0.67515046296296299</v>
      </c>
      <c r="D413" t="s">
        <v>16</v>
      </c>
      <c r="E413" t="s">
        <v>659</v>
      </c>
      <c r="G413">
        <v>2007</v>
      </c>
      <c r="H413">
        <v>12</v>
      </c>
      <c r="I413">
        <v>17</v>
      </c>
      <c r="J413" t="s">
        <v>259</v>
      </c>
      <c r="K413">
        <v>276.89</v>
      </c>
      <c r="L413">
        <v>1</v>
      </c>
      <c r="M413">
        <v>279.89</v>
      </c>
      <c r="N413" t="s">
        <v>19</v>
      </c>
      <c r="O413" t="s">
        <v>32</v>
      </c>
      <c r="P413" t="s">
        <v>56</v>
      </c>
    </row>
    <row r="414" spans="1:16" x14ac:dyDescent="0.25">
      <c r="A414" t="s">
        <v>761</v>
      </c>
      <c r="B414" t="s">
        <v>762</v>
      </c>
      <c r="C414" s="5">
        <v>0.9868055555555556</v>
      </c>
      <c r="D414" t="s">
        <v>16</v>
      </c>
      <c r="E414" t="s">
        <v>295</v>
      </c>
      <c r="F414" s="4"/>
      <c r="G414">
        <v>2000</v>
      </c>
      <c r="H414">
        <v>1</v>
      </c>
      <c r="I414">
        <v>9</v>
      </c>
      <c r="J414" t="s">
        <v>60</v>
      </c>
      <c r="K414">
        <v>173.52</v>
      </c>
      <c r="L414">
        <v>2</v>
      </c>
      <c r="M414">
        <v>347.04</v>
      </c>
      <c r="N414" t="s">
        <v>41</v>
      </c>
      <c r="O414" t="s">
        <v>20</v>
      </c>
      <c r="P414" t="s">
        <v>27</v>
      </c>
    </row>
    <row r="415" spans="1:16" x14ac:dyDescent="0.25">
      <c r="A415" t="s">
        <v>763</v>
      </c>
      <c r="B415" s="4">
        <v>45706</v>
      </c>
      <c r="C415" s="2">
        <v>0.91041666666666665</v>
      </c>
      <c r="D415" t="s">
        <v>16</v>
      </c>
      <c r="E415" t="s">
        <v>764</v>
      </c>
      <c r="G415">
        <v>1980</v>
      </c>
      <c r="H415">
        <v>1</v>
      </c>
      <c r="I415">
        <v>16</v>
      </c>
      <c r="J415" t="s">
        <v>199</v>
      </c>
      <c r="K415">
        <v>232.49</v>
      </c>
      <c r="L415">
        <v>2</v>
      </c>
      <c r="M415">
        <v>464.98</v>
      </c>
      <c r="N415" t="s">
        <v>41</v>
      </c>
      <c r="O415" t="s">
        <v>37</v>
      </c>
      <c r="P415" t="s">
        <v>21</v>
      </c>
    </row>
    <row r="416" spans="1:16" x14ac:dyDescent="0.25">
      <c r="A416" t="s">
        <v>765</v>
      </c>
      <c r="B416" s="4">
        <v>45624</v>
      </c>
      <c r="C416" s="5">
        <v>0.47638888888888886</v>
      </c>
      <c r="D416" t="s">
        <v>16</v>
      </c>
      <c r="E416" t="s">
        <v>98</v>
      </c>
      <c r="G416">
        <v>1991</v>
      </c>
      <c r="H416">
        <v>12</v>
      </c>
      <c r="I416">
        <v>12</v>
      </c>
      <c r="J416" t="s">
        <v>116</v>
      </c>
      <c r="K416">
        <v>107.98</v>
      </c>
      <c r="L416">
        <v>2</v>
      </c>
      <c r="M416">
        <v>215.96</v>
      </c>
      <c r="N416" t="s">
        <v>67</v>
      </c>
      <c r="O416" t="s">
        <v>37</v>
      </c>
      <c r="P416" t="s">
        <v>33</v>
      </c>
    </row>
    <row r="417" spans="1:16" x14ac:dyDescent="0.25">
      <c r="A417" t="s">
        <v>766</v>
      </c>
      <c r="B417" s="4">
        <v>45880</v>
      </c>
      <c r="C417" s="2">
        <v>0.5708333333333333</v>
      </c>
      <c r="D417" t="s">
        <v>16</v>
      </c>
      <c r="E417" t="s">
        <v>622</v>
      </c>
      <c r="G417">
        <v>1985</v>
      </c>
      <c r="H417">
        <v>4</v>
      </c>
      <c r="I417">
        <v>9</v>
      </c>
      <c r="J417" t="s">
        <v>85</v>
      </c>
      <c r="K417">
        <v>115.9</v>
      </c>
      <c r="L417">
        <v>2</v>
      </c>
      <c r="M417">
        <v>231.8</v>
      </c>
      <c r="N417" t="s">
        <v>41</v>
      </c>
      <c r="O417" t="s">
        <v>55</v>
      </c>
      <c r="P417" t="s">
        <v>27</v>
      </c>
    </row>
    <row r="418" spans="1:16" x14ac:dyDescent="0.25">
      <c r="A418" t="s">
        <v>767</v>
      </c>
      <c r="B418" s="4">
        <v>45941</v>
      </c>
      <c r="C418" s="5">
        <v>0.51736111111111116</v>
      </c>
      <c r="D418" t="s">
        <v>16</v>
      </c>
      <c r="E418" t="s">
        <v>50</v>
      </c>
      <c r="F418" s="4"/>
      <c r="G418">
        <v>2010</v>
      </c>
      <c r="H418">
        <v>10</v>
      </c>
      <c r="I418">
        <v>13</v>
      </c>
      <c r="J418" t="s">
        <v>259</v>
      </c>
      <c r="K418">
        <v>208.71</v>
      </c>
      <c r="L418">
        <v>3</v>
      </c>
      <c r="M418">
        <v>626.13</v>
      </c>
      <c r="N418" t="s">
        <v>64</v>
      </c>
      <c r="O418" t="s">
        <v>89</v>
      </c>
      <c r="P418" t="s">
        <v>21</v>
      </c>
    </row>
    <row r="419" spans="1:16" x14ac:dyDescent="0.25">
      <c r="A419" t="s">
        <v>768</v>
      </c>
      <c r="B419" s="4">
        <v>45804</v>
      </c>
      <c r="C419" s="5">
        <v>0.75555555555555554</v>
      </c>
      <c r="D419" t="s">
        <v>16</v>
      </c>
      <c r="E419" t="s">
        <v>208</v>
      </c>
      <c r="F419" s="4"/>
      <c r="G419">
        <v>1978</v>
      </c>
      <c r="H419">
        <v>6</v>
      </c>
      <c r="I419">
        <v>10</v>
      </c>
      <c r="J419" t="s">
        <v>53</v>
      </c>
      <c r="K419">
        <v>117.9</v>
      </c>
      <c r="L419">
        <v>2</v>
      </c>
      <c r="M419">
        <v>235.8</v>
      </c>
      <c r="N419" t="s">
        <v>54</v>
      </c>
      <c r="O419" t="s">
        <v>32</v>
      </c>
    </row>
    <row r="420" spans="1:16" x14ac:dyDescent="0.25">
      <c r="A420" t="s">
        <v>769</v>
      </c>
      <c r="B420" s="4">
        <v>45734</v>
      </c>
      <c r="C420" s="2">
        <v>0.63194444444444442</v>
      </c>
      <c r="D420" t="s">
        <v>16</v>
      </c>
      <c r="E420" t="s">
        <v>770</v>
      </c>
      <c r="F420" s="1"/>
      <c r="G420">
        <v>1979</v>
      </c>
      <c r="H420">
        <v>9</v>
      </c>
      <c r="I420">
        <v>20</v>
      </c>
      <c r="J420" t="s">
        <v>141</v>
      </c>
      <c r="K420">
        <v>131.38999999999999</v>
      </c>
      <c r="L420">
        <v>1</v>
      </c>
      <c r="M420">
        <v>131.38999999999999</v>
      </c>
      <c r="N420" t="s">
        <v>25</v>
      </c>
      <c r="O420" t="s">
        <v>47</v>
      </c>
      <c r="P420" t="s">
        <v>21</v>
      </c>
    </row>
    <row r="421" spans="1:16" x14ac:dyDescent="0.25">
      <c r="A421" t="s">
        <v>771</v>
      </c>
      <c r="B421" s="4">
        <v>45647</v>
      </c>
      <c r="C421" s="5">
        <v>0.52083333333333337</v>
      </c>
      <c r="D421" t="s">
        <v>16</v>
      </c>
      <c r="E421" t="s">
        <v>84</v>
      </c>
      <c r="F421" s="4"/>
      <c r="G421">
        <v>1995</v>
      </c>
      <c r="H421">
        <v>10</v>
      </c>
      <c r="I421">
        <v>7</v>
      </c>
      <c r="J421" t="s">
        <v>53</v>
      </c>
      <c r="K421">
        <v>86.56</v>
      </c>
      <c r="L421">
        <v>1</v>
      </c>
      <c r="M421">
        <v>86.56</v>
      </c>
      <c r="N421" t="s">
        <v>19</v>
      </c>
      <c r="O421" t="s">
        <v>61</v>
      </c>
      <c r="P421" t="s">
        <v>33</v>
      </c>
    </row>
    <row r="422" spans="1:16" x14ac:dyDescent="0.25">
      <c r="A422" t="s">
        <v>772</v>
      </c>
      <c r="B422" s="4">
        <v>45955</v>
      </c>
      <c r="C422" s="3">
        <v>0.78309027777777773</v>
      </c>
      <c r="D422" t="s">
        <v>16</v>
      </c>
      <c r="E422" t="s">
        <v>458</v>
      </c>
      <c r="F422" s="4"/>
      <c r="G422">
        <v>1991</v>
      </c>
      <c r="H422">
        <v>5</v>
      </c>
      <c r="I422">
        <v>2</v>
      </c>
      <c r="J422" t="s">
        <v>126</v>
      </c>
      <c r="K422">
        <v>226.57</v>
      </c>
      <c r="L422">
        <v>2</v>
      </c>
      <c r="M422">
        <v>453.14</v>
      </c>
      <c r="O422" t="s">
        <v>20</v>
      </c>
      <c r="P422" t="s">
        <v>74</v>
      </c>
    </row>
    <row r="423" spans="1:16" x14ac:dyDescent="0.25">
      <c r="A423" t="s">
        <v>773</v>
      </c>
      <c r="B423" s="1">
        <v>45646</v>
      </c>
      <c r="C423" s="3">
        <v>0.99081018518518515</v>
      </c>
      <c r="D423" t="s">
        <v>16</v>
      </c>
      <c r="E423" t="s">
        <v>158</v>
      </c>
      <c r="J423" t="s">
        <v>126</v>
      </c>
      <c r="K423">
        <v>102.85</v>
      </c>
      <c r="L423">
        <v>2</v>
      </c>
      <c r="M423">
        <v>205.7</v>
      </c>
      <c r="N423" t="s">
        <v>31</v>
      </c>
      <c r="O423" t="s">
        <v>20</v>
      </c>
      <c r="P423" t="s">
        <v>105</v>
      </c>
    </row>
    <row r="424" spans="1:16" x14ac:dyDescent="0.25">
      <c r="A424" t="s">
        <v>774</v>
      </c>
      <c r="B424" s="4">
        <v>45925</v>
      </c>
      <c r="C424" s="5">
        <v>0.79583333333333328</v>
      </c>
      <c r="D424" t="s">
        <v>16</v>
      </c>
      <c r="E424" t="s">
        <v>206</v>
      </c>
      <c r="F424" s="4"/>
      <c r="G424">
        <v>1996</v>
      </c>
      <c r="H424">
        <v>7</v>
      </c>
      <c r="I424">
        <v>23</v>
      </c>
      <c r="J424" t="s">
        <v>53</v>
      </c>
      <c r="K424">
        <v>117.59</v>
      </c>
      <c r="L424">
        <v>2</v>
      </c>
      <c r="M424">
        <v>235.18</v>
      </c>
      <c r="N424" t="s">
        <v>54</v>
      </c>
      <c r="O424" t="s">
        <v>61</v>
      </c>
      <c r="P424" t="s">
        <v>48</v>
      </c>
    </row>
    <row r="425" spans="1:16" x14ac:dyDescent="0.25">
      <c r="A425" t="s">
        <v>775</v>
      </c>
      <c r="B425" s="1">
        <v>45800</v>
      </c>
      <c r="C425" s="3">
        <v>0.63561342592592596</v>
      </c>
      <c r="D425" t="s">
        <v>16</v>
      </c>
      <c r="E425" t="s">
        <v>776</v>
      </c>
      <c r="G425">
        <v>1986</v>
      </c>
      <c r="H425">
        <v>3</v>
      </c>
      <c r="I425">
        <v>7</v>
      </c>
      <c r="J425" t="s">
        <v>85</v>
      </c>
      <c r="K425">
        <v>39.44</v>
      </c>
      <c r="L425">
        <v>2</v>
      </c>
      <c r="M425">
        <v>78.88</v>
      </c>
      <c r="N425" t="s">
        <v>19</v>
      </c>
      <c r="O425" t="s">
        <v>20</v>
      </c>
      <c r="P425" t="s">
        <v>56</v>
      </c>
    </row>
    <row r="426" spans="1:16" x14ac:dyDescent="0.25">
      <c r="A426" t="s">
        <v>777</v>
      </c>
      <c r="B426" s="4">
        <v>45935</v>
      </c>
      <c r="C426" s="3">
        <v>0.93347222222222226</v>
      </c>
      <c r="D426" t="s">
        <v>16</v>
      </c>
      <c r="E426" t="s">
        <v>101</v>
      </c>
      <c r="G426">
        <v>1993</v>
      </c>
      <c r="H426">
        <v>3</v>
      </c>
      <c r="I426">
        <v>6</v>
      </c>
      <c r="J426" t="s">
        <v>85</v>
      </c>
      <c r="K426">
        <v>116.91</v>
      </c>
      <c r="L426">
        <v>2</v>
      </c>
      <c r="M426">
        <v>233.82</v>
      </c>
      <c r="N426" t="s">
        <v>64</v>
      </c>
      <c r="O426" t="s">
        <v>32</v>
      </c>
      <c r="P426" t="s">
        <v>74</v>
      </c>
    </row>
    <row r="427" spans="1:16" x14ac:dyDescent="0.25">
      <c r="A427" t="s">
        <v>778</v>
      </c>
      <c r="B427" s="4">
        <v>45685</v>
      </c>
      <c r="C427" s="3">
        <v>0.99157407407407405</v>
      </c>
      <c r="D427" t="s">
        <v>16</v>
      </c>
      <c r="E427" t="s">
        <v>360</v>
      </c>
      <c r="F427" s="1"/>
      <c r="G427">
        <v>1984</v>
      </c>
      <c r="H427">
        <v>8</v>
      </c>
      <c r="I427">
        <v>27</v>
      </c>
      <c r="J427" t="s">
        <v>18</v>
      </c>
      <c r="K427">
        <v>105.33</v>
      </c>
      <c r="L427">
        <v>1</v>
      </c>
      <c r="M427">
        <v>105.33</v>
      </c>
      <c r="O427" t="s">
        <v>61</v>
      </c>
      <c r="P427" t="s">
        <v>74</v>
      </c>
    </row>
    <row r="428" spans="1:16" x14ac:dyDescent="0.25">
      <c r="A428" t="s">
        <v>779</v>
      </c>
      <c r="B428" s="4">
        <v>45901</v>
      </c>
      <c r="C428" s="2">
        <v>0.6743055555555556</v>
      </c>
      <c r="D428" t="s">
        <v>16</v>
      </c>
      <c r="E428" t="s">
        <v>227</v>
      </c>
      <c r="G428">
        <v>1994</v>
      </c>
      <c r="H428">
        <v>12</v>
      </c>
      <c r="I428">
        <v>9</v>
      </c>
      <c r="J428" t="s">
        <v>40</v>
      </c>
      <c r="K428">
        <v>229.5</v>
      </c>
      <c r="L428">
        <v>1</v>
      </c>
      <c r="M428">
        <v>229.5</v>
      </c>
      <c r="N428" t="s">
        <v>19</v>
      </c>
      <c r="O428" t="s">
        <v>61</v>
      </c>
    </row>
    <row r="429" spans="1:16" x14ac:dyDescent="0.25">
      <c r="A429" t="s">
        <v>780</v>
      </c>
      <c r="B429" s="4">
        <v>45777</v>
      </c>
      <c r="C429" s="2">
        <v>0.89027777777777772</v>
      </c>
      <c r="D429" t="s">
        <v>16</v>
      </c>
      <c r="E429" t="s">
        <v>256</v>
      </c>
      <c r="F429" s="4"/>
      <c r="G429">
        <v>1987</v>
      </c>
      <c r="H429">
        <v>10</v>
      </c>
      <c r="I429">
        <v>27</v>
      </c>
      <c r="J429" t="s">
        <v>199</v>
      </c>
      <c r="K429">
        <v>212.4</v>
      </c>
      <c r="L429">
        <v>1</v>
      </c>
      <c r="M429">
        <v>212.4</v>
      </c>
      <c r="N429" t="s">
        <v>25</v>
      </c>
      <c r="O429" t="s">
        <v>55</v>
      </c>
    </row>
    <row r="430" spans="1:16" x14ac:dyDescent="0.25">
      <c r="A430" t="s">
        <v>781</v>
      </c>
      <c r="B430" s="4">
        <v>45837</v>
      </c>
      <c r="C430" s="3">
        <v>0.67618055555555556</v>
      </c>
      <c r="D430" t="s">
        <v>16</v>
      </c>
      <c r="E430" t="s">
        <v>158</v>
      </c>
      <c r="G430">
        <v>1984</v>
      </c>
      <c r="H430">
        <v>10</v>
      </c>
      <c r="I430">
        <v>26</v>
      </c>
      <c r="J430" t="s">
        <v>199</v>
      </c>
      <c r="K430">
        <v>249.38</v>
      </c>
      <c r="L430">
        <v>2</v>
      </c>
      <c r="M430">
        <v>498.76</v>
      </c>
      <c r="N430" t="s">
        <v>67</v>
      </c>
      <c r="O430" t="s">
        <v>37</v>
      </c>
      <c r="P430" t="s">
        <v>27</v>
      </c>
    </row>
    <row r="431" spans="1:16" x14ac:dyDescent="0.25">
      <c r="A431" t="s">
        <v>782</v>
      </c>
      <c r="B431" t="s">
        <v>783</v>
      </c>
      <c r="C431" s="5">
        <v>0.87986111111111109</v>
      </c>
      <c r="D431" t="s">
        <v>16</v>
      </c>
      <c r="E431" t="s">
        <v>622</v>
      </c>
      <c r="G431">
        <v>1994</v>
      </c>
      <c r="H431">
        <v>7</v>
      </c>
      <c r="I431">
        <v>13</v>
      </c>
      <c r="J431" t="s">
        <v>178</v>
      </c>
      <c r="K431">
        <v>313.41000000000003</v>
      </c>
      <c r="L431">
        <v>1</v>
      </c>
      <c r="M431">
        <v>313.41000000000003</v>
      </c>
      <c r="N431" t="s">
        <v>25</v>
      </c>
      <c r="O431" t="s">
        <v>55</v>
      </c>
      <c r="P431" t="s">
        <v>105</v>
      </c>
    </row>
    <row r="432" spans="1:16" x14ac:dyDescent="0.25">
      <c r="A432" t="s">
        <v>784</v>
      </c>
      <c r="B432" s="1">
        <v>45902</v>
      </c>
      <c r="C432" s="2">
        <v>0.46527777777777779</v>
      </c>
      <c r="D432" t="s">
        <v>16</v>
      </c>
      <c r="E432" t="s">
        <v>66</v>
      </c>
      <c r="F432" s="4"/>
      <c r="G432">
        <v>2006</v>
      </c>
      <c r="H432">
        <v>10</v>
      </c>
      <c r="I432">
        <v>12</v>
      </c>
      <c r="J432" t="s">
        <v>45</v>
      </c>
      <c r="K432">
        <v>333.09</v>
      </c>
      <c r="L432">
        <v>1</v>
      </c>
      <c r="M432">
        <v>333.09</v>
      </c>
      <c r="O432" t="s">
        <v>55</v>
      </c>
      <c r="P432" t="s">
        <v>105</v>
      </c>
    </row>
    <row r="433" spans="1:16" x14ac:dyDescent="0.25">
      <c r="A433" t="s">
        <v>785</v>
      </c>
      <c r="B433" s="4">
        <v>45892</v>
      </c>
      <c r="C433" s="3">
        <v>0.95785879629629633</v>
      </c>
      <c r="D433" t="s">
        <v>16</v>
      </c>
      <c r="E433" t="s">
        <v>324</v>
      </c>
      <c r="F433" s="1"/>
      <c r="G433">
        <v>1980</v>
      </c>
      <c r="H433">
        <v>2</v>
      </c>
      <c r="I433">
        <v>16</v>
      </c>
      <c r="J433" t="s">
        <v>36</v>
      </c>
      <c r="K433">
        <v>131.59</v>
      </c>
      <c r="L433">
        <v>2</v>
      </c>
      <c r="M433">
        <v>263.18</v>
      </c>
      <c r="N433" t="s">
        <v>64</v>
      </c>
      <c r="O433" t="s">
        <v>55</v>
      </c>
    </row>
    <row r="434" spans="1:16" x14ac:dyDescent="0.25">
      <c r="A434" t="s">
        <v>786</v>
      </c>
      <c r="B434" s="4">
        <v>45954</v>
      </c>
      <c r="C434" s="2">
        <v>0.98124999999999996</v>
      </c>
      <c r="D434" t="s">
        <v>16</v>
      </c>
      <c r="E434" t="s">
        <v>181</v>
      </c>
      <c r="F434" s="4"/>
      <c r="G434">
        <v>2004</v>
      </c>
      <c r="H434">
        <v>9</v>
      </c>
      <c r="I434">
        <v>13</v>
      </c>
      <c r="J434" t="s">
        <v>141</v>
      </c>
      <c r="K434">
        <v>164.65</v>
      </c>
      <c r="L434">
        <v>3</v>
      </c>
      <c r="M434">
        <v>493.95</v>
      </c>
      <c r="N434" t="s">
        <v>25</v>
      </c>
      <c r="O434" t="s">
        <v>55</v>
      </c>
    </row>
    <row r="435" spans="1:16" x14ac:dyDescent="0.25">
      <c r="A435" t="s">
        <v>787</v>
      </c>
      <c r="B435" s="4">
        <v>45638</v>
      </c>
      <c r="C435" s="2">
        <v>0.62291666666666667</v>
      </c>
      <c r="D435" t="s">
        <v>16</v>
      </c>
      <c r="E435" t="s">
        <v>138</v>
      </c>
      <c r="F435" s="4"/>
      <c r="G435">
        <v>1973</v>
      </c>
      <c r="H435">
        <v>9</v>
      </c>
      <c r="I435">
        <v>1</v>
      </c>
      <c r="J435" t="s">
        <v>36</v>
      </c>
      <c r="K435">
        <v>44.68</v>
      </c>
      <c r="L435">
        <v>2</v>
      </c>
      <c r="M435">
        <v>89.36</v>
      </c>
      <c r="N435" t="s">
        <v>64</v>
      </c>
      <c r="O435" t="s">
        <v>26</v>
      </c>
      <c r="P435" t="s">
        <v>33</v>
      </c>
    </row>
    <row r="436" spans="1:16" x14ac:dyDescent="0.25">
      <c r="A436" t="s">
        <v>788</v>
      </c>
      <c r="B436" s="4">
        <v>45870</v>
      </c>
      <c r="C436" s="5">
        <v>0.45763888888888887</v>
      </c>
      <c r="D436" t="s">
        <v>16</v>
      </c>
      <c r="E436" t="s">
        <v>789</v>
      </c>
      <c r="F436" s="4"/>
      <c r="G436">
        <v>1985</v>
      </c>
      <c r="H436">
        <v>11</v>
      </c>
      <c r="I436">
        <v>27</v>
      </c>
      <c r="J436" t="s">
        <v>40</v>
      </c>
      <c r="K436">
        <v>230.99</v>
      </c>
      <c r="L436">
        <v>3</v>
      </c>
      <c r="M436">
        <v>692.97</v>
      </c>
      <c r="N436" t="s">
        <v>25</v>
      </c>
      <c r="O436" t="s">
        <v>47</v>
      </c>
      <c r="P436" t="s">
        <v>48</v>
      </c>
    </row>
    <row r="437" spans="1:16" x14ac:dyDescent="0.25">
      <c r="A437" t="s">
        <v>790</v>
      </c>
      <c r="B437" t="s">
        <v>791</v>
      </c>
      <c r="C437" s="3">
        <v>0.97666666666666668</v>
      </c>
      <c r="D437" t="s">
        <v>16</v>
      </c>
      <c r="E437" t="s">
        <v>792</v>
      </c>
      <c r="F437" s="4"/>
      <c r="G437">
        <v>1995</v>
      </c>
      <c r="H437">
        <v>1</v>
      </c>
      <c r="I437">
        <v>23</v>
      </c>
      <c r="J437" t="s">
        <v>104</v>
      </c>
      <c r="K437">
        <v>235.07</v>
      </c>
      <c r="L437">
        <v>2</v>
      </c>
      <c r="M437">
        <v>470.14</v>
      </c>
      <c r="N437" t="s">
        <v>25</v>
      </c>
      <c r="O437" t="s">
        <v>26</v>
      </c>
      <c r="P437" t="s">
        <v>21</v>
      </c>
    </row>
    <row r="438" spans="1:16" x14ac:dyDescent="0.25">
      <c r="A438" t="s">
        <v>793</v>
      </c>
      <c r="B438" s="4">
        <v>45819</v>
      </c>
      <c r="C438" s="3">
        <v>0.48326388888888888</v>
      </c>
      <c r="D438" t="s">
        <v>16</v>
      </c>
      <c r="E438" t="s">
        <v>794</v>
      </c>
      <c r="F438" s="4"/>
      <c r="G438">
        <v>2000</v>
      </c>
      <c r="H438">
        <v>2</v>
      </c>
      <c r="I438">
        <v>4</v>
      </c>
      <c r="J438" t="s">
        <v>18</v>
      </c>
      <c r="K438">
        <v>89.44</v>
      </c>
      <c r="L438">
        <v>1</v>
      </c>
      <c r="M438">
        <v>89.44</v>
      </c>
      <c r="N438" t="s">
        <v>54</v>
      </c>
      <c r="O438" t="s">
        <v>55</v>
      </c>
      <c r="P438" t="s">
        <v>27</v>
      </c>
    </row>
    <row r="439" spans="1:16" x14ac:dyDescent="0.25">
      <c r="A439" t="s">
        <v>795</v>
      </c>
      <c r="B439" s="1">
        <v>45791</v>
      </c>
      <c r="C439" s="5">
        <v>0.51527777777777772</v>
      </c>
      <c r="D439" t="s">
        <v>16</v>
      </c>
      <c r="E439" t="s">
        <v>346</v>
      </c>
      <c r="F439" s="4"/>
      <c r="G439">
        <v>1988</v>
      </c>
      <c r="H439">
        <v>9</v>
      </c>
      <c r="I439">
        <v>3</v>
      </c>
      <c r="J439" t="s">
        <v>243</v>
      </c>
      <c r="K439">
        <v>112.16</v>
      </c>
      <c r="L439">
        <v>1</v>
      </c>
      <c r="M439">
        <v>112.16</v>
      </c>
      <c r="N439" t="s">
        <v>41</v>
      </c>
      <c r="O439" t="s">
        <v>32</v>
      </c>
      <c r="P439" t="s">
        <v>56</v>
      </c>
    </row>
    <row r="440" spans="1:16" x14ac:dyDescent="0.25">
      <c r="A440" t="s">
        <v>796</v>
      </c>
      <c r="B440" s="4">
        <v>45636</v>
      </c>
      <c r="C440" s="3">
        <v>0.84305555555555556</v>
      </c>
      <c r="D440" t="s">
        <v>16</v>
      </c>
      <c r="E440" t="s">
        <v>797</v>
      </c>
      <c r="F440" s="1"/>
      <c r="G440">
        <v>2006</v>
      </c>
      <c r="H440">
        <v>2</v>
      </c>
      <c r="I440">
        <v>28</v>
      </c>
      <c r="J440" t="s">
        <v>60</v>
      </c>
      <c r="K440">
        <v>174.88</v>
      </c>
      <c r="L440">
        <v>2</v>
      </c>
      <c r="M440">
        <v>349.76</v>
      </c>
      <c r="O440" t="s">
        <v>32</v>
      </c>
      <c r="P440" t="s">
        <v>33</v>
      </c>
    </row>
    <row r="441" spans="1:16" x14ac:dyDescent="0.25">
      <c r="A441" t="s">
        <v>798</v>
      </c>
      <c r="B441" s="4">
        <v>45690</v>
      </c>
      <c r="C441" s="5">
        <v>0.67777777777777781</v>
      </c>
      <c r="D441" t="s">
        <v>16</v>
      </c>
      <c r="E441" t="s">
        <v>473</v>
      </c>
      <c r="G441">
        <v>1972</v>
      </c>
      <c r="H441">
        <v>8</v>
      </c>
      <c r="I441">
        <v>14</v>
      </c>
      <c r="J441" t="s">
        <v>30</v>
      </c>
      <c r="K441">
        <v>315.32</v>
      </c>
      <c r="L441">
        <v>2</v>
      </c>
      <c r="M441">
        <v>630.64</v>
      </c>
      <c r="N441" t="s">
        <v>67</v>
      </c>
      <c r="O441" t="s">
        <v>47</v>
      </c>
      <c r="P441" t="s">
        <v>33</v>
      </c>
    </row>
    <row r="442" spans="1:16" x14ac:dyDescent="0.25">
      <c r="A442" t="s">
        <v>799</v>
      </c>
      <c r="B442" s="4">
        <v>45981</v>
      </c>
      <c r="C442" s="2">
        <v>0.99027777777777781</v>
      </c>
      <c r="D442" t="s">
        <v>16</v>
      </c>
      <c r="E442" t="s">
        <v>451</v>
      </c>
      <c r="F442" s="1"/>
      <c r="G442">
        <v>1996</v>
      </c>
      <c r="H442">
        <v>6</v>
      </c>
      <c r="I442">
        <v>21</v>
      </c>
      <c r="J442" t="s">
        <v>141</v>
      </c>
      <c r="K442">
        <v>162.28</v>
      </c>
      <c r="L442">
        <v>2</v>
      </c>
      <c r="M442">
        <v>324.56</v>
      </c>
      <c r="O442" t="s">
        <v>55</v>
      </c>
      <c r="P442" t="s">
        <v>33</v>
      </c>
    </row>
    <row r="443" spans="1:16" x14ac:dyDescent="0.25">
      <c r="A443" t="s">
        <v>800</v>
      </c>
      <c r="B443" s="4">
        <v>45814</v>
      </c>
      <c r="C443" s="2">
        <v>0.61597222222222225</v>
      </c>
      <c r="D443" t="s">
        <v>16</v>
      </c>
      <c r="E443" t="s">
        <v>328</v>
      </c>
      <c r="G443">
        <v>1979</v>
      </c>
      <c r="H443">
        <v>7</v>
      </c>
      <c r="I443">
        <v>11</v>
      </c>
      <c r="J443" t="s">
        <v>77</v>
      </c>
      <c r="K443">
        <v>153.80000000000001</v>
      </c>
      <c r="L443">
        <v>1</v>
      </c>
      <c r="M443">
        <v>153.80000000000001</v>
      </c>
      <c r="N443" t="s">
        <v>64</v>
      </c>
      <c r="O443" t="s">
        <v>47</v>
      </c>
      <c r="P443" t="s">
        <v>27</v>
      </c>
    </row>
    <row r="444" spans="1:16" x14ac:dyDescent="0.25">
      <c r="A444" t="s">
        <v>801</v>
      </c>
      <c r="B444" s="4">
        <v>45726</v>
      </c>
      <c r="C444" s="3">
        <v>0.6527546296296296</v>
      </c>
      <c r="D444" t="s">
        <v>16</v>
      </c>
      <c r="E444" t="s">
        <v>50</v>
      </c>
      <c r="F444" s="4"/>
      <c r="G444">
        <v>1988</v>
      </c>
      <c r="H444">
        <v>5</v>
      </c>
      <c r="I444">
        <v>4</v>
      </c>
      <c r="J444" t="s">
        <v>45</v>
      </c>
      <c r="K444">
        <v>145.1</v>
      </c>
      <c r="L444">
        <v>1</v>
      </c>
      <c r="M444">
        <v>145.1</v>
      </c>
      <c r="O444" t="s">
        <v>26</v>
      </c>
      <c r="P444" t="s">
        <v>105</v>
      </c>
    </row>
    <row r="445" spans="1:16" x14ac:dyDescent="0.25">
      <c r="A445" t="s">
        <v>802</v>
      </c>
      <c r="B445" t="s">
        <v>803</v>
      </c>
      <c r="C445" s="5">
        <v>0.6875</v>
      </c>
      <c r="D445" t="s">
        <v>16</v>
      </c>
      <c r="E445" t="s">
        <v>332</v>
      </c>
      <c r="F445" s="4"/>
      <c r="G445">
        <v>1981</v>
      </c>
      <c r="H445">
        <v>8</v>
      </c>
      <c r="I445">
        <v>1</v>
      </c>
      <c r="J445" t="s">
        <v>40</v>
      </c>
      <c r="K445">
        <v>158.86000000000001</v>
      </c>
      <c r="L445">
        <v>1</v>
      </c>
      <c r="M445">
        <v>158.86000000000001</v>
      </c>
      <c r="N445" t="s">
        <v>19</v>
      </c>
      <c r="O445" t="s">
        <v>32</v>
      </c>
    </row>
    <row r="446" spans="1:16" x14ac:dyDescent="0.25">
      <c r="A446" t="s">
        <v>804</v>
      </c>
      <c r="B446" t="s">
        <v>805</v>
      </c>
      <c r="C446" s="3">
        <v>0.51659722222222226</v>
      </c>
      <c r="D446" t="s">
        <v>16</v>
      </c>
      <c r="E446" t="s">
        <v>133</v>
      </c>
      <c r="F446" s="1"/>
      <c r="G446">
        <v>1971</v>
      </c>
      <c r="H446">
        <v>8</v>
      </c>
      <c r="I446">
        <v>11</v>
      </c>
      <c r="J446" t="s">
        <v>73</v>
      </c>
      <c r="K446">
        <v>42.75</v>
      </c>
      <c r="L446">
        <v>3</v>
      </c>
      <c r="M446" t="s">
        <v>806</v>
      </c>
      <c r="N446" t="s">
        <v>31</v>
      </c>
      <c r="O446" t="s">
        <v>47</v>
      </c>
    </row>
    <row r="447" spans="1:16" x14ac:dyDescent="0.25">
      <c r="A447" t="s">
        <v>807</v>
      </c>
      <c r="B447" s="1">
        <v>45811</v>
      </c>
      <c r="C447" s="3">
        <v>0.8919097222222222</v>
      </c>
      <c r="D447" t="s">
        <v>16</v>
      </c>
      <c r="E447" t="s">
        <v>338</v>
      </c>
      <c r="F447" s="4"/>
      <c r="G447">
        <v>1992</v>
      </c>
      <c r="H447">
        <v>12</v>
      </c>
      <c r="I447">
        <v>9</v>
      </c>
      <c r="J447" t="s">
        <v>213</v>
      </c>
      <c r="L447">
        <v>1</v>
      </c>
      <c r="N447" t="s">
        <v>19</v>
      </c>
      <c r="O447" t="s">
        <v>37</v>
      </c>
      <c r="P447" t="s">
        <v>56</v>
      </c>
    </row>
    <row r="448" spans="1:16" x14ac:dyDescent="0.25">
      <c r="A448" t="s">
        <v>808</v>
      </c>
      <c r="B448" s="4">
        <v>45650</v>
      </c>
      <c r="C448" s="5">
        <v>0.92013888888888884</v>
      </c>
      <c r="D448" t="s">
        <v>16</v>
      </c>
      <c r="E448" t="s">
        <v>66</v>
      </c>
      <c r="G448">
        <v>2009</v>
      </c>
      <c r="H448">
        <v>2</v>
      </c>
      <c r="I448">
        <v>5</v>
      </c>
      <c r="J448" t="s">
        <v>213</v>
      </c>
      <c r="K448">
        <v>152.47</v>
      </c>
      <c r="L448">
        <v>1</v>
      </c>
      <c r="M448">
        <v>189.47</v>
      </c>
      <c r="N448" t="s">
        <v>54</v>
      </c>
      <c r="O448" t="s">
        <v>26</v>
      </c>
      <c r="P448" t="s">
        <v>74</v>
      </c>
    </row>
    <row r="449" spans="1:16" x14ac:dyDescent="0.25">
      <c r="A449" t="s">
        <v>809</v>
      </c>
      <c r="B449" s="4">
        <v>45781</v>
      </c>
      <c r="C449" s="2">
        <v>0.74444444444444446</v>
      </c>
      <c r="D449" t="s">
        <v>16</v>
      </c>
      <c r="E449" t="s">
        <v>387</v>
      </c>
      <c r="J449" t="s">
        <v>178</v>
      </c>
      <c r="K449">
        <v>346.77</v>
      </c>
      <c r="L449">
        <v>1</v>
      </c>
      <c r="M449">
        <v>346.77</v>
      </c>
      <c r="N449" t="s">
        <v>67</v>
      </c>
      <c r="O449" t="s">
        <v>37</v>
      </c>
      <c r="P449" t="s">
        <v>74</v>
      </c>
    </row>
    <row r="450" spans="1:16" x14ac:dyDescent="0.25">
      <c r="A450" t="s">
        <v>810</v>
      </c>
      <c r="B450" s="1">
        <v>45942</v>
      </c>
      <c r="C450" s="2">
        <v>0.80972222222222223</v>
      </c>
      <c r="D450" t="s">
        <v>16</v>
      </c>
      <c r="E450" t="s">
        <v>330</v>
      </c>
      <c r="F450" s="4"/>
      <c r="G450">
        <v>1985</v>
      </c>
      <c r="H450">
        <v>9</v>
      </c>
      <c r="I450">
        <v>1</v>
      </c>
      <c r="J450" t="s">
        <v>24</v>
      </c>
      <c r="K450">
        <v>195.59</v>
      </c>
      <c r="L450">
        <v>2</v>
      </c>
      <c r="M450">
        <v>436.18</v>
      </c>
      <c r="N450" t="s">
        <v>64</v>
      </c>
      <c r="O450" t="s">
        <v>32</v>
      </c>
      <c r="P450" t="s">
        <v>21</v>
      </c>
    </row>
    <row r="451" spans="1:16" x14ac:dyDescent="0.25">
      <c r="A451" t="s">
        <v>811</v>
      </c>
      <c r="B451" s="1">
        <v>45908</v>
      </c>
      <c r="C451" s="3">
        <v>0.72415509259259259</v>
      </c>
      <c r="D451" t="s">
        <v>16</v>
      </c>
      <c r="E451" t="s">
        <v>451</v>
      </c>
      <c r="F451" s="1"/>
      <c r="G451">
        <v>2004</v>
      </c>
      <c r="H451">
        <v>12</v>
      </c>
      <c r="I451">
        <v>7</v>
      </c>
      <c r="J451" t="s">
        <v>129</v>
      </c>
      <c r="K451">
        <v>217.88</v>
      </c>
      <c r="L451">
        <v>2</v>
      </c>
      <c r="M451" t="s">
        <v>812</v>
      </c>
      <c r="N451" t="s">
        <v>41</v>
      </c>
      <c r="O451" t="s">
        <v>32</v>
      </c>
      <c r="P451" t="s">
        <v>74</v>
      </c>
    </row>
    <row r="452" spans="1:16" x14ac:dyDescent="0.25">
      <c r="A452" t="s">
        <v>813</v>
      </c>
      <c r="B452" s="1">
        <v>45940</v>
      </c>
      <c r="C452" s="2">
        <v>0.43541666666666667</v>
      </c>
      <c r="D452" t="s">
        <v>16</v>
      </c>
      <c r="E452" t="s">
        <v>35</v>
      </c>
      <c r="F452" s="4"/>
      <c r="G452">
        <v>1976</v>
      </c>
      <c r="H452">
        <v>1</v>
      </c>
      <c r="I452">
        <v>13</v>
      </c>
      <c r="J452" t="s">
        <v>141</v>
      </c>
      <c r="K452">
        <v>157.79</v>
      </c>
      <c r="L452">
        <v>1</v>
      </c>
      <c r="M452">
        <v>157.79</v>
      </c>
      <c r="N452" t="s">
        <v>64</v>
      </c>
      <c r="O452" t="s">
        <v>26</v>
      </c>
      <c r="P452" t="s">
        <v>21</v>
      </c>
    </row>
    <row r="453" spans="1:16" x14ac:dyDescent="0.25">
      <c r="A453" t="s">
        <v>814</v>
      </c>
      <c r="B453" s="1">
        <v>45782</v>
      </c>
      <c r="C453" s="3">
        <v>0.51079861111111113</v>
      </c>
      <c r="D453" t="s">
        <v>16</v>
      </c>
      <c r="E453" t="s">
        <v>84</v>
      </c>
      <c r="F453" s="4"/>
      <c r="G453">
        <v>2010</v>
      </c>
      <c r="H453">
        <v>3</v>
      </c>
      <c r="I453">
        <v>11</v>
      </c>
      <c r="J453" t="s">
        <v>145</v>
      </c>
      <c r="K453">
        <v>181.99</v>
      </c>
      <c r="L453">
        <v>2</v>
      </c>
      <c r="M453">
        <v>363.98</v>
      </c>
      <c r="N453" t="s">
        <v>64</v>
      </c>
      <c r="O453" t="s">
        <v>47</v>
      </c>
      <c r="P453" t="s">
        <v>56</v>
      </c>
    </row>
    <row r="454" spans="1:16" x14ac:dyDescent="0.25">
      <c r="A454" t="s">
        <v>815</v>
      </c>
      <c r="B454" t="s">
        <v>816</v>
      </c>
      <c r="C454" s="3">
        <v>0.92887731481481484</v>
      </c>
      <c r="D454" t="s">
        <v>16</v>
      </c>
      <c r="E454" t="s">
        <v>332</v>
      </c>
      <c r="F454" s="4"/>
      <c r="G454">
        <v>1990</v>
      </c>
      <c r="H454">
        <v>11</v>
      </c>
      <c r="I454">
        <v>19</v>
      </c>
      <c r="J454" t="s">
        <v>116</v>
      </c>
      <c r="K454" t="s">
        <v>817</v>
      </c>
      <c r="L454">
        <v>1</v>
      </c>
      <c r="M454">
        <v>136.19</v>
      </c>
      <c r="O454" t="s">
        <v>61</v>
      </c>
      <c r="P454" t="s">
        <v>48</v>
      </c>
    </row>
    <row r="455" spans="1:16" x14ac:dyDescent="0.25">
      <c r="A455" t="s">
        <v>818</v>
      </c>
      <c r="B455" s="4">
        <v>45651</v>
      </c>
      <c r="C455" s="2">
        <v>0.9506944444444444</v>
      </c>
      <c r="D455" t="s">
        <v>16</v>
      </c>
      <c r="E455" t="s">
        <v>764</v>
      </c>
      <c r="J455" t="s">
        <v>40</v>
      </c>
      <c r="K455">
        <v>223.11</v>
      </c>
      <c r="L455">
        <v>3</v>
      </c>
      <c r="M455">
        <v>669.33</v>
      </c>
      <c r="N455" t="s">
        <v>67</v>
      </c>
      <c r="O455" t="s">
        <v>26</v>
      </c>
      <c r="P455" t="s">
        <v>48</v>
      </c>
    </row>
    <row r="456" spans="1:16" x14ac:dyDescent="0.25">
      <c r="A456" t="s">
        <v>819</v>
      </c>
      <c r="B456" s="4">
        <v>45648</v>
      </c>
      <c r="C456" s="3">
        <v>0.78578703703703701</v>
      </c>
      <c r="D456" t="s">
        <v>16</v>
      </c>
      <c r="E456" t="s">
        <v>84</v>
      </c>
      <c r="G456">
        <v>1991</v>
      </c>
      <c r="H456">
        <v>12</v>
      </c>
      <c r="I456">
        <v>12</v>
      </c>
      <c r="J456" t="s">
        <v>202</v>
      </c>
      <c r="K456">
        <v>99.96</v>
      </c>
      <c r="L456">
        <v>2</v>
      </c>
      <c r="M456">
        <v>199.92</v>
      </c>
      <c r="N456" t="s">
        <v>25</v>
      </c>
      <c r="O456" t="s">
        <v>61</v>
      </c>
      <c r="P456" t="s">
        <v>48</v>
      </c>
    </row>
    <row r="457" spans="1:16" x14ac:dyDescent="0.25">
      <c r="A457" t="s">
        <v>820</v>
      </c>
      <c r="B457" t="s">
        <v>821</v>
      </c>
      <c r="C457" s="5">
        <v>0.59027777777777779</v>
      </c>
      <c r="D457" t="s">
        <v>16</v>
      </c>
      <c r="E457" t="s">
        <v>473</v>
      </c>
      <c r="J457" t="s">
        <v>73</v>
      </c>
      <c r="K457">
        <v>48.93</v>
      </c>
      <c r="L457">
        <v>3</v>
      </c>
      <c r="M457">
        <v>161.79</v>
      </c>
      <c r="N457" t="s">
        <v>41</v>
      </c>
      <c r="O457" t="s">
        <v>61</v>
      </c>
      <c r="P457" t="s">
        <v>21</v>
      </c>
    </row>
    <row r="458" spans="1:16" x14ac:dyDescent="0.25">
      <c r="A458" t="s">
        <v>822</v>
      </c>
      <c r="B458" s="4">
        <v>45651</v>
      </c>
      <c r="C458" s="5">
        <v>0.75694444444444442</v>
      </c>
      <c r="D458" t="s">
        <v>16</v>
      </c>
      <c r="E458" t="s">
        <v>324</v>
      </c>
      <c r="F458" s="1"/>
      <c r="G458">
        <v>1996</v>
      </c>
      <c r="H458">
        <v>6</v>
      </c>
      <c r="I458">
        <v>25</v>
      </c>
      <c r="J458" t="s">
        <v>126</v>
      </c>
      <c r="K458">
        <v>305.25</v>
      </c>
      <c r="L458">
        <v>1</v>
      </c>
      <c r="M458">
        <v>305.25</v>
      </c>
      <c r="N458" t="s">
        <v>54</v>
      </c>
      <c r="O458" t="s">
        <v>47</v>
      </c>
    </row>
    <row r="459" spans="1:16" x14ac:dyDescent="0.25">
      <c r="A459" t="s">
        <v>823</v>
      </c>
      <c r="B459" s="4">
        <v>45638</v>
      </c>
      <c r="C459" s="2">
        <v>0.53819444444444442</v>
      </c>
      <c r="D459" t="s">
        <v>16</v>
      </c>
      <c r="E459" t="s">
        <v>652</v>
      </c>
      <c r="F459" s="4"/>
      <c r="G459">
        <v>1995</v>
      </c>
      <c r="H459">
        <v>1</v>
      </c>
      <c r="I459">
        <v>17</v>
      </c>
      <c r="J459" t="s">
        <v>24</v>
      </c>
      <c r="K459" t="s">
        <v>824</v>
      </c>
      <c r="L459">
        <v>2</v>
      </c>
      <c r="M459">
        <v>420.02</v>
      </c>
      <c r="N459" t="s">
        <v>64</v>
      </c>
      <c r="O459" t="s">
        <v>37</v>
      </c>
      <c r="P459" t="s">
        <v>74</v>
      </c>
    </row>
    <row r="460" spans="1:16" x14ac:dyDescent="0.25">
      <c r="A460" t="s">
        <v>825</v>
      </c>
      <c r="B460" s="4">
        <v>45725</v>
      </c>
      <c r="C460" s="3">
        <v>0.8664236111111111</v>
      </c>
      <c r="D460" t="s">
        <v>16</v>
      </c>
      <c r="E460" t="s">
        <v>158</v>
      </c>
      <c r="G460">
        <v>1982</v>
      </c>
      <c r="H460">
        <v>10</v>
      </c>
      <c r="I460">
        <v>9</v>
      </c>
      <c r="J460" t="s">
        <v>243</v>
      </c>
      <c r="K460">
        <v>109.73</v>
      </c>
      <c r="L460">
        <v>1</v>
      </c>
      <c r="M460">
        <v>109.73</v>
      </c>
      <c r="N460" t="s">
        <v>67</v>
      </c>
      <c r="O460" t="s">
        <v>89</v>
      </c>
      <c r="P460" t="s">
        <v>33</v>
      </c>
    </row>
    <row r="461" spans="1:16" x14ac:dyDescent="0.25">
      <c r="A461" t="s">
        <v>826</v>
      </c>
      <c r="B461" s="1">
        <v>45920</v>
      </c>
      <c r="C461" s="2">
        <v>0.7104166666666667</v>
      </c>
      <c r="D461" t="s">
        <v>16</v>
      </c>
      <c r="E461" t="s">
        <v>699</v>
      </c>
      <c r="F461" s="1"/>
      <c r="G461">
        <v>1983</v>
      </c>
      <c r="H461">
        <v>9</v>
      </c>
      <c r="I461">
        <v>1</v>
      </c>
      <c r="J461" t="s">
        <v>259</v>
      </c>
      <c r="K461">
        <v>289.8</v>
      </c>
      <c r="L461">
        <v>1</v>
      </c>
      <c r="M461">
        <v>289.8</v>
      </c>
      <c r="N461" t="s">
        <v>54</v>
      </c>
      <c r="O461" t="s">
        <v>55</v>
      </c>
      <c r="P461" t="s">
        <v>105</v>
      </c>
    </row>
    <row r="462" spans="1:16" x14ac:dyDescent="0.25">
      <c r="A462" t="s">
        <v>827</v>
      </c>
      <c r="B462" s="4">
        <v>45622</v>
      </c>
      <c r="C462" s="2">
        <v>0.60277777777777775</v>
      </c>
      <c r="D462" t="s">
        <v>16</v>
      </c>
      <c r="E462" t="s">
        <v>161</v>
      </c>
      <c r="J462" t="s">
        <v>85</v>
      </c>
      <c r="K462">
        <v>242.87</v>
      </c>
      <c r="L462">
        <v>1</v>
      </c>
      <c r="M462">
        <v>242.87</v>
      </c>
      <c r="N462" t="s">
        <v>41</v>
      </c>
      <c r="O462" t="s">
        <v>55</v>
      </c>
      <c r="P462" t="s">
        <v>21</v>
      </c>
    </row>
    <row r="463" spans="1:16" x14ac:dyDescent="0.25">
      <c r="A463" t="s">
        <v>828</v>
      </c>
      <c r="B463" t="s">
        <v>756</v>
      </c>
      <c r="C463" s="2">
        <v>0.99722222222222223</v>
      </c>
      <c r="D463" t="s">
        <v>16</v>
      </c>
      <c r="E463" t="s">
        <v>548</v>
      </c>
      <c r="F463" s="4"/>
      <c r="G463">
        <v>2000</v>
      </c>
      <c r="H463">
        <v>2</v>
      </c>
      <c r="I463">
        <v>24</v>
      </c>
      <c r="J463" t="s">
        <v>116</v>
      </c>
      <c r="K463">
        <v>302.5</v>
      </c>
      <c r="L463">
        <v>2</v>
      </c>
      <c r="M463">
        <v>605</v>
      </c>
      <c r="N463" t="s">
        <v>67</v>
      </c>
      <c r="O463" t="s">
        <v>89</v>
      </c>
      <c r="P463" t="s">
        <v>105</v>
      </c>
    </row>
    <row r="464" spans="1:16" x14ac:dyDescent="0.25">
      <c r="A464" t="s">
        <v>829</v>
      </c>
      <c r="B464" s="4">
        <v>45960</v>
      </c>
      <c r="C464" s="5">
        <v>0.57222222222222219</v>
      </c>
      <c r="D464" t="s">
        <v>16</v>
      </c>
      <c r="E464" t="s">
        <v>346</v>
      </c>
      <c r="G464">
        <v>1997</v>
      </c>
      <c r="H464">
        <v>9</v>
      </c>
      <c r="I464">
        <v>23</v>
      </c>
      <c r="J464" t="s">
        <v>164</v>
      </c>
      <c r="K464">
        <v>311.75</v>
      </c>
      <c r="L464">
        <v>1</v>
      </c>
      <c r="M464">
        <v>311.75</v>
      </c>
      <c r="N464" t="s">
        <v>31</v>
      </c>
      <c r="O464" t="s">
        <v>37</v>
      </c>
      <c r="P464" t="s">
        <v>74</v>
      </c>
    </row>
    <row r="465" spans="1:16" x14ac:dyDescent="0.25">
      <c r="A465" t="s">
        <v>830</v>
      </c>
      <c r="B465" s="1">
        <v>45807</v>
      </c>
      <c r="C465" s="2">
        <v>0.9291666666666667</v>
      </c>
      <c r="D465" t="s">
        <v>16</v>
      </c>
      <c r="E465" t="s">
        <v>240</v>
      </c>
      <c r="F465" s="4"/>
      <c r="G465">
        <v>1975</v>
      </c>
      <c r="H465">
        <v>10</v>
      </c>
      <c r="I465">
        <v>9</v>
      </c>
      <c r="J465" t="s">
        <v>24</v>
      </c>
      <c r="K465">
        <v>225.06</v>
      </c>
      <c r="L465">
        <v>3</v>
      </c>
      <c r="M465">
        <v>675.18</v>
      </c>
      <c r="N465" t="s">
        <v>67</v>
      </c>
      <c r="O465" t="s">
        <v>20</v>
      </c>
      <c r="P465" t="s">
        <v>21</v>
      </c>
    </row>
    <row r="466" spans="1:16" x14ac:dyDescent="0.25">
      <c r="A466" t="s">
        <v>831</v>
      </c>
      <c r="B466" s="4">
        <v>45831</v>
      </c>
      <c r="C466" s="5">
        <v>0.75416666666666665</v>
      </c>
      <c r="D466" t="s">
        <v>16</v>
      </c>
      <c r="E466" t="s">
        <v>158</v>
      </c>
      <c r="G466">
        <v>1984</v>
      </c>
      <c r="H466">
        <v>11</v>
      </c>
      <c r="I466">
        <v>23</v>
      </c>
      <c r="J466" t="s">
        <v>45</v>
      </c>
      <c r="K466">
        <v>131.69999999999999</v>
      </c>
      <c r="L466">
        <v>1</v>
      </c>
      <c r="M466">
        <v>131.69999999999999</v>
      </c>
      <c r="N466" t="s">
        <v>67</v>
      </c>
      <c r="O466" t="s">
        <v>55</v>
      </c>
    </row>
    <row r="467" spans="1:16" x14ac:dyDescent="0.25">
      <c r="A467" t="s">
        <v>832</v>
      </c>
      <c r="B467" s="4">
        <v>45672</v>
      </c>
      <c r="C467" s="3">
        <v>0.88836805555555554</v>
      </c>
      <c r="D467" t="s">
        <v>16</v>
      </c>
      <c r="E467" t="s">
        <v>330</v>
      </c>
      <c r="F467" s="4"/>
      <c r="G467">
        <v>1982</v>
      </c>
      <c r="H467">
        <v>1</v>
      </c>
      <c r="I467">
        <v>1</v>
      </c>
      <c r="J467" t="s">
        <v>164</v>
      </c>
      <c r="K467">
        <v>266.95</v>
      </c>
      <c r="L467">
        <v>2</v>
      </c>
      <c r="M467">
        <v>533.9</v>
      </c>
      <c r="O467" t="s">
        <v>55</v>
      </c>
    </row>
    <row r="468" spans="1:16" x14ac:dyDescent="0.25">
      <c r="A468" t="s">
        <v>833</v>
      </c>
      <c r="B468" s="1">
        <v>45633</v>
      </c>
      <c r="C468" s="3">
        <v>0.42828703703703702</v>
      </c>
      <c r="D468" t="s">
        <v>16</v>
      </c>
      <c r="E468" t="s">
        <v>191</v>
      </c>
      <c r="F468" s="1"/>
      <c r="G468">
        <v>2007</v>
      </c>
      <c r="H468">
        <v>10</v>
      </c>
      <c r="I468">
        <v>12</v>
      </c>
      <c r="J468" t="s">
        <v>85</v>
      </c>
      <c r="K468">
        <v>113.21</v>
      </c>
      <c r="L468">
        <v>2</v>
      </c>
      <c r="M468">
        <v>226.42</v>
      </c>
      <c r="O468" t="s">
        <v>55</v>
      </c>
      <c r="P468" t="s">
        <v>56</v>
      </c>
    </row>
    <row r="469" spans="1:16" x14ac:dyDescent="0.25">
      <c r="A469" t="s">
        <v>834</v>
      </c>
      <c r="B469" t="s">
        <v>762</v>
      </c>
      <c r="C469" s="5">
        <v>0.56874999999999998</v>
      </c>
      <c r="D469" t="s">
        <v>16</v>
      </c>
      <c r="E469" t="s">
        <v>582</v>
      </c>
      <c r="F469" s="4"/>
      <c r="G469">
        <v>1971</v>
      </c>
      <c r="H469">
        <v>9</v>
      </c>
      <c r="I469">
        <v>15</v>
      </c>
      <c r="J469" t="s">
        <v>110</v>
      </c>
      <c r="K469">
        <v>119.28</v>
      </c>
      <c r="L469">
        <v>2</v>
      </c>
      <c r="M469">
        <v>238.56</v>
      </c>
      <c r="N469" t="s">
        <v>19</v>
      </c>
      <c r="O469" t="s">
        <v>47</v>
      </c>
    </row>
    <row r="470" spans="1:16" x14ac:dyDescent="0.25">
      <c r="A470" t="s">
        <v>835</v>
      </c>
      <c r="B470" t="s">
        <v>836</v>
      </c>
      <c r="C470" s="2">
        <v>0.94930555555555551</v>
      </c>
      <c r="D470" t="s">
        <v>16</v>
      </c>
      <c r="E470" t="s">
        <v>837</v>
      </c>
      <c r="F470" s="4"/>
      <c r="G470">
        <v>1991</v>
      </c>
      <c r="H470">
        <v>11</v>
      </c>
      <c r="I470">
        <v>19</v>
      </c>
      <c r="J470" t="s">
        <v>104</v>
      </c>
      <c r="K470">
        <v>235.73</v>
      </c>
      <c r="L470">
        <v>2</v>
      </c>
      <c r="M470">
        <v>488.46</v>
      </c>
      <c r="N470" t="s">
        <v>64</v>
      </c>
      <c r="O470" t="s">
        <v>26</v>
      </c>
      <c r="P470" t="s">
        <v>74</v>
      </c>
    </row>
    <row r="471" spans="1:16" x14ac:dyDescent="0.25">
      <c r="A471" t="s">
        <v>838</v>
      </c>
      <c r="B471" t="s">
        <v>568</v>
      </c>
      <c r="C471" s="5">
        <v>0.78055555555555556</v>
      </c>
      <c r="D471" t="s">
        <v>16</v>
      </c>
      <c r="E471" t="s">
        <v>246</v>
      </c>
      <c r="F471" s="4"/>
      <c r="G471">
        <v>1992</v>
      </c>
      <c r="H471">
        <v>8</v>
      </c>
      <c r="I471">
        <v>13</v>
      </c>
      <c r="J471" t="s">
        <v>178</v>
      </c>
      <c r="K471">
        <v>235.8</v>
      </c>
      <c r="L471">
        <v>1</v>
      </c>
      <c r="M471">
        <v>235.8</v>
      </c>
      <c r="N471" t="s">
        <v>54</v>
      </c>
      <c r="O471" t="s">
        <v>47</v>
      </c>
      <c r="P471" t="s">
        <v>33</v>
      </c>
    </row>
    <row r="472" spans="1:16" x14ac:dyDescent="0.25">
      <c r="A472" t="s">
        <v>839</v>
      </c>
      <c r="B472" t="s">
        <v>454</v>
      </c>
      <c r="C472" s="2">
        <v>0.43263888888888891</v>
      </c>
      <c r="D472" t="s">
        <v>16</v>
      </c>
      <c r="E472" t="s">
        <v>405</v>
      </c>
      <c r="F472" s="4"/>
      <c r="G472">
        <v>2003</v>
      </c>
      <c r="H472">
        <v>1</v>
      </c>
      <c r="I472">
        <v>10</v>
      </c>
      <c r="J472" t="s">
        <v>30</v>
      </c>
      <c r="K472">
        <v>283.36</v>
      </c>
      <c r="L472">
        <v>1</v>
      </c>
      <c r="M472">
        <v>283.36</v>
      </c>
      <c r="N472" t="s">
        <v>41</v>
      </c>
      <c r="O472" t="s">
        <v>26</v>
      </c>
    </row>
    <row r="473" spans="1:16" x14ac:dyDescent="0.25">
      <c r="A473" t="s">
        <v>840</v>
      </c>
      <c r="B473" s="4">
        <v>45879</v>
      </c>
      <c r="C473" s="2">
        <v>0.79861111111111116</v>
      </c>
      <c r="D473" t="s">
        <v>16</v>
      </c>
      <c r="E473" t="s">
        <v>520</v>
      </c>
      <c r="J473" t="s">
        <v>36</v>
      </c>
      <c r="K473">
        <v>232.12</v>
      </c>
      <c r="L473">
        <v>3</v>
      </c>
      <c r="M473">
        <v>696.36</v>
      </c>
      <c r="N473" t="s">
        <v>41</v>
      </c>
      <c r="O473" t="s">
        <v>47</v>
      </c>
    </row>
    <row r="474" spans="1:16" x14ac:dyDescent="0.25">
      <c r="A474" t="s">
        <v>841</v>
      </c>
      <c r="B474" s="4">
        <v>45764</v>
      </c>
      <c r="C474" s="3">
        <v>0.69306712962962957</v>
      </c>
      <c r="D474" t="s">
        <v>16</v>
      </c>
      <c r="E474" t="s">
        <v>17</v>
      </c>
      <c r="G474">
        <v>1979</v>
      </c>
      <c r="H474">
        <v>11</v>
      </c>
      <c r="I474">
        <v>2</v>
      </c>
      <c r="J474" t="s">
        <v>141</v>
      </c>
      <c r="K474">
        <v>158.18</v>
      </c>
      <c r="L474">
        <v>3</v>
      </c>
      <c r="M474">
        <v>474.54</v>
      </c>
      <c r="N474" t="s">
        <v>41</v>
      </c>
      <c r="O474" t="s">
        <v>61</v>
      </c>
      <c r="P474" t="s">
        <v>56</v>
      </c>
    </row>
    <row r="475" spans="1:16" x14ac:dyDescent="0.25">
      <c r="A475" t="s">
        <v>842</v>
      </c>
      <c r="B475" s="1">
        <v>45663</v>
      </c>
      <c r="C475" s="2">
        <v>0.7729166666666667</v>
      </c>
      <c r="D475" t="s">
        <v>16</v>
      </c>
      <c r="E475" t="s">
        <v>420</v>
      </c>
      <c r="F475" s="4"/>
      <c r="G475">
        <v>1988</v>
      </c>
      <c r="H475">
        <v>10</v>
      </c>
      <c r="I475">
        <v>17</v>
      </c>
      <c r="J475" t="s">
        <v>40</v>
      </c>
      <c r="K475">
        <v>235.65</v>
      </c>
      <c r="L475">
        <v>1</v>
      </c>
      <c r="M475">
        <v>235.65</v>
      </c>
      <c r="N475" t="s">
        <v>41</v>
      </c>
      <c r="O475" t="s">
        <v>89</v>
      </c>
      <c r="P475" t="s">
        <v>33</v>
      </c>
    </row>
    <row r="476" spans="1:16" x14ac:dyDescent="0.25">
      <c r="A476" t="s">
        <v>843</v>
      </c>
      <c r="B476" s="1">
        <v>45968</v>
      </c>
      <c r="C476" s="2">
        <v>0.57708333333333328</v>
      </c>
      <c r="D476" t="s">
        <v>16</v>
      </c>
      <c r="E476" t="s">
        <v>377</v>
      </c>
      <c r="F476" s="1"/>
      <c r="G476">
        <v>1988</v>
      </c>
      <c r="H476">
        <v>11</v>
      </c>
      <c r="I476">
        <v>8</v>
      </c>
      <c r="J476" t="s">
        <v>40</v>
      </c>
      <c r="K476">
        <v>173.88</v>
      </c>
      <c r="L476">
        <v>2</v>
      </c>
      <c r="M476">
        <v>347.76</v>
      </c>
      <c r="N476" t="s">
        <v>31</v>
      </c>
      <c r="O476" t="s">
        <v>55</v>
      </c>
      <c r="P476" t="s">
        <v>21</v>
      </c>
    </row>
    <row r="477" spans="1:16" x14ac:dyDescent="0.25">
      <c r="A477" t="s">
        <v>844</v>
      </c>
      <c r="B477" s="1">
        <v>45713</v>
      </c>
      <c r="C477" s="2">
        <v>0.72847222222222219</v>
      </c>
      <c r="D477" t="s">
        <v>16</v>
      </c>
      <c r="E477" t="s">
        <v>466</v>
      </c>
      <c r="G477">
        <v>1987</v>
      </c>
      <c r="H477">
        <v>1</v>
      </c>
      <c r="I477">
        <v>14</v>
      </c>
      <c r="J477" t="s">
        <v>104</v>
      </c>
      <c r="K477">
        <v>232.77</v>
      </c>
      <c r="L477">
        <v>3</v>
      </c>
      <c r="M477">
        <v>698.31</v>
      </c>
      <c r="N477" t="s">
        <v>31</v>
      </c>
      <c r="O477" t="s">
        <v>47</v>
      </c>
      <c r="P477" t="s">
        <v>105</v>
      </c>
    </row>
    <row r="478" spans="1:16" x14ac:dyDescent="0.25">
      <c r="A478" t="s">
        <v>845</v>
      </c>
      <c r="B478" s="4">
        <v>45955</v>
      </c>
      <c r="C478" s="2">
        <v>0.47291666666666665</v>
      </c>
      <c r="D478" t="s">
        <v>16</v>
      </c>
      <c r="E478" t="s">
        <v>299</v>
      </c>
      <c r="F478" s="4"/>
      <c r="G478">
        <v>2009</v>
      </c>
      <c r="H478">
        <v>10</v>
      </c>
      <c r="I478">
        <v>19</v>
      </c>
      <c r="J478" t="s">
        <v>45</v>
      </c>
      <c r="K478">
        <v>127</v>
      </c>
      <c r="L478">
        <v>1</v>
      </c>
      <c r="M478">
        <v>127</v>
      </c>
      <c r="N478" t="s">
        <v>25</v>
      </c>
      <c r="O478" t="s">
        <v>61</v>
      </c>
      <c r="P478" t="s">
        <v>21</v>
      </c>
    </row>
    <row r="479" spans="1:16" x14ac:dyDescent="0.25">
      <c r="A479" t="s">
        <v>846</v>
      </c>
      <c r="B479" t="s">
        <v>847</v>
      </c>
      <c r="C479" s="2">
        <v>0.55208333333333337</v>
      </c>
      <c r="D479" t="s">
        <v>16</v>
      </c>
      <c r="E479" t="s">
        <v>35</v>
      </c>
      <c r="F479" s="4"/>
      <c r="G479">
        <v>1970</v>
      </c>
      <c r="H479">
        <v>4</v>
      </c>
      <c r="I479">
        <v>22</v>
      </c>
      <c r="J479" t="s">
        <v>18</v>
      </c>
      <c r="K479">
        <v>76.010000000000005</v>
      </c>
      <c r="L479">
        <v>2</v>
      </c>
      <c r="M479">
        <v>199.02</v>
      </c>
      <c r="O479" t="s">
        <v>20</v>
      </c>
    </row>
    <row r="480" spans="1:16" x14ac:dyDescent="0.25">
      <c r="A480" t="s">
        <v>848</v>
      </c>
      <c r="B480" t="s">
        <v>849</v>
      </c>
      <c r="C480" s="3">
        <v>0.77736111111111106</v>
      </c>
      <c r="D480" t="s">
        <v>16</v>
      </c>
      <c r="E480" t="s">
        <v>198</v>
      </c>
      <c r="F480" s="1"/>
      <c r="G480">
        <v>2008</v>
      </c>
      <c r="H480">
        <v>12</v>
      </c>
      <c r="I480">
        <v>22</v>
      </c>
      <c r="J480" t="s">
        <v>110</v>
      </c>
      <c r="K480">
        <v>102.44</v>
      </c>
      <c r="L480">
        <v>1</v>
      </c>
      <c r="M480">
        <v>102.44</v>
      </c>
      <c r="N480" t="s">
        <v>54</v>
      </c>
      <c r="O480" t="s">
        <v>20</v>
      </c>
      <c r="P480" t="s">
        <v>56</v>
      </c>
    </row>
    <row r="481" spans="1:16" x14ac:dyDescent="0.25">
      <c r="A481" t="s">
        <v>850</v>
      </c>
      <c r="B481" t="s">
        <v>851</v>
      </c>
      <c r="C481" s="3">
        <v>0.69893518518518516</v>
      </c>
      <c r="D481" t="s">
        <v>16</v>
      </c>
      <c r="E481" t="s">
        <v>622</v>
      </c>
      <c r="F481" s="4"/>
      <c r="G481">
        <v>1993</v>
      </c>
      <c r="H481">
        <v>5</v>
      </c>
      <c r="I481">
        <v>16</v>
      </c>
      <c r="J481" t="s">
        <v>24</v>
      </c>
      <c r="K481">
        <v>291.81</v>
      </c>
      <c r="L481">
        <v>1</v>
      </c>
      <c r="M481">
        <v>291.81</v>
      </c>
      <c r="N481" t="s">
        <v>25</v>
      </c>
      <c r="O481" t="s">
        <v>61</v>
      </c>
      <c r="P481" t="s">
        <v>27</v>
      </c>
    </row>
    <row r="482" spans="1:16" x14ac:dyDescent="0.25">
      <c r="A482" t="s">
        <v>852</v>
      </c>
      <c r="B482" t="s">
        <v>853</v>
      </c>
      <c r="C482" s="5">
        <v>0.62152777777777779</v>
      </c>
      <c r="D482" t="s">
        <v>16</v>
      </c>
      <c r="E482" t="s">
        <v>84</v>
      </c>
      <c r="F482" s="4"/>
      <c r="G482">
        <v>1984</v>
      </c>
      <c r="H482">
        <v>2</v>
      </c>
      <c r="I482">
        <v>20</v>
      </c>
      <c r="J482" t="s">
        <v>141</v>
      </c>
      <c r="K482">
        <v>140.88</v>
      </c>
      <c r="L482">
        <v>1</v>
      </c>
      <c r="M482">
        <v>140.88</v>
      </c>
      <c r="N482" t="s">
        <v>41</v>
      </c>
      <c r="O482" t="s">
        <v>26</v>
      </c>
    </row>
    <row r="483" spans="1:16" x14ac:dyDescent="0.25">
      <c r="A483" t="s">
        <v>854</v>
      </c>
      <c r="B483" s="4">
        <v>45900</v>
      </c>
      <c r="C483" s="5">
        <v>0.52361111111111114</v>
      </c>
      <c r="D483" t="s">
        <v>16</v>
      </c>
      <c r="E483" t="s">
        <v>855</v>
      </c>
      <c r="J483" t="s">
        <v>145</v>
      </c>
      <c r="K483">
        <v>111.41</v>
      </c>
      <c r="L483">
        <v>3</v>
      </c>
      <c r="M483">
        <v>334.23</v>
      </c>
      <c r="O483" t="s">
        <v>37</v>
      </c>
      <c r="P483" t="s">
        <v>21</v>
      </c>
    </row>
    <row r="484" spans="1:16" x14ac:dyDescent="0.25">
      <c r="A484" t="s">
        <v>856</v>
      </c>
      <c r="B484" s="4">
        <v>45982</v>
      </c>
      <c r="C484" s="5">
        <v>0.47499999999999998</v>
      </c>
      <c r="D484" t="s">
        <v>16</v>
      </c>
      <c r="E484" t="s">
        <v>166</v>
      </c>
      <c r="G484">
        <v>1995</v>
      </c>
      <c r="H484">
        <v>9</v>
      </c>
      <c r="I484">
        <v>18</v>
      </c>
      <c r="J484" t="s">
        <v>213</v>
      </c>
      <c r="K484">
        <v>142.65</v>
      </c>
      <c r="L484">
        <v>1</v>
      </c>
      <c r="M484">
        <v>142.65</v>
      </c>
      <c r="N484" t="s">
        <v>64</v>
      </c>
      <c r="O484" t="s">
        <v>89</v>
      </c>
      <c r="P484" t="s">
        <v>21</v>
      </c>
    </row>
    <row r="485" spans="1:16" x14ac:dyDescent="0.25">
      <c r="A485" t="s">
        <v>857</v>
      </c>
      <c r="B485" t="s">
        <v>177</v>
      </c>
      <c r="C485" s="5">
        <v>0.67986111111111114</v>
      </c>
      <c r="D485" t="s">
        <v>16</v>
      </c>
      <c r="E485" t="s">
        <v>858</v>
      </c>
      <c r="G485">
        <v>1997</v>
      </c>
      <c r="H485">
        <v>11</v>
      </c>
      <c r="I485">
        <v>25</v>
      </c>
      <c r="J485" t="s">
        <v>53</v>
      </c>
      <c r="K485" t="s">
        <v>859</v>
      </c>
      <c r="L485">
        <v>2</v>
      </c>
      <c r="M485">
        <v>184</v>
      </c>
      <c r="N485" t="s">
        <v>64</v>
      </c>
      <c r="O485" t="s">
        <v>47</v>
      </c>
    </row>
    <row r="486" spans="1:16" x14ac:dyDescent="0.25">
      <c r="A486" t="s">
        <v>860</v>
      </c>
      <c r="B486" s="4">
        <v>45683</v>
      </c>
      <c r="C486" s="2">
        <v>0.54791666666666672</v>
      </c>
      <c r="D486" t="s">
        <v>16</v>
      </c>
      <c r="E486" t="s">
        <v>420</v>
      </c>
      <c r="F486" s="1"/>
      <c r="G486">
        <v>1994</v>
      </c>
      <c r="H486">
        <v>11</v>
      </c>
      <c r="I486">
        <v>28</v>
      </c>
      <c r="J486" t="s">
        <v>24</v>
      </c>
      <c r="K486">
        <v>287.07</v>
      </c>
      <c r="L486">
        <v>1</v>
      </c>
      <c r="M486">
        <v>287.07</v>
      </c>
      <c r="N486" t="s">
        <v>25</v>
      </c>
      <c r="O486" t="s">
        <v>55</v>
      </c>
      <c r="P486" t="s">
        <v>105</v>
      </c>
    </row>
    <row r="487" spans="1:16" x14ac:dyDescent="0.25">
      <c r="A487" t="s">
        <v>861</v>
      </c>
      <c r="B487" s="1">
        <v>45877</v>
      </c>
      <c r="C487" s="3">
        <v>0.43640046296296298</v>
      </c>
      <c r="D487" t="s">
        <v>16</v>
      </c>
      <c r="E487" t="s">
        <v>50</v>
      </c>
      <c r="F487" s="4"/>
      <c r="G487">
        <v>1993</v>
      </c>
      <c r="H487">
        <v>1</v>
      </c>
      <c r="I487">
        <v>26</v>
      </c>
      <c r="J487" t="s">
        <v>36</v>
      </c>
      <c r="K487">
        <v>105.66</v>
      </c>
      <c r="L487">
        <v>2</v>
      </c>
      <c r="M487">
        <v>211.32</v>
      </c>
      <c r="N487" t="s">
        <v>41</v>
      </c>
      <c r="O487" t="s">
        <v>37</v>
      </c>
      <c r="P487" t="s">
        <v>33</v>
      </c>
    </row>
    <row r="488" spans="1:16" x14ac:dyDescent="0.25">
      <c r="A488" t="s">
        <v>862</v>
      </c>
      <c r="B488" s="1">
        <v>45664</v>
      </c>
      <c r="C488" s="5">
        <v>0.67638888888888893</v>
      </c>
      <c r="D488" t="s">
        <v>16</v>
      </c>
      <c r="E488" t="s">
        <v>136</v>
      </c>
      <c r="F488" s="4"/>
      <c r="G488">
        <v>2006</v>
      </c>
      <c r="H488">
        <v>4</v>
      </c>
      <c r="I488">
        <v>14</v>
      </c>
      <c r="J488" t="s">
        <v>199</v>
      </c>
      <c r="K488">
        <v>251.19</v>
      </c>
      <c r="L488">
        <v>1</v>
      </c>
      <c r="M488">
        <v>251.19</v>
      </c>
      <c r="N488" t="s">
        <v>19</v>
      </c>
      <c r="O488" t="s">
        <v>61</v>
      </c>
      <c r="P488" t="s">
        <v>56</v>
      </c>
    </row>
    <row r="489" spans="1:16" x14ac:dyDescent="0.25">
      <c r="A489" t="s">
        <v>863</v>
      </c>
      <c r="B489" s="1">
        <v>45932</v>
      </c>
      <c r="C489" s="2">
        <v>0.97916666666666663</v>
      </c>
      <c r="D489" t="s">
        <v>16</v>
      </c>
      <c r="E489" t="s">
        <v>237</v>
      </c>
      <c r="G489">
        <v>1991</v>
      </c>
      <c r="H489">
        <v>11</v>
      </c>
      <c r="I489">
        <v>22</v>
      </c>
      <c r="J489" t="s">
        <v>213</v>
      </c>
      <c r="K489">
        <v>154.69999999999999</v>
      </c>
      <c r="L489">
        <v>2</v>
      </c>
      <c r="M489">
        <v>334.4</v>
      </c>
      <c r="N489" t="s">
        <v>25</v>
      </c>
      <c r="O489" t="s">
        <v>26</v>
      </c>
      <c r="P489" t="s">
        <v>27</v>
      </c>
    </row>
    <row r="490" spans="1:16" x14ac:dyDescent="0.25">
      <c r="A490" t="s">
        <v>864</v>
      </c>
      <c r="B490" s="4">
        <v>45901</v>
      </c>
      <c r="C490" s="5">
        <v>0.56180555555555556</v>
      </c>
      <c r="D490" t="s">
        <v>16</v>
      </c>
      <c r="E490" t="s">
        <v>17</v>
      </c>
      <c r="F490" s="4"/>
      <c r="G490">
        <v>1995</v>
      </c>
      <c r="H490">
        <v>7</v>
      </c>
      <c r="I490">
        <v>19</v>
      </c>
      <c r="J490" t="s">
        <v>85</v>
      </c>
      <c r="K490">
        <v>340.77</v>
      </c>
      <c r="L490">
        <v>2</v>
      </c>
      <c r="M490">
        <v>681.54</v>
      </c>
      <c r="O490" t="s">
        <v>20</v>
      </c>
      <c r="P490" t="s">
        <v>33</v>
      </c>
    </row>
    <row r="491" spans="1:16" x14ac:dyDescent="0.25">
      <c r="A491" t="s">
        <v>865</v>
      </c>
      <c r="B491" s="4">
        <v>45824</v>
      </c>
      <c r="C491" s="5">
        <v>0.59375</v>
      </c>
      <c r="D491" t="s">
        <v>16</v>
      </c>
      <c r="E491" t="s">
        <v>475</v>
      </c>
      <c r="F491" s="4"/>
      <c r="G491">
        <v>1975</v>
      </c>
      <c r="H491">
        <v>2</v>
      </c>
      <c r="I491">
        <v>3</v>
      </c>
      <c r="J491" t="s">
        <v>213</v>
      </c>
      <c r="K491">
        <v>112.38</v>
      </c>
      <c r="L491">
        <v>2</v>
      </c>
      <c r="M491">
        <v>224.76</v>
      </c>
      <c r="N491" t="s">
        <v>41</v>
      </c>
      <c r="O491" t="s">
        <v>89</v>
      </c>
      <c r="P491" t="s">
        <v>56</v>
      </c>
    </row>
    <row r="492" spans="1:16" x14ac:dyDescent="0.25">
      <c r="A492" t="s">
        <v>866</v>
      </c>
      <c r="B492" s="4">
        <v>45668</v>
      </c>
      <c r="C492" s="5">
        <v>0.44374999999999998</v>
      </c>
      <c r="D492" t="s">
        <v>16</v>
      </c>
      <c r="E492" t="s">
        <v>328</v>
      </c>
      <c r="F492" s="4"/>
      <c r="G492">
        <v>1987</v>
      </c>
      <c r="H492">
        <v>10</v>
      </c>
      <c r="I492">
        <v>10</v>
      </c>
      <c r="J492" t="s">
        <v>243</v>
      </c>
      <c r="K492">
        <v>144.37</v>
      </c>
      <c r="L492">
        <v>1</v>
      </c>
      <c r="M492">
        <v>144.37</v>
      </c>
      <c r="N492" t="s">
        <v>41</v>
      </c>
      <c r="O492" t="s">
        <v>61</v>
      </c>
    </row>
    <row r="493" spans="1:16" x14ac:dyDescent="0.25">
      <c r="A493" t="s">
        <v>867</v>
      </c>
      <c r="B493" s="1">
        <v>45800</v>
      </c>
      <c r="C493" s="3">
        <v>0.61232638888888891</v>
      </c>
      <c r="D493" t="s">
        <v>16</v>
      </c>
      <c r="E493" t="s">
        <v>95</v>
      </c>
      <c r="F493" s="4"/>
      <c r="G493">
        <v>1990</v>
      </c>
      <c r="H493">
        <v>4</v>
      </c>
      <c r="I493">
        <v>8</v>
      </c>
      <c r="J493" t="s">
        <v>93</v>
      </c>
      <c r="K493">
        <v>162.15</v>
      </c>
      <c r="L493">
        <v>2</v>
      </c>
      <c r="M493">
        <v>324.3</v>
      </c>
      <c r="N493" t="s">
        <v>25</v>
      </c>
      <c r="O493" t="s">
        <v>47</v>
      </c>
    </row>
    <row r="494" spans="1:16" x14ac:dyDescent="0.25">
      <c r="A494" t="s">
        <v>868</v>
      </c>
      <c r="B494" s="4">
        <v>45952</v>
      </c>
      <c r="C494" s="5">
        <v>0.67500000000000004</v>
      </c>
      <c r="D494" t="s">
        <v>16</v>
      </c>
      <c r="E494" t="s">
        <v>66</v>
      </c>
      <c r="G494">
        <v>1994</v>
      </c>
      <c r="H494">
        <v>3</v>
      </c>
      <c r="I494">
        <v>27</v>
      </c>
      <c r="J494" t="s">
        <v>243</v>
      </c>
      <c r="K494">
        <v>115.97</v>
      </c>
      <c r="L494">
        <v>1</v>
      </c>
      <c r="M494">
        <v>165.97</v>
      </c>
      <c r="N494" t="s">
        <v>25</v>
      </c>
      <c r="O494" t="s">
        <v>20</v>
      </c>
      <c r="P494" t="s">
        <v>21</v>
      </c>
    </row>
    <row r="495" spans="1:16" x14ac:dyDescent="0.25">
      <c r="A495" t="s">
        <v>869</v>
      </c>
      <c r="B495" s="1">
        <v>45866</v>
      </c>
      <c r="C495" s="5">
        <v>0.50138888888888888</v>
      </c>
      <c r="D495" t="s">
        <v>16</v>
      </c>
      <c r="E495" t="s">
        <v>133</v>
      </c>
      <c r="G495">
        <v>1982</v>
      </c>
      <c r="H495">
        <v>12</v>
      </c>
      <c r="I495">
        <v>6</v>
      </c>
      <c r="J495" t="s">
        <v>129</v>
      </c>
      <c r="K495">
        <v>144.22</v>
      </c>
      <c r="L495">
        <v>3</v>
      </c>
      <c r="M495">
        <v>432.66</v>
      </c>
      <c r="N495" t="s">
        <v>67</v>
      </c>
      <c r="O495" t="s">
        <v>20</v>
      </c>
      <c r="P495" t="s">
        <v>105</v>
      </c>
    </row>
    <row r="496" spans="1:16" x14ac:dyDescent="0.25">
      <c r="A496" t="s">
        <v>870</v>
      </c>
      <c r="B496" s="1">
        <v>45849</v>
      </c>
      <c r="C496" s="5">
        <v>0.78333333333333333</v>
      </c>
      <c r="D496" t="s">
        <v>16</v>
      </c>
      <c r="E496" t="s">
        <v>871</v>
      </c>
      <c r="F496" s="4"/>
      <c r="G496">
        <v>1974</v>
      </c>
      <c r="H496">
        <v>8</v>
      </c>
      <c r="I496">
        <v>27</v>
      </c>
      <c r="J496" t="s">
        <v>129</v>
      </c>
      <c r="K496">
        <v>210.78</v>
      </c>
      <c r="L496">
        <v>3</v>
      </c>
      <c r="M496">
        <v>632.34</v>
      </c>
      <c r="N496" t="s">
        <v>67</v>
      </c>
      <c r="O496" t="s">
        <v>55</v>
      </c>
      <c r="P496" t="s">
        <v>33</v>
      </c>
    </row>
    <row r="497" spans="1:16" x14ac:dyDescent="0.25">
      <c r="A497" t="s">
        <v>872</v>
      </c>
      <c r="B497" s="4">
        <v>45847</v>
      </c>
      <c r="C497" s="3">
        <v>0.66879629629629633</v>
      </c>
      <c r="D497" t="s">
        <v>16</v>
      </c>
      <c r="E497" t="s">
        <v>873</v>
      </c>
      <c r="G497">
        <v>2010</v>
      </c>
      <c r="H497">
        <v>5</v>
      </c>
      <c r="I497">
        <v>25</v>
      </c>
      <c r="J497" t="s">
        <v>85</v>
      </c>
      <c r="K497">
        <v>278.8</v>
      </c>
      <c r="L497">
        <v>2</v>
      </c>
      <c r="M497">
        <v>557.6</v>
      </c>
      <c r="O497" t="s">
        <v>55</v>
      </c>
      <c r="P497" t="s">
        <v>21</v>
      </c>
    </row>
    <row r="498" spans="1:16" x14ac:dyDescent="0.25">
      <c r="A498" t="s">
        <v>874</v>
      </c>
      <c r="B498" s="1">
        <v>45683</v>
      </c>
      <c r="C498" s="2">
        <v>0.52916666666666667</v>
      </c>
      <c r="D498" t="s">
        <v>16</v>
      </c>
      <c r="E498" t="s">
        <v>125</v>
      </c>
      <c r="F498" s="4"/>
      <c r="G498">
        <v>1980</v>
      </c>
      <c r="H498">
        <v>6</v>
      </c>
      <c r="I498">
        <v>4</v>
      </c>
      <c r="J498" t="s">
        <v>164</v>
      </c>
      <c r="L498">
        <v>2</v>
      </c>
      <c r="N498" t="s">
        <v>41</v>
      </c>
      <c r="O498" t="s">
        <v>26</v>
      </c>
    </row>
    <row r="499" spans="1:16" x14ac:dyDescent="0.25">
      <c r="A499" t="s">
        <v>875</v>
      </c>
      <c r="B499" t="s">
        <v>876</v>
      </c>
      <c r="C499" s="2">
        <v>0.75486111111111109</v>
      </c>
      <c r="D499" t="s">
        <v>16</v>
      </c>
      <c r="E499" t="s">
        <v>466</v>
      </c>
      <c r="F499" s="4"/>
      <c r="G499">
        <v>1975</v>
      </c>
      <c r="H499">
        <v>6</v>
      </c>
      <c r="I499">
        <v>6</v>
      </c>
      <c r="J499" t="s">
        <v>164</v>
      </c>
      <c r="K499">
        <v>255.1</v>
      </c>
      <c r="L499">
        <v>2</v>
      </c>
      <c r="M499">
        <v>509.2</v>
      </c>
      <c r="N499" t="s">
        <v>31</v>
      </c>
      <c r="O499" t="s">
        <v>26</v>
      </c>
    </row>
    <row r="500" spans="1:16" x14ac:dyDescent="0.25">
      <c r="A500" t="s">
        <v>877</v>
      </c>
      <c r="B500" s="4">
        <v>45823</v>
      </c>
      <c r="C500" s="2">
        <v>0.81944444444444442</v>
      </c>
      <c r="D500" t="s">
        <v>16</v>
      </c>
      <c r="E500" t="s">
        <v>295</v>
      </c>
      <c r="F500" s="4"/>
      <c r="G500">
        <v>2001</v>
      </c>
      <c r="H500">
        <v>9</v>
      </c>
      <c r="I500">
        <v>25</v>
      </c>
      <c r="J500" t="s">
        <v>243</v>
      </c>
      <c r="K500">
        <v>-119.28</v>
      </c>
      <c r="L500">
        <v>2</v>
      </c>
      <c r="M500">
        <v>-238.56</v>
      </c>
      <c r="N500" t="s">
        <v>64</v>
      </c>
      <c r="O500" t="s">
        <v>61</v>
      </c>
      <c r="P500" t="s">
        <v>21</v>
      </c>
    </row>
    <row r="501" spans="1:16" x14ac:dyDescent="0.25">
      <c r="A501" t="s">
        <v>878</v>
      </c>
      <c r="B501" s="4">
        <v>45685</v>
      </c>
      <c r="C501" s="3">
        <v>0.79756944444444444</v>
      </c>
      <c r="D501" t="s">
        <v>16</v>
      </c>
      <c r="E501" t="s">
        <v>237</v>
      </c>
      <c r="G501">
        <v>2009</v>
      </c>
      <c r="H501">
        <v>1</v>
      </c>
      <c r="I501">
        <v>26</v>
      </c>
      <c r="J501" t="s">
        <v>24</v>
      </c>
      <c r="K501">
        <v>279.16000000000003</v>
      </c>
      <c r="L501">
        <v>1</v>
      </c>
      <c r="M501">
        <v>279.16000000000003</v>
      </c>
      <c r="N501" t="s">
        <v>19</v>
      </c>
      <c r="O501" t="s">
        <v>32</v>
      </c>
      <c r="P501" t="s">
        <v>21</v>
      </c>
    </row>
    <row r="502" spans="1:16" x14ac:dyDescent="0.25">
      <c r="A502" t="s">
        <v>879</v>
      </c>
      <c r="B502" s="1">
        <v>45872</v>
      </c>
      <c r="C502" s="3">
        <v>0.66737268518518522</v>
      </c>
      <c r="D502" t="s">
        <v>16</v>
      </c>
      <c r="E502" t="s">
        <v>475</v>
      </c>
      <c r="G502">
        <v>2003</v>
      </c>
      <c r="H502">
        <v>10</v>
      </c>
      <c r="I502">
        <v>20</v>
      </c>
      <c r="J502" t="s">
        <v>129</v>
      </c>
      <c r="K502">
        <v>215.07</v>
      </c>
      <c r="L502">
        <v>3</v>
      </c>
      <c r="M502">
        <v>645.21</v>
      </c>
      <c r="N502" t="s">
        <v>19</v>
      </c>
      <c r="O502" t="s">
        <v>89</v>
      </c>
    </row>
    <row r="503" spans="1:16" x14ac:dyDescent="0.25">
      <c r="A503" t="s">
        <v>880</v>
      </c>
      <c r="B503" t="s">
        <v>881</v>
      </c>
      <c r="C503" s="3">
        <v>0.95766203703703701</v>
      </c>
      <c r="D503" t="s">
        <v>16</v>
      </c>
      <c r="E503" t="s">
        <v>882</v>
      </c>
      <c r="G503">
        <v>1991</v>
      </c>
      <c r="H503">
        <v>12</v>
      </c>
      <c r="I503">
        <v>12</v>
      </c>
      <c r="J503" t="s">
        <v>116</v>
      </c>
      <c r="K503">
        <v>204.23</v>
      </c>
      <c r="L503">
        <v>1</v>
      </c>
      <c r="M503">
        <v>204.23</v>
      </c>
      <c r="N503" t="s">
        <v>19</v>
      </c>
      <c r="O503" t="s">
        <v>55</v>
      </c>
    </row>
    <row r="504" spans="1:16" x14ac:dyDescent="0.25">
      <c r="A504" t="s">
        <v>883</v>
      </c>
      <c r="B504" s="4">
        <v>45728</v>
      </c>
      <c r="C504" s="2">
        <v>0.53263888888888888</v>
      </c>
      <c r="D504" t="s">
        <v>16</v>
      </c>
      <c r="E504" t="s">
        <v>884</v>
      </c>
      <c r="F504" s="4"/>
      <c r="G504">
        <v>2003</v>
      </c>
      <c r="H504">
        <v>5</v>
      </c>
      <c r="I504">
        <v>19</v>
      </c>
      <c r="J504" t="s">
        <v>73</v>
      </c>
      <c r="K504">
        <v>40.22</v>
      </c>
      <c r="L504">
        <v>3</v>
      </c>
      <c r="M504">
        <v>120.66</v>
      </c>
      <c r="N504" t="s">
        <v>19</v>
      </c>
      <c r="O504" t="s">
        <v>20</v>
      </c>
      <c r="P504" t="s">
        <v>48</v>
      </c>
    </row>
    <row r="505" spans="1:16" x14ac:dyDescent="0.25">
      <c r="A505" t="s">
        <v>885</v>
      </c>
      <c r="B505" s="4">
        <v>45948</v>
      </c>
      <c r="C505" s="5">
        <v>0.47569444444444442</v>
      </c>
      <c r="D505" t="s">
        <v>16</v>
      </c>
      <c r="E505" t="s">
        <v>76</v>
      </c>
      <c r="F505" s="4"/>
      <c r="G505">
        <v>2007</v>
      </c>
      <c r="H505">
        <v>2</v>
      </c>
      <c r="I505">
        <v>22</v>
      </c>
      <c r="J505" t="s">
        <v>259</v>
      </c>
      <c r="K505">
        <v>260.83</v>
      </c>
      <c r="L505">
        <v>1</v>
      </c>
      <c r="M505">
        <v>260.83</v>
      </c>
      <c r="O505" t="s">
        <v>37</v>
      </c>
      <c r="P505" t="s">
        <v>27</v>
      </c>
    </row>
    <row r="506" spans="1:16" x14ac:dyDescent="0.25">
      <c r="A506" t="s">
        <v>886</v>
      </c>
      <c r="B506" s="1">
        <v>45948</v>
      </c>
      <c r="C506" s="2">
        <v>0.6430555555555556</v>
      </c>
      <c r="D506" t="s">
        <v>16</v>
      </c>
      <c r="E506" t="s">
        <v>548</v>
      </c>
      <c r="F506" s="4"/>
      <c r="G506">
        <v>2010</v>
      </c>
      <c r="H506">
        <v>3</v>
      </c>
      <c r="I506">
        <v>7</v>
      </c>
      <c r="J506" t="s">
        <v>116</v>
      </c>
      <c r="K506">
        <v>109.97</v>
      </c>
      <c r="L506">
        <v>2</v>
      </c>
      <c r="M506">
        <v>219.94</v>
      </c>
      <c r="N506" t="s">
        <v>19</v>
      </c>
      <c r="O506" t="s">
        <v>89</v>
      </c>
      <c r="P506" t="s">
        <v>27</v>
      </c>
    </row>
    <row r="507" spans="1:16" x14ac:dyDescent="0.25">
      <c r="A507" t="s">
        <v>887</v>
      </c>
      <c r="B507" t="s">
        <v>706</v>
      </c>
      <c r="C507" s="2">
        <v>0.91666666666666663</v>
      </c>
      <c r="D507" t="s">
        <v>16</v>
      </c>
      <c r="E507" t="s">
        <v>712</v>
      </c>
      <c r="F507" s="4"/>
      <c r="G507">
        <v>1984</v>
      </c>
      <c r="H507">
        <v>8</v>
      </c>
      <c r="I507">
        <v>7</v>
      </c>
      <c r="J507" t="s">
        <v>116</v>
      </c>
      <c r="K507">
        <v>268.58</v>
      </c>
      <c r="L507">
        <v>1</v>
      </c>
      <c r="M507">
        <v>268.58</v>
      </c>
      <c r="N507" t="s">
        <v>25</v>
      </c>
      <c r="O507" t="s">
        <v>26</v>
      </c>
      <c r="P507" t="s">
        <v>48</v>
      </c>
    </row>
    <row r="508" spans="1:16" x14ac:dyDescent="0.25">
      <c r="A508" t="s">
        <v>888</v>
      </c>
      <c r="B508" s="1">
        <v>45954</v>
      </c>
      <c r="C508" s="5">
        <v>0.89236111111111116</v>
      </c>
      <c r="D508" t="s">
        <v>16</v>
      </c>
      <c r="E508" t="s">
        <v>659</v>
      </c>
      <c r="F508" s="1"/>
      <c r="G508">
        <v>1985</v>
      </c>
      <c r="H508">
        <v>11</v>
      </c>
      <c r="I508">
        <v>18</v>
      </c>
      <c r="J508" t="s">
        <v>145</v>
      </c>
      <c r="K508" t="s">
        <v>889</v>
      </c>
      <c r="L508">
        <v>2</v>
      </c>
      <c r="M508" t="s">
        <v>890</v>
      </c>
      <c r="N508" t="s">
        <v>67</v>
      </c>
      <c r="O508" t="s">
        <v>37</v>
      </c>
      <c r="P508" t="s">
        <v>21</v>
      </c>
    </row>
    <row r="509" spans="1:16" x14ac:dyDescent="0.25">
      <c r="A509" t="s">
        <v>891</v>
      </c>
      <c r="B509" t="s">
        <v>892</v>
      </c>
      <c r="C509" s="3">
        <v>0.61447916666666669</v>
      </c>
      <c r="D509" t="s">
        <v>16</v>
      </c>
      <c r="E509" t="s">
        <v>198</v>
      </c>
      <c r="G509">
        <v>2008</v>
      </c>
      <c r="H509">
        <v>10</v>
      </c>
      <c r="I509">
        <v>19</v>
      </c>
      <c r="J509" t="s">
        <v>24</v>
      </c>
      <c r="K509">
        <v>279.07</v>
      </c>
      <c r="L509">
        <v>1</v>
      </c>
      <c r="M509">
        <v>279.07</v>
      </c>
      <c r="N509" t="s">
        <v>67</v>
      </c>
      <c r="O509" t="s">
        <v>20</v>
      </c>
      <c r="P509" t="s">
        <v>105</v>
      </c>
    </row>
    <row r="510" spans="1:16" x14ac:dyDescent="0.25">
      <c r="A510" t="s">
        <v>893</v>
      </c>
      <c r="B510" s="4">
        <v>45721</v>
      </c>
      <c r="C510" s="3">
        <v>0.48859953703703701</v>
      </c>
      <c r="D510" t="s">
        <v>16</v>
      </c>
      <c r="E510" t="s">
        <v>279</v>
      </c>
      <c r="F510" s="1"/>
      <c r="G510">
        <v>1993</v>
      </c>
      <c r="H510">
        <v>2</v>
      </c>
      <c r="I510">
        <v>2</v>
      </c>
      <c r="J510" t="s">
        <v>30</v>
      </c>
      <c r="K510">
        <v>217.75</v>
      </c>
      <c r="L510">
        <v>1</v>
      </c>
      <c r="M510">
        <v>255.75</v>
      </c>
      <c r="N510" t="s">
        <v>41</v>
      </c>
      <c r="O510" t="s">
        <v>55</v>
      </c>
    </row>
    <row r="511" spans="1:16" x14ac:dyDescent="0.25">
      <c r="A511" t="s">
        <v>894</v>
      </c>
      <c r="B511" s="1">
        <v>45727</v>
      </c>
      <c r="C511" s="2">
        <v>0.46180555555555558</v>
      </c>
      <c r="D511" t="s">
        <v>16</v>
      </c>
      <c r="E511" t="s">
        <v>699</v>
      </c>
      <c r="G511">
        <v>1991</v>
      </c>
      <c r="H511">
        <v>12</v>
      </c>
      <c r="I511">
        <v>12</v>
      </c>
      <c r="J511" t="s">
        <v>104</v>
      </c>
      <c r="K511">
        <v>333.68</v>
      </c>
      <c r="L511">
        <v>1</v>
      </c>
      <c r="M511">
        <v>333.68</v>
      </c>
      <c r="N511" t="s">
        <v>41</v>
      </c>
      <c r="O511" t="s">
        <v>89</v>
      </c>
    </row>
    <row r="512" spans="1:16" x14ac:dyDescent="0.25">
      <c r="A512" t="s">
        <v>895</v>
      </c>
      <c r="B512" s="4">
        <v>45648</v>
      </c>
      <c r="C512" s="5">
        <v>0.79722222222222228</v>
      </c>
      <c r="D512" t="s">
        <v>16</v>
      </c>
      <c r="E512" t="s">
        <v>44</v>
      </c>
      <c r="F512" s="4"/>
      <c r="G512">
        <v>1989</v>
      </c>
      <c r="H512">
        <v>11</v>
      </c>
      <c r="I512">
        <v>14</v>
      </c>
      <c r="J512" t="s">
        <v>178</v>
      </c>
      <c r="K512">
        <v>271.82</v>
      </c>
      <c r="L512">
        <v>1</v>
      </c>
      <c r="M512">
        <v>271.82</v>
      </c>
      <c r="N512" t="s">
        <v>41</v>
      </c>
      <c r="O512" t="s">
        <v>89</v>
      </c>
    </row>
    <row r="513" spans="1:16" x14ac:dyDescent="0.25">
      <c r="A513" t="s">
        <v>896</v>
      </c>
      <c r="B513" s="1">
        <v>45982</v>
      </c>
      <c r="C513" s="2">
        <v>0.71527777777777779</v>
      </c>
      <c r="D513" t="s">
        <v>16</v>
      </c>
      <c r="E513" t="s">
        <v>169</v>
      </c>
      <c r="F513" s="4"/>
      <c r="G513">
        <v>1981</v>
      </c>
      <c r="H513">
        <v>10</v>
      </c>
      <c r="I513">
        <v>27</v>
      </c>
      <c r="J513" t="s">
        <v>30</v>
      </c>
      <c r="K513">
        <v>253.67</v>
      </c>
      <c r="L513">
        <v>1</v>
      </c>
      <c r="M513">
        <v>253.67</v>
      </c>
      <c r="N513" t="s">
        <v>19</v>
      </c>
      <c r="O513" t="s">
        <v>61</v>
      </c>
      <c r="P513" t="s">
        <v>74</v>
      </c>
    </row>
    <row r="514" spans="1:16" x14ac:dyDescent="0.25">
      <c r="A514" t="s">
        <v>897</v>
      </c>
      <c r="B514" s="4">
        <v>45949</v>
      </c>
      <c r="C514" s="2">
        <v>0.43958333333333333</v>
      </c>
      <c r="D514" t="s">
        <v>16</v>
      </c>
      <c r="E514" t="s">
        <v>39</v>
      </c>
      <c r="G514">
        <v>2008</v>
      </c>
      <c r="H514">
        <v>9</v>
      </c>
      <c r="I514">
        <v>3</v>
      </c>
      <c r="J514" t="s">
        <v>110</v>
      </c>
      <c r="K514">
        <v>106.6</v>
      </c>
      <c r="L514">
        <v>1</v>
      </c>
      <c r="M514">
        <v>106.6</v>
      </c>
      <c r="N514" t="s">
        <v>41</v>
      </c>
      <c r="O514" t="s">
        <v>61</v>
      </c>
      <c r="P514" t="s">
        <v>21</v>
      </c>
    </row>
    <row r="515" spans="1:16" x14ac:dyDescent="0.25">
      <c r="A515" t="s">
        <v>898</v>
      </c>
      <c r="B515" s="4">
        <v>45833</v>
      </c>
      <c r="C515" s="3">
        <v>0.90856481481481477</v>
      </c>
      <c r="D515" t="s">
        <v>16</v>
      </c>
      <c r="E515" t="s">
        <v>471</v>
      </c>
      <c r="J515" t="s">
        <v>36</v>
      </c>
      <c r="K515">
        <v>155.06</v>
      </c>
      <c r="L515">
        <v>1</v>
      </c>
      <c r="M515">
        <v>155.06</v>
      </c>
      <c r="N515" t="s">
        <v>19</v>
      </c>
      <c r="O515" t="s">
        <v>61</v>
      </c>
    </row>
    <row r="516" spans="1:16" x14ac:dyDescent="0.25">
      <c r="A516" t="s">
        <v>899</v>
      </c>
      <c r="B516" s="4">
        <v>45948</v>
      </c>
      <c r="C516" s="3">
        <v>0.88150462962962961</v>
      </c>
      <c r="D516" t="s">
        <v>16</v>
      </c>
      <c r="E516" t="s">
        <v>882</v>
      </c>
      <c r="F516" s="1"/>
      <c r="G516">
        <v>1988</v>
      </c>
      <c r="H516">
        <v>5</v>
      </c>
      <c r="I516">
        <v>9</v>
      </c>
      <c r="J516" t="s">
        <v>141</v>
      </c>
      <c r="K516">
        <v>137.47</v>
      </c>
      <c r="L516">
        <v>2</v>
      </c>
      <c r="M516">
        <v>274.94</v>
      </c>
      <c r="N516" t="s">
        <v>31</v>
      </c>
      <c r="O516" t="s">
        <v>61</v>
      </c>
      <c r="P516" t="s">
        <v>105</v>
      </c>
    </row>
    <row r="517" spans="1:16" x14ac:dyDescent="0.25">
      <c r="A517" t="s">
        <v>900</v>
      </c>
      <c r="B517" s="4">
        <v>45639</v>
      </c>
      <c r="C517" s="5">
        <v>0.84444444444444444</v>
      </c>
      <c r="D517" t="s">
        <v>16</v>
      </c>
      <c r="E517" t="s">
        <v>520</v>
      </c>
      <c r="G517">
        <v>2003</v>
      </c>
      <c r="H517">
        <v>5</v>
      </c>
      <c r="I517">
        <v>17</v>
      </c>
      <c r="J517" t="s">
        <v>145</v>
      </c>
      <c r="K517">
        <v>334.88</v>
      </c>
      <c r="L517">
        <v>3</v>
      </c>
      <c r="M517">
        <v>1004.64</v>
      </c>
      <c r="N517" t="s">
        <v>54</v>
      </c>
      <c r="O517" t="s">
        <v>20</v>
      </c>
      <c r="P517" t="s">
        <v>33</v>
      </c>
    </row>
    <row r="518" spans="1:16" x14ac:dyDescent="0.25">
      <c r="A518" t="s">
        <v>901</v>
      </c>
      <c r="B518" t="s">
        <v>902</v>
      </c>
      <c r="C518" s="5">
        <v>0.80694444444444446</v>
      </c>
      <c r="D518" t="s">
        <v>16</v>
      </c>
      <c r="E518" t="s">
        <v>138</v>
      </c>
      <c r="F518" s="4"/>
      <c r="G518">
        <v>1987</v>
      </c>
      <c r="H518">
        <v>1</v>
      </c>
      <c r="I518">
        <v>4</v>
      </c>
      <c r="J518" t="s">
        <v>110</v>
      </c>
      <c r="K518">
        <v>121.28</v>
      </c>
      <c r="L518">
        <v>3</v>
      </c>
      <c r="M518">
        <v>363.84</v>
      </c>
      <c r="N518" t="s">
        <v>67</v>
      </c>
      <c r="O518" t="s">
        <v>26</v>
      </c>
      <c r="P518" t="s">
        <v>74</v>
      </c>
    </row>
    <row r="519" spans="1:16" x14ac:dyDescent="0.25">
      <c r="A519" t="s">
        <v>903</v>
      </c>
      <c r="B519" s="4">
        <v>45754</v>
      </c>
      <c r="C519" s="2">
        <v>0.53055555555555556</v>
      </c>
      <c r="D519" t="s">
        <v>16</v>
      </c>
      <c r="E519" t="s">
        <v>225</v>
      </c>
      <c r="G519">
        <v>1989</v>
      </c>
      <c r="H519">
        <v>7</v>
      </c>
      <c r="I519">
        <v>10</v>
      </c>
      <c r="J519" t="s">
        <v>259</v>
      </c>
      <c r="K519">
        <v>224.83</v>
      </c>
      <c r="L519">
        <v>2</v>
      </c>
      <c r="M519">
        <v>449.66</v>
      </c>
      <c r="N519" t="s">
        <v>31</v>
      </c>
      <c r="O519" t="s">
        <v>37</v>
      </c>
      <c r="P519" t="s">
        <v>56</v>
      </c>
    </row>
    <row r="520" spans="1:16" x14ac:dyDescent="0.25">
      <c r="A520" t="s">
        <v>904</v>
      </c>
      <c r="B520" s="4">
        <v>45808</v>
      </c>
      <c r="C520" s="5">
        <v>0.51736111111111116</v>
      </c>
      <c r="D520" t="s">
        <v>16</v>
      </c>
      <c r="E520" t="s">
        <v>151</v>
      </c>
      <c r="J520" t="s">
        <v>164</v>
      </c>
      <c r="K520">
        <v>295.08</v>
      </c>
      <c r="L520">
        <v>1</v>
      </c>
      <c r="M520">
        <v>295.08</v>
      </c>
      <c r="N520" t="s">
        <v>64</v>
      </c>
      <c r="O520" t="s">
        <v>47</v>
      </c>
    </row>
    <row r="521" spans="1:16" x14ac:dyDescent="0.25">
      <c r="A521" t="s">
        <v>905</v>
      </c>
      <c r="B521" s="4">
        <v>45974</v>
      </c>
      <c r="C521" s="2">
        <v>0.97013888888888888</v>
      </c>
      <c r="D521" t="s">
        <v>16</v>
      </c>
      <c r="E521" t="s">
        <v>358</v>
      </c>
      <c r="F521" s="4"/>
      <c r="G521">
        <v>1991</v>
      </c>
      <c r="H521">
        <v>1</v>
      </c>
      <c r="I521">
        <v>10</v>
      </c>
      <c r="J521" t="s">
        <v>30</v>
      </c>
      <c r="K521">
        <v>318.52</v>
      </c>
      <c r="L521">
        <v>1</v>
      </c>
      <c r="M521">
        <v>318.52</v>
      </c>
      <c r="N521" t="s">
        <v>19</v>
      </c>
      <c r="O521" t="s">
        <v>26</v>
      </c>
    </row>
    <row r="522" spans="1:16" x14ac:dyDescent="0.25">
      <c r="A522" t="s">
        <v>906</v>
      </c>
      <c r="B522" s="4">
        <v>45886</v>
      </c>
      <c r="C522" s="5">
        <v>0.75208333333333333</v>
      </c>
      <c r="D522" t="s">
        <v>16</v>
      </c>
      <c r="E522" t="s">
        <v>699</v>
      </c>
      <c r="F522" s="4"/>
      <c r="G522">
        <v>2001</v>
      </c>
      <c r="H522">
        <v>4</v>
      </c>
      <c r="I522">
        <v>5</v>
      </c>
      <c r="J522" t="s">
        <v>259</v>
      </c>
      <c r="K522">
        <v>289.39999999999998</v>
      </c>
      <c r="L522">
        <v>2</v>
      </c>
      <c r="M522">
        <v>578.79999999999995</v>
      </c>
      <c r="N522" t="s">
        <v>54</v>
      </c>
      <c r="O522" t="s">
        <v>55</v>
      </c>
      <c r="P522" t="s">
        <v>27</v>
      </c>
    </row>
    <row r="523" spans="1:16" x14ac:dyDescent="0.25">
      <c r="A523" t="s">
        <v>907</v>
      </c>
      <c r="B523" s="4">
        <v>45723</v>
      </c>
      <c r="C523" s="3">
        <v>0.79607638888888888</v>
      </c>
      <c r="D523" t="s">
        <v>16</v>
      </c>
      <c r="E523" t="s">
        <v>17</v>
      </c>
      <c r="G523">
        <v>1970</v>
      </c>
      <c r="H523">
        <v>4</v>
      </c>
      <c r="I523">
        <v>23</v>
      </c>
      <c r="J523" t="s">
        <v>77</v>
      </c>
      <c r="K523">
        <v>289.83999999999997</v>
      </c>
      <c r="L523">
        <v>2</v>
      </c>
      <c r="M523">
        <v>579.67999999999995</v>
      </c>
      <c r="N523" t="s">
        <v>25</v>
      </c>
      <c r="O523" t="s">
        <v>26</v>
      </c>
      <c r="P523" t="s">
        <v>21</v>
      </c>
    </row>
    <row r="524" spans="1:16" x14ac:dyDescent="0.25">
      <c r="A524" t="s">
        <v>908</v>
      </c>
      <c r="B524" s="1">
        <v>45886</v>
      </c>
      <c r="C524" s="5">
        <v>0.48194444444444445</v>
      </c>
      <c r="D524" t="s">
        <v>16</v>
      </c>
      <c r="E524" t="s">
        <v>84</v>
      </c>
      <c r="F524" s="4"/>
      <c r="G524">
        <v>1971</v>
      </c>
      <c r="H524">
        <v>10</v>
      </c>
      <c r="I524">
        <v>5</v>
      </c>
      <c r="J524" t="s">
        <v>77</v>
      </c>
      <c r="K524">
        <v>138.35</v>
      </c>
      <c r="L524">
        <v>2</v>
      </c>
      <c r="M524">
        <v>276.7</v>
      </c>
      <c r="N524" t="s">
        <v>54</v>
      </c>
      <c r="O524" t="s">
        <v>32</v>
      </c>
      <c r="P524" t="s">
        <v>105</v>
      </c>
    </row>
    <row r="525" spans="1:16" x14ac:dyDescent="0.25">
      <c r="A525" t="s">
        <v>909</v>
      </c>
      <c r="B525" t="s">
        <v>876</v>
      </c>
      <c r="C525" s="2">
        <v>0.68541666666666667</v>
      </c>
      <c r="D525" t="s">
        <v>16</v>
      </c>
      <c r="E525" t="s">
        <v>512</v>
      </c>
      <c r="F525" s="4"/>
      <c r="G525">
        <v>1978</v>
      </c>
      <c r="H525">
        <v>7</v>
      </c>
      <c r="I525">
        <v>25</v>
      </c>
      <c r="J525" t="s">
        <v>145</v>
      </c>
      <c r="K525">
        <v>120.19</v>
      </c>
      <c r="L525">
        <v>2</v>
      </c>
      <c r="M525">
        <v>240.38</v>
      </c>
      <c r="N525" t="s">
        <v>67</v>
      </c>
      <c r="O525" t="s">
        <v>26</v>
      </c>
      <c r="P525" t="s">
        <v>27</v>
      </c>
    </row>
    <row r="526" spans="1:16" x14ac:dyDescent="0.25">
      <c r="A526" t="s">
        <v>910</v>
      </c>
      <c r="B526" s="1">
        <v>45728</v>
      </c>
      <c r="C526" s="3">
        <v>0.62768518518518523</v>
      </c>
      <c r="D526" t="s">
        <v>16</v>
      </c>
      <c r="E526" t="s">
        <v>237</v>
      </c>
      <c r="F526" s="4"/>
      <c r="G526">
        <v>2001</v>
      </c>
      <c r="H526">
        <v>11</v>
      </c>
      <c r="I526">
        <v>28</v>
      </c>
      <c r="J526" t="s">
        <v>145</v>
      </c>
      <c r="K526">
        <v>41.28</v>
      </c>
      <c r="L526">
        <v>0</v>
      </c>
      <c r="M526">
        <v>0</v>
      </c>
      <c r="N526" t="s">
        <v>67</v>
      </c>
      <c r="O526" t="s">
        <v>32</v>
      </c>
      <c r="P526" t="s">
        <v>48</v>
      </c>
    </row>
    <row r="527" spans="1:16" x14ac:dyDescent="0.25">
      <c r="A527" t="s">
        <v>911</v>
      </c>
      <c r="B527" s="4">
        <v>45738</v>
      </c>
      <c r="C527" s="5">
        <v>0.66805555555555551</v>
      </c>
      <c r="D527" t="s">
        <v>16</v>
      </c>
      <c r="E527" t="s">
        <v>181</v>
      </c>
      <c r="G527">
        <v>1976</v>
      </c>
      <c r="H527">
        <v>11</v>
      </c>
      <c r="I527">
        <v>12</v>
      </c>
      <c r="J527" t="s">
        <v>60</v>
      </c>
      <c r="K527" t="s">
        <v>912</v>
      </c>
      <c r="L527">
        <v>3</v>
      </c>
      <c r="M527">
        <v>451.36</v>
      </c>
      <c r="N527" t="s">
        <v>31</v>
      </c>
      <c r="O527" t="s">
        <v>20</v>
      </c>
      <c r="P527" t="s">
        <v>48</v>
      </c>
    </row>
    <row r="528" spans="1:16" x14ac:dyDescent="0.25">
      <c r="A528" t="s">
        <v>913</v>
      </c>
      <c r="B528" t="s">
        <v>914</v>
      </c>
      <c r="C528" s="3">
        <v>0.49760416666666668</v>
      </c>
      <c r="D528" t="s">
        <v>16</v>
      </c>
      <c r="E528" t="s">
        <v>397</v>
      </c>
      <c r="G528">
        <v>2010</v>
      </c>
      <c r="H528">
        <v>10</v>
      </c>
      <c r="I528">
        <v>8</v>
      </c>
      <c r="J528" t="s">
        <v>60</v>
      </c>
      <c r="K528">
        <v>155.54</v>
      </c>
      <c r="L528">
        <v>1</v>
      </c>
      <c r="M528">
        <v>155.54</v>
      </c>
      <c r="N528" t="s">
        <v>31</v>
      </c>
      <c r="O528" t="s">
        <v>20</v>
      </c>
    </row>
    <row r="529" spans="1:16" x14ac:dyDescent="0.25">
      <c r="A529" t="s">
        <v>915</v>
      </c>
      <c r="B529" s="4">
        <v>45645</v>
      </c>
      <c r="C529" s="3">
        <v>0.77093750000000005</v>
      </c>
      <c r="D529" t="s">
        <v>16</v>
      </c>
      <c r="E529" t="s">
        <v>494</v>
      </c>
      <c r="F529" s="4"/>
      <c r="G529">
        <v>1971</v>
      </c>
      <c r="H529">
        <v>11</v>
      </c>
      <c r="I529">
        <v>15</v>
      </c>
      <c r="J529" t="s">
        <v>145</v>
      </c>
      <c r="K529">
        <v>121.22</v>
      </c>
      <c r="L529">
        <v>3</v>
      </c>
      <c r="M529">
        <v>363.66</v>
      </c>
      <c r="N529" t="s">
        <v>25</v>
      </c>
      <c r="O529" t="s">
        <v>55</v>
      </c>
      <c r="P529" t="s">
        <v>56</v>
      </c>
    </row>
    <row r="530" spans="1:16" x14ac:dyDescent="0.25">
      <c r="A530" t="s">
        <v>916</v>
      </c>
      <c r="B530" s="4">
        <v>45825</v>
      </c>
      <c r="C530" s="2">
        <v>0.5395833333333333</v>
      </c>
      <c r="D530" t="s">
        <v>16</v>
      </c>
      <c r="E530" t="s">
        <v>227</v>
      </c>
      <c r="F530" s="4"/>
      <c r="G530">
        <v>1979</v>
      </c>
      <c r="H530">
        <v>7</v>
      </c>
      <c r="I530">
        <v>19</v>
      </c>
      <c r="J530" t="s">
        <v>213</v>
      </c>
      <c r="K530">
        <v>109.12</v>
      </c>
      <c r="L530">
        <v>0</v>
      </c>
      <c r="M530">
        <v>0</v>
      </c>
      <c r="N530" t="s">
        <v>41</v>
      </c>
      <c r="O530" t="s">
        <v>47</v>
      </c>
    </row>
    <row r="531" spans="1:16" x14ac:dyDescent="0.25">
      <c r="A531" t="s">
        <v>917</v>
      </c>
      <c r="B531" s="4">
        <v>45777</v>
      </c>
      <c r="C531" s="3">
        <v>0.62027777777777782</v>
      </c>
      <c r="D531" t="s">
        <v>16</v>
      </c>
      <c r="E531" t="s">
        <v>191</v>
      </c>
      <c r="G531">
        <v>1991</v>
      </c>
      <c r="H531">
        <v>12</v>
      </c>
      <c r="I531">
        <v>12</v>
      </c>
      <c r="J531" t="s">
        <v>178</v>
      </c>
      <c r="K531">
        <v>-284.8</v>
      </c>
      <c r="L531">
        <v>2</v>
      </c>
      <c r="M531">
        <v>-569.6</v>
      </c>
      <c r="N531" t="s">
        <v>54</v>
      </c>
      <c r="O531" t="s">
        <v>26</v>
      </c>
      <c r="P531" t="s">
        <v>74</v>
      </c>
    </row>
    <row r="532" spans="1:16" x14ac:dyDescent="0.25">
      <c r="A532" t="s">
        <v>918</v>
      </c>
      <c r="B532" s="4">
        <v>45874</v>
      </c>
      <c r="C532" s="2">
        <v>0.84166666666666667</v>
      </c>
      <c r="D532" t="s">
        <v>16</v>
      </c>
      <c r="E532" t="s">
        <v>919</v>
      </c>
      <c r="G532">
        <v>2003</v>
      </c>
      <c r="H532">
        <v>1</v>
      </c>
      <c r="I532">
        <v>20</v>
      </c>
      <c r="J532" t="s">
        <v>24</v>
      </c>
      <c r="K532">
        <v>236.58</v>
      </c>
      <c r="L532">
        <v>1</v>
      </c>
      <c r="M532">
        <v>233.58</v>
      </c>
      <c r="N532" t="s">
        <v>25</v>
      </c>
      <c r="O532" t="s">
        <v>89</v>
      </c>
      <c r="P532" t="s">
        <v>105</v>
      </c>
    </row>
    <row r="533" spans="1:16" x14ac:dyDescent="0.25">
      <c r="A533" t="s">
        <v>920</v>
      </c>
      <c r="B533" s="1">
        <v>45870</v>
      </c>
      <c r="C533" s="2">
        <v>0.67361111111111116</v>
      </c>
      <c r="D533" t="s">
        <v>16</v>
      </c>
      <c r="E533" t="s">
        <v>82</v>
      </c>
      <c r="F533" s="1"/>
      <c r="G533">
        <v>1996</v>
      </c>
      <c r="H533">
        <v>11</v>
      </c>
      <c r="I533">
        <v>5</v>
      </c>
      <c r="J533" t="s">
        <v>259</v>
      </c>
      <c r="K533">
        <v>210.08</v>
      </c>
      <c r="L533">
        <v>2</v>
      </c>
      <c r="M533">
        <v>437.16</v>
      </c>
      <c r="N533" t="s">
        <v>25</v>
      </c>
      <c r="O533" t="s">
        <v>26</v>
      </c>
      <c r="P533" t="s">
        <v>33</v>
      </c>
    </row>
    <row r="534" spans="1:16" x14ac:dyDescent="0.25">
      <c r="A534" t="s">
        <v>921</v>
      </c>
      <c r="B534" s="4">
        <v>45718</v>
      </c>
      <c r="C534" s="3">
        <v>0.49939814814814815</v>
      </c>
      <c r="D534" t="s">
        <v>16</v>
      </c>
      <c r="E534" t="s">
        <v>475</v>
      </c>
      <c r="G534">
        <v>1991</v>
      </c>
      <c r="H534">
        <v>12</v>
      </c>
      <c r="I534">
        <v>12</v>
      </c>
      <c r="J534" t="s">
        <v>178</v>
      </c>
      <c r="K534">
        <v>309.75</v>
      </c>
      <c r="L534">
        <v>2</v>
      </c>
      <c r="M534">
        <v>619.5</v>
      </c>
      <c r="N534" t="s">
        <v>64</v>
      </c>
      <c r="O534" t="s">
        <v>20</v>
      </c>
      <c r="P534" t="s">
        <v>21</v>
      </c>
    </row>
    <row r="535" spans="1:16" x14ac:dyDescent="0.25">
      <c r="A535" t="s">
        <v>922</v>
      </c>
      <c r="B535" s="4">
        <v>45714</v>
      </c>
      <c r="C535" s="3">
        <v>0.85715277777777776</v>
      </c>
      <c r="D535" t="s">
        <v>16</v>
      </c>
      <c r="E535" t="s">
        <v>923</v>
      </c>
      <c r="F535" s="4"/>
      <c r="G535">
        <v>2007</v>
      </c>
      <c r="H535">
        <v>6</v>
      </c>
      <c r="I535">
        <v>2</v>
      </c>
      <c r="J535" t="s">
        <v>73</v>
      </c>
      <c r="K535">
        <v>41.51</v>
      </c>
      <c r="L535">
        <v>1</v>
      </c>
      <c r="M535">
        <v>41.51</v>
      </c>
      <c r="O535" t="s">
        <v>37</v>
      </c>
      <c r="P535" t="s">
        <v>27</v>
      </c>
    </row>
    <row r="536" spans="1:16" x14ac:dyDescent="0.25">
      <c r="A536" t="s">
        <v>924</v>
      </c>
      <c r="C536" s="3">
        <v>0.5278356481481481</v>
      </c>
      <c r="D536" t="s">
        <v>16</v>
      </c>
      <c r="E536" t="s">
        <v>138</v>
      </c>
      <c r="F536" s="1"/>
      <c r="G536">
        <v>1982</v>
      </c>
      <c r="H536">
        <v>5</v>
      </c>
      <c r="I536">
        <v>17</v>
      </c>
      <c r="J536" t="s">
        <v>213</v>
      </c>
      <c r="K536">
        <v>211.38</v>
      </c>
      <c r="L536">
        <v>1</v>
      </c>
      <c r="M536">
        <v>211.38</v>
      </c>
      <c r="N536" t="s">
        <v>64</v>
      </c>
      <c r="O536" t="s">
        <v>20</v>
      </c>
      <c r="P536" t="s">
        <v>105</v>
      </c>
    </row>
    <row r="537" spans="1:16" x14ac:dyDescent="0.25">
      <c r="A537" t="s">
        <v>925</v>
      </c>
      <c r="B537" t="s">
        <v>926</v>
      </c>
      <c r="C537" s="2">
        <v>0.87569444444444444</v>
      </c>
      <c r="D537" t="s">
        <v>16</v>
      </c>
      <c r="E537" t="s">
        <v>138</v>
      </c>
      <c r="F537" s="1"/>
      <c r="G537">
        <v>1977</v>
      </c>
      <c r="H537">
        <v>8</v>
      </c>
      <c r="I537">
        <v>16</v>
      </c>
      <c r="J537" t="s">
        <v>145</v>
      </c>
      <c r="K537">
        <v>-117.34</v>
      </c>
      <c r="L537">
        <v>1</v>
      </c>
      <c r="M537">
        <v>-117.34</v>
      </c>
      <c r="N537" t="s">
        <v>41</v>
      </c>
      <c r="O537" t="s">
        <v>47</v>
      </c>
      <c r="P537" t="s">
        <v>56</v>
      </c>
    </row>
    <row r="538" spans="1:16" x14ac:dyDescent="0.25">
      <c r="A538" t="s">
        <v>927</v>
      </c>
      <c r="B538" s="4">
        <v>45784</v>
      </c>
      <c r="C538" s="2">
        <v>0.69652777777777775</v>
      </c>
      <c r="D538" t="s">
        <v>16</v>
      </c>
      <c r="E538" t="s">
        <v>473</v>
      </c>
      <c r="F538" s="4"/>
      <c r="G538">
        <v>1998</v>
      </c>
      <c r="H538">
        <v>2</v>
      </c>
      <c r="I538">
        <v>22</v>
      </c>
      <c r="J538" t="s">
        <v>164</v>
      </c>
      <c r="K538">
        <v>361.62</v>
      </c>
      <c r="L538">
        <v>3</v>
      </c>
      <c r="M538">
        <v>1084.8599999999999</v>
      </c>
      <c r="N538" t="s">
        <v>31</v>
      </c>
      <c r="O538" t="s">
        <v>89</v>
      </c>
    </row>
    <row r="539" spans="1:16" x14ac:dyDescent="0.25">
      <c r="A539" t="s">
        <v>928</v>
      </c>
      <c r="B539" s="4">
        <v>45625</v>
      </c>
      <c r="C539" s="5">
        <v>0.45416666666666666</v>
      </c>
      <c r="D539" t="s">
        <v>16</v>
      </c>
      <c r="E539" t="s">
        <v>198</v>
      </c>
      <c r="G539">
        <v>2008</v>
      </c>
      <c r="H539">
        <v>12</v>
      </c>
      <c r="I539">
        <v>23</v>
      </c>
      <c r="J539" t="s">
        <v>259</v>
      </c>
      <c r="K539">
        <v>138.72999999999999</v>
      </c>
      <c r="L539">
        <v>1</v>
      </c>
      <c r="M539">
        <v>138.72999999999999</v>
      </c>
      <c r="N539" t="s">
        <v>64</v>
      </c>
      <c r="O539" t="s">
        <v>37</v>
      </c>
      <c r="P539" t="s">
        <v>33</v>
      </c>
    </row>
    <row r="540" spans="1:16" x14ac:dyDescent="0.25">
      <c r="A540" t="s">
        <v>929</v>
      </c>
      <c r="B540" t="s">
        <v>930</v>
      </c>
      <c r="C540" s="2">
        <v>0.71666666666666667</v>
      </c>
      <c r="D540" t="s">
        <v>16</v>
      </c>
      <c r="E540" t="s">
        <v>59</v>
      </c>
      <c r="F540" s="1"/>
      <c r="G540">
        <v>1994</v>
      </c>
      <c r="H540">
        <v>2</v>
      </c>
      <c r="I540">
        <v>20</v>
      </c>
      <c r="J540" t="s">
        <v>53</v>
      </c>
      <c r="K540">
        <v>105.39</v>
      </c>
      <c r="L540">
        <v>1</v>
      </c>
      <c r="M540">
        <v>105.39</v>
      </c>
      <c r="O540" t="s">
        <v>55</v>
      </c>
    </row>
    <row r="541" spans="1:16" x14ac:dyDescent="0.25">
      <c r="A541" t="s">
        <v>931</v>
      </c>
      <c r="B541" s="4">
        <v>45779</v>
      </c>
      <c r="C541" s="2">
        <v>0.69513888888888886</v>
      </c>
      <c r="D541" t="s">
        <v>16</v>
      </c>
      <c r="E541" t="s">
        <v>109</v>
      </c>
      <c r="F541" s="1"/>
      <c r="G541">
        <v>1971</v>
      </c>
      <c r="H541">
        <v>11</v>
      </c>
      <c r="I541">
        <v>28</v>
      </c>
      <c r="J541" t="s">
        <v>60</v>
      </c>
      <c r="K541">
        <v>164.76</v>
      </c>
      <c r="L541">
        <v>2</v>
      </c>
      <c r="M541">
        <v>329.52</v>
      </c>
      <c r="O541" t="s">
        <v>20</v>
      </c>
      <c r="P541" t="s">
        <v>33</v>
      </c>
    </row>
    <row r="542" spans="1:16" x14ac:dyDescent="0.25">
      <c r="A542" t="s">
        <v>932</v>
      </c>
      <c r="B542" s="1">
        <v>45688</v>
      </c>
      <c r="C542" s="2">
        <v>0.52777777777777779</v>
      </c>
      <c r="D542" t="s">
        <v>16</v>
      </c>
      <c r="E542" t="s">
        <v>397</v>
      </c>
      <c r="F542" s="4"/>
      <c r="G542">
        <v>1995</v>
      </c>
      <c r="H542">
        <v>4</v>
      </c>
      <c r="I542">
        <v>28</v>
      </c>
      <c r="J542" t="s">
        <v>129</v>
      </c>
      <c r="K542">
        <v>176.39</v>
      </c>
      <c r="L542">
        <v>2</v>
      </c>
      <c r="M542">
        <v>352.78</v>
      </c>
      <c r="N542" t="s">
        <v>31</v>
      </c>
      <c r="O542" t="s">
        <v>37</v>
      </c>
      <c r="P542" t="s">
        <v>27</v>
      </c>
    </row>
    <row r="543" spans="1:16" x14ac:dyDescent="0.25">
      <c r="A543" t="s">
        <v>933</v>
      </c>
      <c r="B543" s="4">
        <v>45823</v>
      </c>
      <c r="C543" s="3">
        <v>0.98905092592592592</v>
      </c>
      <c r="D543" t="s">
        <v>16</v>
      </c>
      <c r="E543" t="s">
        <v>169</v>
      </c>
      <c r="F543" s="1"/>
      <c r="G543">
        <v>1984</v>
      </c>
      <c r="H543">
        <v>9</v>
      </c>
      <c r="I543">
        <v>4</v>
      </c>
      <c r="J543" t="s">
        <v>145</v>
      </c>
      <c r="L543">
        <v>2</v>
      </c>
      <c r="N543" t="s">
        <v>25</v>
      </c>
      <c r="O543" t="s">
        <v>47</v>
      </c>
      <c r="P543" t="s">
        <v>105</v>
      </c>
    </row>
    <row r="544" spans="1:16" x14ac:dyDescent="0.25">
      <c r="A544" t="s">
        <v>934</v>
      </c>
      <c r="B544" s="4">
        <v>45716</v>
      </c>
      <c r="C544" s="2">
        <v>0.87291666666666667</v>
      </c>
      <c r="D544" t="s">
        <v>16</v>
      </c>
      <c r="E544" t="s">
        <v>246</v>
      </c>
      <c r="F544" s="4"/>
      <c r="G544">
        <v>1980</v>
      </c>
      <c r="H544">
        <v>1</v>
      </c>
      <c r="I544">
        <v>7</v>
      </c>
      <c r="J544" t="s">
        <v>164</v>
      </c>
      <c r="K544">
        <v>343.01</v>
      </c>
      <c r="L544">
        <v>1</v>
      </c>
      <c r="M544">
        <v>343.01</v>
      </c>
      <c r="N544" t="s">
        <v>67</v>
      </c>
      <c r="O544" t="s">
        <v>20</v>
      </c>
    </row>
    <row r="545" spans="1:16" x14ac:dyDescent="0.25">
      <c r="A545" t="s">
        <v>935</v>
      </c>
      <c r="B545" t="s">
        <v>936</v>
      </c>
      <c r="C545" s="5">
        <v>0.74583333333333335</v>
      </c>
      <c r="D545" t="s">
        <v>16</v>
      </c>
      <c r="E545" t="s">
        <v>334</v>
      </c>
      <c r="F545" s="4"/>
      <c r="G545">
        <v>1976</v>
      </c>
      <c r="H545">
        <v>5</v>
      </c>
      <c r="I545">
        <v>25</v>
      </c>
      <c r="J545" t="s">
        <v>126</v>
      </c>
      <c r="K545">
        <v>139.41999999999999</v>
      </c>
      <c r="L545">
        <v>0</v>
      </c>
      <c r="M545">
        <v>0</v>
      </c>
      <c r="N545" t="s">
        <v>64</v>
      </c>
      <c r="O545" t="s">
        <v>20</v>
      </c>
      <c r="P545" t="s">
        <v>27</v>
      </c>
    </row>
    <row r="546" spans="1:16" x14ac:dyDescent="0.25">
      <c r="A546" t="s">
        <v>937</v>
      </c>
      <c r="B546" t="s">
        <v>938</v>
      </c>
      <c r="C546" s="2">
        <v>0.66874999999999996</v>
      </c>
      <c r="D546" t="s">
        <v>16</v>
      </c>
      <c r="E546" t="s">
        <v>338</v>
      </c>
      <c r="G546">
        <v>1998</v>
      </c>
      <c r="H546">
        <v>5</v>
      </c>
      <c r="I546">
        <v>10</v>
      </c>
      <c r="J546" t="s">
        <v>45</v>
      </c>
      <c r="K546">
        <v>171.16</v>
      </c>
      <c r="L546">
        <v>1</v>
      </c>
      <c r="M546">
        <v>171.16</v>
      </c>
      <c r="N546" t="s">
        <v>19</v>
      </c>
      <c r="O546" t="s">
        <v>26</v>
      </c>
      <c r="P546" t="s">
        <v>74</v>
      </c>
    </row>
    <row r="547" spans="1:16" x14ac:dyDescent="0.25">
      <c r="A547" t="s">
        <v>939</v>
      </c>
      <c r="C547" s="5">
        <v>0.95833333333333337</v>
      </c>
      <c r="D547" t="s">
        <v>16</v>
      </c>
      <c r="E547" t="s">
        <v>582</v>
      </c>
      <c r="F547" s="4"/>
      <c r="G547">
        <v>1984</v>
      </c>
      <c r="H547">
        <v>10</v>
      </c>
      <c r="I547">
        <v>21</v>
      </c>
      <c r="J547" t="s">
        <v>213</v>
      </c>
      <c r="K547">
        <v>-333.56</v>
      </c>
      <c r="L547">
        <v>1</v>
      </c>
      <c r="M547">
        <v>-333.56</v>
      </c>
      <c r="N547" t="s">
        <v>41</v>
      </c>
      <c r="O547" t="s">
        <v>26</v>
      </c>
      <c r="P547" t="s">
        <v>48</v>
      </c>
    </row>
    <row r="548" spans="1:16" x14ac:dyDescent="0.25">
      <c r="A548" t="s">
        <v>940</v>
      </c>
      <c r="B548" t="s">
        <v>941</v>
      </c>
      <c r="C548" s="2">
        <v>0.69236111111111109</v>
      </c>
      <c r="D548" t="s">
        <v>16</v>
      </c>
      <c r="E548" t="s">
        <v>82</v>
      </c>
      <c r="F548" s="1"/>
      <c r="G548">
        <v>1984</v>
      </c>
      <c r="H548">
        <v>7</v>
      </c>
      <c r="I548">
        <v>15</v>
      </c>
      <c r="J548" t="s">
        <v>93</v>
      </c>
      <c r="K548">
        <v>216.49</v>
      </c>
      <c r="L548">
        <v>1</v>
      </c>
      <c r="M548">
        <v>216.49</v>
      </c>
      <c r="N548" t="s">
        <v>41</v>
      </c>
      <c r="O548" t="s">
        <v>26</v>
      </c>
      <c r="P548" t="s">
        <v>27</v>
      </c>
    </row>
    <row r="549" spans="1:16" x14ac:dyDescent="0.25">
      <c r="A549" t="s">
        <v>942</v>
      </c>
      <c r="B549" s="4">
        <v>45714</v>
      </c>
      <c r="C549" s="2">
        <v>0.56805555555555554</v>
      </c>
      <c r="D549" t="s">
        <v>16</v>
      </c>
      <c r="E549" t="s">
        <v>351</v>
      </c>
      <c r="F549" s="1"/>
      <c r="G549">
        <v>1970</v>
      </c>
      <c r="H549">
        <v>2</v>
      </c>
      <c r="I549">
        <v>17</v>
      </c>
      <c r="J549" t="s">
        <v>40</v>
      </c>
      <c r="K549">
        <v>155.06</v>
      </c>
      <c r="L549">
        <v>2</v>
      </c>
      <c r="M549">
        <v>310.12</v>
      </c>
      <c r="N549" t="s">
        <v>64</v>
      </c>
      <c r="O549" t="s">
        <v>89</v>
      </c>
    </row>
    <row r="550" spans="1:16" x14ac:dyDescent="0.25">
      <c r="A550" t="s">
        <v>943</v>
      </c>
      <c r="B550" s="4">
        <v>45686</v>
      </c>
      <c r="C550" s="5">
        <v>0.63124999999999998</v>
      </c>
      <c r="D550" t="s">
        <v>16</v>
      </c>
      <c r="E550" t="s">
        <v>189</v>
      </c>
      <c r="F550" s="4"/>
      <c r="G550">
        <v>1985</v>
      </c>
      <c r="H550">
        <v>12</v>
      </c>
      <c r="I550">
        <v>4</v>
      </c>
      <c r="J550" t="s">
        <v>202</v>
      </c>
      <c r="K550">
        <v>79.02</v>
      </c>
      <c r="L550">
        <v>3</v>
      </c>
      <c r="M550">
        <v>237.06</v>
      </c>
      <c r="N550" t="s">
        <v>54</v>
      </c>
      <c r="O550" t="s">
        <v>32</v>
      </c>
      <c r="P550" t="s">
        <v>27</v>
      </c>
    </row>
    <row r="551" spans="1:16" x14ac:dyDescent="0.25">
      <c r="A551" t="s">
        <v>944</v>
      </c>
      <c r="B551" s="4">
        <v>45705</v>
      </c>
      <c r="C551" s="5">
        <v>0.8930555555555556</v>
      </c>
      <c r="D551" t="s">
        <v>16</v>
      </c>
      <c r="E551" t="s">
        <v>622</v>
      </c>
      <c r="G551">
        <v>2007</v>
      </c>
      <c r="H551">
        <v>2</v>
      </c>
      <c r="I551">
        <v>21</v>
      </c>
      <c r="J551" t="s">
        <v>202</v>
      </c>
      <c r="K551">
        <v>312.81</v>
      </c>
      <c r="L551">
        <v>2</v>
      </c>
      <c r="M551">
        <v>625.62</v>
      </c>
      <c r="O551" t="s">
        <v>61</v>
      </c>
      <c r="P551" t="s">
        <v>33</v>
      </c>
    </row>
    <row r="552" spans="1:16" x14ac:dyDescent="0.25">
      <c r="A552" t="s">
        <v>945</v>
      </c>
      <c r="B552" s="1">
        <v>45699</v>
      </c>
      <c r="C552" s="3">
        <v>0.5427777777777778</v>
      </c>
      <c r="D552" t="s">
        <v>16</v>
      </c>
      <c r="E552" t="s">
        <v>299</v>
      </c>
      <c r="F552" s="1"/>
      <c r="G552">
        <v>2001</v>
      </c>
      <c r="H552">
        <v>10</v>
      </c>
      <c r="I552">
        <v>23</v>
      </c>
      <c r="J552" t="s">
        <v>199</v>
      </c>
      <c r="K552">
        <v>178.81</v>
      </c>
      <c r="L552">
        <v>3</v>
      </c>
      <c r="M552">
        <v>536.42999999999995</v>
      </c>
      <c r="N552" t="s">
        <v>67</v>
      </c>
      <c r="O552" t="s">
        <v>61</v>
      </c>
      <c r="P552" t="s">
        <v>56</v>
      </c>
    </row>
    <row r="553" spans="1:16" x14ac:dyDescent="0.25">
      <c r="A553" t="s">
        <v>946</v>
      </c>
      <c r="B553" s="4">
        <v>45687</v>
      </c>
      <c r="C553" s="2">
        <v>0.50624999999999998</v>
      </c>
      <c r="D553" t="s">
        <v>16</v>
      </c>
      <c r="E553" t="s">
        <v>229</v>
      </c>
      <c r="F553" s="1"/>
      <c r="G553">
        <v>1973</v>
      </c>
      <c r="H553">
        <v>9</v>
      </c>
      <c r="I553">
        <v>7</v>
      </c>
      <c r="J553" t="s">
        <v>145</v>
      </c>
      <c r="K553">
        <v>115.3</v>
      </c>
      <c r="L553">
        <v>3</v>
      </c>
      <c r="M553">
        <v>345.9</v>
      </c>
      <c r="N553" t="s">
        <v>31</v>
      </c>
      <c r="O553" t="s">
        <v>55</v>
      </c>
      <c r="P553" t="s">
        <v>105</v>
      </c>
    </row>
    <row r="554" spans="1:16" x14ac:dyDescent="0.25">
      <c r="A554" t="s">
        <v>947</v>
      </c>
      <c r="C554" s="3">
        <v>0.5944328703703704</v>
      </c>
      <c r="D554" t="s">
        <v>16</v>
      </c>
      <c r="E554" t="s">
        <v>494</v>
      </c>
      <c r="F554" s="4"/>
      <c r="G554">
        <v>2006</v>
      </c>
      <c r="H554">
        <v>6</v>
      </c>
      <c r="I554">
        <v>4</v>
      </c>
      <c r="J554" t="s">
        <v>199</v>
      </c>
      <c r="K554">
        <v>232.11</v>
      </c>
      <c r="L554">
        <v>1</v>
      </c>
      <c r="M554">
        <v>232.11</v>
      </c>
      <c r="N554" t="s">
        <v>67</v>
      </c>
      <c r="O554" t="s">
        <v>55</v>
      </c>
      <c r="P554" t="s">
        <v>33</v>
      </c>
    </row>
    <row r="555" spans="1:16" x14ac:dyDescent="0.25">
      <c r="A555" t="s">
        <v>948</v>
      </c>
      <c r="B555" t="s">
        <v>949</v>
      </c>
      <c r="C555" s="2">
        <v>0.46736111111111112</v>
      </c>
      <c r="D555" t="s">
        <v>16</v>
      </c>
      <c r="E555" t="s">
        <v>208</v>
      </c>
      <c r="F555" s="1"/>
      <c r="G555">
        <v>1995</v>
      </c>
      <c r="H555">
        <v>1</v>
      </c>
      <c r="I555">
        <v>21</v>
      </c>
      <c r="J555" t="s">
        <v>73</v>
      </c>
      <c r="K555">
        <v>45.33</v>
      </c>
      <c r="L555">
        <v>2</v>
      </c>
      <c r="M555">
        <v>90.66</v>
      </c>
      <c r="N555" t="s">
        <v>54</v>
      </c>
      <c r="O555" t="s">
        <v>26</v>
      </c>
      <c r="P555" t="s">
        <v>105</v>
      </c>
    </row>
    <row r="556" spans="1:16" x14ac:dyDescent="0.25">
      <c r="A556" t="s">
        <v>950</v>
      </c>
      <c r="B556" s="1">
        <v>45845</v>
      </c>
      <c r="C556" s="2">
        <v>0.86597222222222225</v>
      </c>
      <c r="D556" t="s">
        <v>16</v>
      </c>
      <c r="E556" t="s">
        <v>307</v>
      </c>
      <c r="F556" s="4"/>
      <c r="G556">
        <v>1983</v>
      </c>
      <c r="H556">
        <v>1</v>
      </c>
      <c r="I556">
        <v>10</v>
      </c>
      <c r="J556" t="s">
        <v>243</v>
      </c>
      <c r="K556">
        <v>147.04</v>
      </c>
      <c r="L556">
        <v>1</v>
      </c>
      <c r="M556">
        <v>147.04</v>
      </c>
      <c r="N556" t="s">
        <v>31</v>
      </c>
      <c r="O556" t="s">
        <v>37</v>
      </c>
      <c r="P556" t="s">
        <v>56</v>
      </c>
    </row>
    <row r="557" spans="1:16" x14ac:dyDescent="0.25">
      <c r="A557" t="s">
        <v>951</v>
      </c>
      <c r="B557" s="1">
        <v>45621</v>
      </c>
      <c r="C557" s="3">
        <v>0.50668981481481479</v>
      </c>
      <c r="D557" t="s">
        <v>16</v>
      </c>
      <c r="E557" t="s">
        <v>952</v>
      </c>
      <c r="F557" s="4"/>
      <c r="G557">
        <v>1982</v>
      </c>
      <c r="H557">
        <v>12</v>
      </c>
      <c r="I557">
        <v>28</v>
      </c>
      <c r="J557" t="s">
        <v>213</v>
      </c>
      <c r="K557" t="s">
        <v>953</v>
      </c>
      <c r="L557">
        <v>3</v>
      </c>
      <c r="M557">
        <v>646.67999999999995</v>
      </c>
      <c r="O557" t="s">
        <v>55</v>
      </c>
      <c r="P557" t="s">
        <v>21</v>
      </c>
    </row>
    <row r="558" spans="1:16" x14ac:dyDescent="0.25">
      <c r="A558" t="s">
        <v>954</v>
      </c>
      <c r="B558" s="4">
        <v>45734</v>
      </c>
      <c r="C558" s="3">
        <v>0.51194444444444442</v>
      </c>
      <c r="D558" t="s">
        <v>16</v>
      </c>
      <c r="E558" t="s">
        <v>379</v>
      </c>
      <c r="F558" s="4"/>
      <c r="G558">
        <v>1989</v>
      </c>
      <c r="H558">
        <v>3</v>
      </c>
      <c r="I558">
        <v>7</v>
      </c>
      <c r="J558" t="s">
        <v>199</v>
      </c>
      <c r="K558">
        <v>174.68</v>
      </c>
      <c r="L558">
        <v>2</v>
      </c>
      <c r="M558">
        <v>375.36</v>
      </c>
      <c r="O558" t="s">
        <v>26</v>
      </c>
      <c r="P558" t="s">
        <v>74</v>
      </c>
    </row>
    <row r="559" spans="1:16" x14ac:dyDescent="0.25">
      <c r="A559" t="s">
        <v>955</v>
      </c>
      <c r="B559" s="4">
        <v>45835</v>
      </c>
      <c r="C559" s="5">
        <v>0.67638888888888893</v>
      </c>
      <c r="D559" t="s">
        <v>16</v>
      </c>
      <c r="E559" t="s">
        <v>158</v>
      </c>
      <c r="F559" s="4"/>
      <c r="G559">
        <v>1991</v>
      </c>
      <c r="H559">
        <v>6</v>
      </c>
      <c r="I559">
        <v>9</v>
      </c>
      <c r="J559" t="s">
        <v>18</v>
      </c>
      <c r="K559" t="s">
        <v>956</v>
      </c>
      <c r="L559">
        <v>2</v>
      </c>
      <c r="M559">
        <v>200.1</v>
      </c>
      <c r="O559" t="s">
        <v>32</v>
      </c>
      <c r="P559" t="s">
        <v>74</v>
      </c>
    </row>
    <row r="560" spans="1:16" x14ac:dyDescent="0.25">
      <c r="A560" t="s">
        <v>957</v>
      </c>
      <c r="B560" s="1">
        <v>45774</v>
      </c>
      <c r="C560" s="3">
        <v>0.73452546296296295</v>
      </c>
      <c r="D560" t="s">
        <v>16</v>
      </c>
      <c r="E560" t="s">
        <v>173</v>
      </c>
      <c r="F560" s="4"/>
      <c r="G560">
        <v>1985</v>
      </c>
      <c r="H560">
        <v>5</v>
      </c>
      <c r="I560">
        <v>16</v>
      </c>
      <c r="J560" t="s">
        <v>104</v>
      </c>
      <c r="K560">
        <v>221.29</v>
      </c>
      <c r="L560">
        <v>2</v>
      </c>
      <c r="M560">
        <v>442.58</v>
      </c>
      <c r="N560" t="s">
        <v>31</v>
      </c>
      <c r="O560" t="s">
        <v>89</v>
      </c>
      <c r="P560" t="s">
        <v>21</v>
      </c>
    </row>
    <row r="561" spans="1:16" x14ac:dyDescent="0.25">
      <c r="A561" t="s">
        <v>958</v>
      </c>
      <c r="B561" s="4">
        <v>45867</v>
      </c>
      <c r="C561" s="5">
        <v>0.75</v>
      </c>
      <c r="D561" t="s">
        <v>16</v>
      </c>
      <c r="E561" t="s">
        <v>151</v>
      </c>
      <c r="F561" s="4"/>
      <c r="G561">
        <v>1971</v>
      </c>
      <c r="H561">
        <v>12</v>
      </c>
      <c r="I561">
        <v>4</v>
      </c>
      <c r="J561" t="s">
        <v>73</v>
      </c>
      <c r="K561">
        <v>45.06</v>
      </c>
      <c r="L561">
        <v>2</v>
      </c>
      <c r="M561">
        <v>90.12</v>
      </c>
      <c r="O561" t="s">
        <v>89</v>
      </c>
      <c r="P561" t="s">
        <v>33</v>
      </c>
    </row>
    <row r="562" spans="1:16" x14ac:dyDescent="0.25">
      <c r="A562" t="s">
        <v>959</v>
      </c>
      <c r="B562" s="4">
        <v>45822</v>
      </c>
      <c r="C562" s="3">
        <v>0.4177777777777778</v>
      </c>
      <c r="D562" t="s">
        <v>16</v>
      </c>
      <c r="E562" t="s">
        <v>764</v>
      </c>
      <c r="F562" s="4"/>
      <c r="G562">
        <v>1992</v>
      </c>
      <c r="H562">
        <v>8</v>
      </c>
      <c r="I562">
        <v>14</v>
      </c>
      <c r="J562" t="s">
        <v>129</v>
      </c>
      <c r="K562">
        <v>159.91999999999999</v>
      </c>
      <c r="L562">
        <v>2</v>
      </c>
      <c r="M562">
        <v>319.83999999999997</v>
      </c>
      <c r="N562" t="s">
        <v>31</v>
      </c>
      <c r="O562" t="s">
        <v>20</v>
      </c>
      <c r="P562" t="s">
        <v>27</v>
      </c>
    </row>
    <row r="563" spans="1:16" x14ac:dyDescent="0.25">
      <c r="A563" t="s">
        <v>960</v>
      </c>
      <c r="B563" s="4">
        <v>45657</v>
      </c>
      <c r="C563" s="5">
        <v>0.76041666666666663</v>
      </c>
      <c r="D563" t="s">
        <v>16</v>
      </c>
      <c r="E563" t="s">
        <v>961</v>
      </c>
      <c r="F563" s="4"/>
      <c r="G563">
        <v>1987</v>
      </c>
      <c r="H563">
        <v>7</v>
      </c>
      <c r="I563">
        <v>14</v>
      </c>
      <c r="J563" t="s">
        <v>213</v>
      </c>
      <c r="K563">
        <v>194.31</v>
      </c>
      <c r="L563">
        <v>0</v>
      </c>
      <c r="M563">
        <v>0</v>
      </c>
      <c r="N563" t="s">
        <v>19</v>
      </c>
      <c r="O563" t="s">
        <v>89</v>
      </c>
      <c r="P563" t="s">
        <v>105</v>
      </c>
    </row>
    <row r="564" spans="1:16" x14ac:dyDescent="0.25">
      <c r="A564" t="s">
        <v>962</v>
      </c>
      <c r="B564" s="4">
        <v>45778</v>
      </c>
      <c r="C564" s="5">
        <v>0.65972222222222221</v>
      </c>
      <c r="D564" t="s">
        <v>16</v>
      </c>
      <c r="E564" t="s">
        <v>963</v>
      </c>
      <c r="F564" s="1"/>
      <c r="G564">
        <v>2007</v>
      </c>
      <c r="H564">
        <v>5</v>
      </c>
      <c r="I564">
        <v>21</v>
      </c>
      <c r="J564" t="s">
        <v>202</v>
      </c>
      <c r="K564">
        <v>293.76</v>
      </c>
      <c r="L564">
        <v>2</v>
      </c>
      <c r="M564">
        <v>587.52</v>
      </c>
      <c r="N564" t="s">
        <v>19</v>
      </c>
      <c r="O564" t="s">
        <v>37</v>
      </c>
      <c r="P564" t="s">
        <v>33</v>
      </c>
    </row>
    <row r="565" spans="1:16" x14ac:dyDescent="0.25">
      <c r="A565" t="s">
        <v>964</v>
      </c>
      <c r="B565" s="4">
        <v>45865</v>
      </c>
      <c r="C565" s="3">
        <v>0.72958333333333336</v>
      </c>
      <c r="D565" t="s">
        <v>16</v>
      </c>
      <c r="E565" t="s">
        <v>628</v>
      </c>
      <c r="F565" s="4"/>
      <c r="G565">
        <v>1997</v>
      </c>
      <c r="H565">
        <v>3</v>
      </c>
      <c r="I565">
        <v>7</v>
      </c>
      <c r="J565" t="s">
        <v>77</v>
      </c>
      <c r="K565">
        <v>104.28</v>
      </c>
      <c r="L565">
        <v>1</v>
      </c>
      <c r="M565">
        <v>113.28</v>
      </c>
      <c r="O565" t="s">
        <v>37</v>
      </c>
      <c r="P565" t="s">
        <v>21</v>
      </c>
    </row>
    <row r="566" spans="1:16" x14ac:dyDescent="0.25">
      <c r="A566" t="s">
        <v>965</v>
      </c>
      <c r="B566" s="4">
        <v>45662</v>
      </c>
      <c r="C566" s="5">
        <v>0.86250000000000004</v>
      </c>
      <c r="D566" t="s">
        <v>16</v>
      </c>
      <c r="E566" t="s">
        <v>225</v>
      </c>
      <c r="F566" s="1"/>
      <c r="G566">
        <v>2004</v>
      </c>
      <c r="H566">
        <v>2</v>
      </c>
      <c r="I566">
        <v>8</v>
      </c>
      <c r="J566" t="s">
        <v>93</v>
      </c>
      <c r="L566">
        <v>3</v>
      </c>
      <c r="N566" t="s">
        <v>25</v>
      </c>
      <c r="O566" t="s">
        <v>55</v>
      </c>
      <c r="P566" t="s">
        <v>21</v>
      </c>
    </row>
    <row r="567" spans="1:16" x14ac:dyDescent="0.25">
      <c r="A567" t="s">
        <v>966</v>
      </c>
      <c r="B567" s="1">
        <v>45896</v>
      </c>
      <c r="C567" s="5">
        <v>0.6069444444444444</v>
      </c>
      <c r="D567" t="s">
        <v>16</v>
      </c>
      <c r="E567" t="s">
        <v>123</v>
      </c>
      <c r="F567" s="1"/>
      <c r="G567">
        <v>2003</v>
      </c>
      <c r="H567">
        <v>9</v>
      </c>
      <c r="I567">
        <v>24</v>
      </c>
      <c r="J567" t="s">
        <v>199</v>
      </c>
      <c r="K567">
        <v>-210.52</v>
      </c>
      <c r="L567">
        <v>2</v>
      </c>
      <c r="M567">
        <v>-421.04</v>
      </c>
      <c r="N567" t="s">
        <v>41</v>
      </c>
      <c r="O567" t="s">
        <v>47</v>
      </c>
      <c r="P567" t="s">
        <v>74</v>
      </c>
    </row>
    <row r="568" spans="1:16" x14ac:dyDescent="0.25">
      <c r="A568" t="s">
        <v>967</v>
      </c>
      <c r="B568" t="s">
        <v>968</v>
      </c>
      <c r="C568" s="2">
        <v>0.49166666666666664</v>
      </c>
      <c r="D568" t="s">
        <v>16</v>
      </c>
      <c r="E568" t="s">
        <v>229</v>
      </c>
      <c r="F568" s="1"/>
      <c r="G568">
        <v>2007</v>
      </c>
      <c r="H568">
        <v>5</v>
      </c>
      <c r="I568">
        <v>26</v>
      </c>
      <c r="J568" t="s">
        <v>259</v>
      </c>
      <c r="K568">
        <v>98.64</v>
      </c>
      <c r="L568">
        <v>2</v>
      </c>
      <c r="M568">
        <v>197.28</v>
      </c>
      <c r="N568" t="s">
        <v>19</v>
      </c>
      <c r="O568" t="s">
        <v>20</v>
      </c>
      <c r="P568" t="s">
        <v>21</v>
      </c>
    </row>
    <row r="569" spans="1:16" x14ac:dyDescent="0.25">
      <c r="A569" t="s">
        <v>969</v>
      </c>
      <c r="B569" t="s">
        <v>970</v>
      </c>
      <c r="C569" s="5">
        <v>0.77847222222222223</v>
      </c>
      <c r="D569" t="s">
        <v>16</v>
      </c>
      <c r="E569" t="s">
        <v>562</v>
      </c>
      <c r="F569" s="1"/>
      <c r="G569">
        <v>2005</v>
      </c>
      <c r="H569">
        <v>9</v>
      </c>
      <c r="I569">
        <v>8</v>
      </c>
      <c r="J569" t="s">
        <v>178</v>
      </c>
      <c r="K569" t="s">
        <v>971</v>
      </c>
      <c r="L569">
        <v>2</v>
      </c>
      <c r="M569">
        <v>523.22</v>
      </c>
      <c r="N569" t="s">
        <v>67</v>
      </c>
      <c r="O569" t="s">
        <v>89</v>
      </c>
      <c r="P569" t="s">
        <v>74</v>
      </c>
    </row>
    <row r="570" spans="1:16" x14ac:dyDescent="0.25">
      <c r="A570" t="s">
        <v>972</v>
      </c>
      <c r="B570" s="1">
        <v>45630</v>
      </c>
      <c r="C570" s="5">
        <v>0.50277777777777777</v>
      </c>
      <c r="D570" t="s">
        <v>16</v>
      </c>
      <c r="E570" t="s">
        <v>397</v>
      </c>
      <c r="F570" s="4"/>
      <c r="G570">
        <v>1980</v>
      </c>
      <c r="H570">
        <v>6</v>
      </c>
      <c r="I570">
        <v>19</v>
      </c>
      <c r="J570" t="s">
        <v>199</v>
      </c>
      <c r="K570">
        <v>207.23</v>
      </c>
      <c r="L570">
        <v>3</v>
      </c>
      <c r="M570">
        <v>626.69000000000005</v>
      </c>
      <c r="N570" t="s">
        <v>25</v>
      </c>
      <c r="O570" t="s">
        <v>20</v>
      </c>
    </row>
    <row r="571" spans="1:16" x14ac:dyDescent="0.25">
      <c r="A571" t="s">
        <v>973</v>
      </c>
      <c r="B571" t="s">
        <v>153</v>
      </c>
      <c r="C571" s="3">
        <v>0.81671296296296292</v>
      </c>
      <c r="D571" t="s">
        <v>16</v>
      </c>
      <c r="E571" t="s">
        <v>334</v>
      </c>
      <c r="F571" s="4"/>
      <c r="G571">
        <v>1974</v>
      </c>
      <c r="H571">
        <v>4</v>
      </c>
      <c r="I571">
        <v>27</v>
      </c>
      <c r="J571" t="s">
        <v>30</v>
      </c>
      <c r="K571">
        <v>289.19</v>
      </c>
      <c r="L571">
        <v>1</v>
      </c>
      <c r="M571">
        <v>289.19</v>
      </c>
      <c r="N571" t="s">
        <v>19</v>
      </c>
      <c r="O571" t="s">
        <v>20</v>
      </c>
      <c r="P571" t="s">
        <v>56</v>
      </c>
    </row>
    <row r="572" spans="1:16" x14ac:dyDescent="0.25">
      <c r="A572" t="s">
        <v>974</v>
      </c>
      <c r="C572" s="3">
        <v>0.51664351851851853</v>
      </c>
      <c r="D572" t="s">
        <v>16</v>
      </c>
      <c r="E572" t="s">
        <v>166</v>
      </c>
      <c r="F572" s="1"/>
      <c r="G572">
        <v>1976</v>
      </c>
      <c r="H572">
        <v>7</v>
      </c>
      <c r="I572">
        <v>11</v>
      </c>
      <c r="J572" t="s">
        <v>53</v>
      </c>
      <c r="K572">
        <v>119.03</v>
      </c>
      <c r="L572">
        <v>2</v>
      </c>
      <c r="M572">
        <v>238.06</v>
      </c>
      <c r="N572" t="s">
        <v>54</v>
      </c>
      <c r="O572" t="s">
        <v>55</v>
      </c>
      <c r="P572" t="s">
        <v>74</v>
      </c>
    </row>
    <row r="573" spans="1:16" x14ac:dyDescent="0.25">
      <c r="A573" t="s">
        <v>975</v>
      </c>
      <c r="B573" s="4">
        <v>45853</v>
      </c>
      <c r="C573" s="3">
        <v>0.47019675925925924</v>
      </c>
      <c r="D573" t="s">
        <v>16</v>
      </c>
      <c r="E573" t="s">
        <v>125</v>
      </c>
      <c r="F573" s="1"/>
      <c r="G573">
        <v>1984</v>
      </c>
      <c r="H573">
        <v>6</v>
      </c>
      <c r="I573">
        <v>20</v>
      </c>
      <c r="J573" t="s">
        <v>77</v>
      </c>
      <c r="K573">
        <v>187.07</v>
      </c>
      <c r="L573">
        <v>3</v>
      </c>
      <c r="M573">
        <v>561.21</v>
      </c>
      <c r="N573" t="s">
        <v>19</v>
      </c>
      <c r="O573" t="s">
        <v>32</v>
      </c>
      <c r="P573" t="s">
        <v>56</v>
      </c>
    </row>
    <row r="574" spans="1:16" x14ac:dyDescent="0.25">
      <c r="A574" t="s">
        <v>976</v>
      </c>
      <c r="B574" s="1">
        <v>45918</v>
      </c>
      <c r="C574" s="5">
        <v>0.9458333333333333</v>
      </c>
      <c r="D574" t="s">
        <v>16</v>
      </c>
      <c r="E574" t="s">
        <v>712</v>
      </c>
      <c r="F574" s="1"/>
      <c r="G574">
        <v>1981</v>
      </c>
      <c r="H574">
        <v>1</v>
      </c>
      <c r="I574">
        <v>28</v>
      </c>
      <c r="J574" t="s">
        <v>126</v>
      </c>
      <c r="K574">
        <v>193.61</v>
      </c>
      <c r="L574">
        <v>3</v>
      </c>
      <c r="M574">
        <v>580.83000000000004</v>
      </c>
      <c r="N574" t="s">
        <v>64</v>
      </c>
      <c r="O574" t="s">
        <v>47</v>
      </c>
      <c r="P574" t="s">
        <v>74</v>
      </c>
    </row>
    <row r="575" spans="1:16" x14ac:dyDescent="0.25">
      <c r="A575" t="s">
        <v>977</v>
      </c>
      <c r="B575" s="4">
        <v>45980</v>
      </c>
      <c r="C575" s="3">
        <v>0.77587962962962964</v>
      </c>
      <c r="D575" t="s">
        <v>16</v>
      </c>
      <c r="E575" t="s">
        <v>978</v>
      </c>
      <c r="G575">
        <v>1973</v>
      </c>
      <c r="H575">
        <v>1</v>
      </c>
      <c r="I575">
        <v>20</v>
      </c>
      <c r="J575" t="s">
        <v>178</v>
      </c>
      <c r="K575">
        <v>230.87</v>
      </c>
      <c r="L575">
        <v>3</v>
      </c>
      <c r="M575">
        <v>692.61</v>
      </c>
      <c r="N575" t="s">
        <v>54</v>
      </c>
      <c r="O575" t="s">
        <v>32</v>
      </c>
      <c r="P575" t="s">
        <v>74</v>
      </c>
    </row>
    <row r="576" spans="1:16" x14ac:dyDescent="0.25">
      <c r="A576" t="s">
        <v>979</v>
      </c>
      <c r="B576" s="1">
        <v>45751</v>
      </c>
      <c r="C576" s="3">
        <v>0.64438657407407407</v>
      </c>
      <c r="D576" t="s">
        <v>16</v>
      </c>
      <c r="E576" t="s">
        <v>98</v>
      </c>
      <c r="F576" s="4"/>
      <c r="G576">
        <v>2006</v>
      </c>
      <c r="H576">
        <v>8</v>
      </c>
      <c r="I576">
        <v>26</v>
      </c>
      <c r="J576" t="s">
        <v>73</v>
      </c>
      <c r="K576">
        <v>38.619999999999997</v>
      </c>
      <c r="L576">
        <v>1</v>
      </c>
      <c r="M576">
        <v>38.619999999999997</v>
      </c>
      <c r="N576" t="s">
        <v>25</v>
      </c>
      <c r="O576" t="s">
        <v>55</v>
      </c>
      <c r="P576" t="s">
        <v>21</v>
      </c>
    </row>
    <row r="577" spans="1:16" x14ac:dyDescent="0.25">
      <c r="A577" t="s">
        <v>980</v>
      </c>
      <c r="B577" s="1">
        <v>45820</v>
      </c>
      <c r="C577" s="5">
        <v>0.58263888888888893</v>
      </c>
      <c r="D577" t="s">
        <v>16</v>
      </c>
      <c r="E577" t="s">
        <v>131</v>
      </c>
      <c r="F577" s="1"/>
      <c r="G577">
        <v>1981</v>
      </c>
      <c r="H577">
        <v>3</v>
      </c>
      <c r="I577">
        <v>10</v>
      </c>
      <c r="J577" t="s">
        <v>126</v>
      </c>
      <c r="K577">
        <v>181.92</v>
      </c>
      <c r="L577">
        <v>1</v>
      </c>
      <c r="M577">
        <v>181.92</v>
      </c>
      <c r="N577" t="s">
        <v>25</v>
      </c>
      <c r="O577" t="s">
        <v>20</v>
      </c>
      <c r="P577" t="s">
        <v>105</v>
      </c>
    </row>
    <row r="578" spans="1:16" x14ac:dyDescent="0.25">
      <c r="A578" t="s">
        <v>981</v>
      </c>
      <c r="B578" s="4">
        <v>45620</v>
      </c>
      <c r="C578" s="2">
        <v>0.47916666666666669</v>
      </c>
      <c r="D578" t="s">
        <v>16</v>
      </c>
      <c r="E578" t="s">
        <v>267</v>
      </c>
      <c r="F578" s="4"/>
      <c r="G578">
        <v>1978</v>
      </c>
      <c r="H578">
        <v>4</v>
      </c>
      <c r="I578">
        <v>28</v>
      </c>
      <c r="J578" t="s">
        <v>213</v>
      </c>
      <c r="K578">
        <v>190.92</v>
      </c>
      <c r="L578">
        <v>1</v>
      </c>
      <c r="M578">
        <v>190.92</v>
      </c>
      <c r="N578" t="s">
        <v>25</v>
      </c>
      <c r="O578" t="s">
        <v>47</v>
      </c>
    </row>
    <row r="579" spans="1:16" x14ac:dyDescent="0.25">
      <c r="A579" t="s">
        <v>982</v>
      </c>
      <c r="B579" s="1">
        <v>45792</v>
      </c>
      <c r="C579" s="3">
        <v>0.90122685185185181</v>
      </c>
      <c r="D579" t="s">
        <v>16</v>
      </c>
      <c r="E579" t="s">
        <v>140</v>
      </c>
      <c r="F579" s="4"/>
      <c r="G579">
        <v>2010</v>
      </c>
      <c r="H579">
        <v>3</v>
      </c>
      <c r="I579">
        <v>12</v>
      </c>
      <c r="J579" t="s">
        <v>145</v>
      </c>
      <c r="K579">
        <v>334.83</v>
      </c>
      <c r="L579">
        <v>2</v>
      </c>
      <c r="M579">
        <v>669.66</v>
      </c>
      <c r="O579" t="s">
        <v>32</v>
      </c>
      <c r="P579" t="s">
        <v>27</v>
      </c>
    </row>
    <row r="580" spans="1:16" x14ac:dyDescent="0.25">
      <c r="A580" t="s">
        <v>983</v>
      </c>
      <c r="B580" s="4">
        <v>45717</v>
      </c>
      <c r="C580" s="5">
        <v>0.46388888888888891</v>
      </c>
      <c r="D580" t="s">
        <v>16</v>
      </c>
      <c r="E580" t="s">
        <v>101</v>
      </c>
      <c r="F580" s="1"/>
      <c r="G580">
        <v>2001</v>
      </c>
      <c r="H580">
        <v>11</v>
      </c>
      <c r="I580">
        <v>20</v>
      </c>
      <c r="J580" t="s">
        <v>85</v>
      </c>
      <c r="K580">
        <v>245.15</v>
      </c>
      <c r="L580">
        <v>3</v>
      </c>
      <c r="M580">
        <v>735.45</v>
      </c>
      <c r="N580" t="s">
        <v>19</v>
      </c>
      <c r="O580" t="s">
        <v>61</v>
      </c>
      <c r="P580" t="s">
        <v>56</v>
      </c>
    </row>
    <row r="581" spans="1:16" x14ac:dyDescent="0.25">
      <c r="A581" t="s">
        <v>984</v>
      </c>
      <c r="C581" s="5">
        <v>0.75208333333333333</v>
      </c>
      <c r="D581" t="s">
        <v>16</v>
      </c>
      <c r="E581" t="s">
        <v>227</v>
      </c>
      <c r="F581" s="4"/>
      <c r="G581">
        <v>1986</v>
      </c>
      <c r="H581">
        <v>6</v>
      </c>
      <c r="I581">
        <v>23</v>
      </c>
      <c r="J581" t="s">
        <v>129</v>
      </c>
      <c r="K581">
        <v>201.53</v>
      </c>
      <c r="L581">
        <v>1</v>
      </c>
      <c r="M581">
        <v>240.53</v>
      </c>
      <c r="N581" t="s">
        <v>19</v>
      </c>
      <c r="O581" t="s">
        <v>26</v>
      </c>
      <c r="P581" t="s">
        <v>74</v>
      </c>
    </row>
    <row r="582" spans="1:16" x14ac:dyDescent="0.25">
      <c r="A582" t="s">
        <v>985</v>
      </c>
      <c r="B582" s="1">
        <v>45842</v>
      </c>
      <c r="C582" s="3">
        <v>0.78962962962962968</v>
      </c>
      <c r="D582" t="s">
        <v>16</v>
      </c>
      <c r="E582" t="s">
        <v>475</v>
      </c>
      <c r="G582">
        <v>1993</v>
      </c>
      <c r="H582">
        <v>5</v>
      </c>
      <c r="I582">
        <v>9</v>
      </c>
      <c r="J582" t="s">
        <v>126</v>
      </c>
      <c r="K582">
        <v>238.89</v>
      </c>
      <c r="L582">
        <v>2</v>
      </c>
      <c r="M582">
        <v>477.78</v>
      </c>
      <c r="N582" t="s">
        <v>41</v>
      </c>
      <c r="O582" t="s">
        <v>61</v>
      </c>
    </row>
    <row r="583" spans="1:16" x14ac:dyDescent="0.25">
      <c r="A583" t="s">
        <v>986</v>
      </c>
      <c r="B583" t="s">
        <v>987</v>
      </c>
      <c r="C583" s="2">
        <v>0.94374999999999998</v>
      </c>
      <c r="D583" t="s">
        <v>16</v>
      </c>
      <c r="E583" t="s">
        <v>107</v>
      </c>
      <c r="F583" s="1"/>
      <c r="G583">
        <v>2008</v>
      </c>
      <c r="H583">
        <v>1</v>
      </c>
      <c r="I583">
        <v>10</v>
      </c>
      <c r="J583" t="s">
        <v>104</v>
      </c>
      <c r="K583">
        <v>248.91</v>
      </c>
      <c r="L583">
        <v>3</v>
      </c>
      <c r="M583">
        <v>746.73</v>
      </c>
      <c r="N583" t="s">
        <v>25</v>
      </c>
      <c r="O583" t="s">
        <v>37</v>
      </c>
      <c r="P583" t="s">
        <v>48</v>
      </c>
    </row>
    <row r="584" spans="1:16" x14ac:dyDescent="0.25">
      <c r="A584" t="s">
        <v>988</v>
      </c>
      <c r="B584" s="4">
        <v>45684</v>
      </c>
      <c r="C584" s="2">
        <v>0.81111111111111112</v>
      </c>
      <c r="D584" t="s">
        <v>16</v>
      </c>
      <c r="E584" t="s">
        <v>628</v>
      </c>
      <c r="F584" s="4"/>
      <c r="G584">
        <v>1977</v>
      </c>
      <c r="H584">
        <v>11</v>
      </c>
      <c r="I584">
        <v>22</v>
      </c>
      <c r="J584" t="s">
        <v>178</v>
      </c>
      <c r="K584">
        <v>289.64</v>
      </c>
      <c r="L584">
        <v>1</v>
      </c>
      <c r="M584">
        <v>268.64</v>
      </c>
      <c r="N584" t="s">
        <v>54</v>
      </c>
      <c r="O584" t="s">
        <v>55</v>
      </c>
      <c r="P584" t="s">
        <v>21</v>
      </c>
    </row>
    <row r="585" spans="1:16" x14ac:dyDescent="0.25">
      <c r="A585" t="s">
        <v>989</v>
      </c>
      <c r="B585" t="s">
        <v>990</v>
      </c>
      <c r="C585" s="5">
        <v>0.68333333333333335</v>
      </c>
      <c r="D585" t="s">
        <v>16</v>
      </c>
      <c r="E585" t="s">
        <v>512</v>
      </c>
      <c r="F585" s="4"/>
      <c r="G585">
        <v>2005</v>
      </c>
      <c r="H585">
        <v>11</v>
      </c>
      <c r="I585">
        <v>16</v>
      </c>
      <c r="J585" t="s">
        <v>40</v>
      </c>
      <c r="K585">
        <v>185.62</v>
      </c>
      <c r="L585">
        <v>1</v>
      </c>
      <c r="M585">
        <v>185.62</v>
      </c>
      <c r="N585" t="s">
        <v>54</v>
      </c>
      <c r="O585" t="s">
        <v>61</v>
      </c>
      <c r="P585" t="s">
        <v>48</v>
      </c>
    </row>
    <row r="586" spans="1:16" x14ac:dyDescent="0.25">
      <c r="A586" t="s">
        <v>991</v>
      </c>
      <c r="B586" s="4">
        <v>45832</v>
      </c>
      <c r="C586" s="3">
        <v>0.55577546296296299</v>
      </c>
      <c r="D586" t="s">
        <v>16</v>
      </c>
      <c r="E586" t="s">
        <v>332</v>
      </c>
      <c r="F586" s="4"/>
      <c r="G586">
        <v>1972</v>
      </c>
      <c r="H586">
        <v>1</v>
      </c>
      <c r="I586">
        <v>7</v>
      </c>
      <c r="J586" t="s">
        <v>199</v>
      </c>
      <c r="K586">
        <v>195.31</v>
      </c>
      <c r="L586">
        <v>1</v>
      </c>
      <c r="M586">
        <v>195.31</v>
      </c>
      <c r="N586" t="s">
        <v>31</v>
      </c>
      <c r="O586" t="s">
        <v>20</v>
      </c>
      <c r="P586" t="s">
        <v>74</v>
      </c>
    </row>
    <row r="587" spans="1:16" x14ac:dyDescent="0.25">
      <c r="A587" t="s">
        <v>992</v>
      </c>
      <c r="B587" s="4">
        <v>45754</v>
      </c>
      <c r="C587" s="3">
        <v>0.85136574074074078</v>
      </c>
      <c r="D587" t="s">
        <v>16</v>
      </c>
      <c r="E587" t="s">
        <v>528</v>
      </c>
      <c r="G587">
        <v>1984</v>
      </c>
      <c r="H587">
        <v>5</v>
      </c>
      <c r="I587">
        <v>1</v>
      </c>
      <c r="J587" t="s">
        <v>85</v>
      </c>
      <c r="K587">
        <v>-136.16999999999999</v>
      </c>
      <c r="L587">
        <v>2</v>
      </c>
      <c r="M587">
        <v>-272.33999999999997</v>
      </c>
      <c r="N587" t="s">
        <v>41</v>
      </c>
      <c r="O587" t="s">
        <v>20</v>
      </c>
    </row>
    <row r="588" spans="1:16" x14ac:dyDescent="0.25">
      <c r="A588" t="s">
        <v>993</v>
      </c>
      <c r="B588" t="s">
        <v>994</v>
      </c>
      <c r="C588" s="3">
        <v>0.51710648148148153</v>
      </c>
      <c r="D588" t="s">
        <v>16</v>
      </c>
      <c r="E588" t="s">
        <v>512</v>
      </c>
      <c r="F588" s="1"/>
      <c r="G588">
        <v>2005</v>
      </c>
      <c r="H588">
        <v>9</v>
      </c>
      <c r="I588">
        <v>21</v>
      </c>
      <c r="J588" t="s">
        <v>213</v>
      </c>
      <c r="K588" t="s">
        <v>995</v>
      </c>
      <c r="L588">
        <v>2</v>
      </c>
      <c r="M588">
        <v>224.72</v>
      </c>
      <c r="O588" t="s">
        <v>20</v>
      </c>
      <c r="P588" t="s">
        <v>105</v>
      </c>
    </row>
    <row r="589" spans="1:16" x14ac:dyDescent="0.25">
      <c r="A589" t="s">
        <v>996</v>
      </c>
      <c r="B589" s="4">
        <v>45971</v>
      </c>
      <c r="C589" s="3">
        <v>0.42023148148148148</v>
      </c>
      <c r="D589" t="s">
        <v>16</v>
      </c>
      <c r="E589" t="s">
        <v>151</v>
      </c>
      <c r="G589">
        <v>1991</v>
      </c>
      <c r="H589">
        <v>12</v>
      </c>
      <c r="I589">
        <v>12</v>
      </c>
      <c r="J589" t="s">
        <v>164</v>
      </c>
      <c r="K589" t="s">
        <v>997</v>
      </c>
      <c r="L589">
        <v>2</v>
      </c>
      <c r="M589">
        <v>611.86</v>
      </c>
      <c r="O589" t="s">
        <v>32</v>
      </c>
      <c r="P589" t="s">
        <v>56</v>
      </c>
    </row>
    <row r="590" spans="1:16" x14ac:dyDescent="0.25">
      <c r="A590" t="s">
        <v>998</v>
      </c>
      <c r="B590" s="4">
        <v>45878</v>
      </c>
      <c r="C590" s="3">
        <v>0.73019675925925931</v>
      </c>
      <c r="D590" t="s">
        <v>16</v>
      </c>
      <c r="E590" t="s">
        <v>295</v>
      </c>
      <c r="F590" s="4"/>
      <c r="G590">
        <v>1988</v>
      </c>
      <c r="H590">
        <v>7</v>
      </c>
      <c r="I590">
        <v>20</v>
      </c>
      <c r="J590" t="s">
        <v>110</v>
      </c>
      <c r="K590">
        <v>94.6</v>
      </c>
      <c r="L590">
        <v>2</v>
      </c>
      <c r="M590">
        <v>189.2</v>
      </c>
      <c r="O590" t="s">
        <v>55</v>
      </c>
      <c r="P590" t="s">
        <v>48</v>
      </c>
    </row>
    <row r="591" spans="1:16" x14ac:dyDescent="0.25">
      <c r="A591" t="s">
        <v>999</v>
      </c>
      <c r="B591" s="4">
        <v>45804</v>
      </c>
      <c r="C591" s="3">
        <v>0.49484953703703705</v>
      </c>
      <c r="D591" t="s">
        <v>16</v>
      </c>
      <c r="E591" t="s">
        <v>225</v>
      </c>
      <c r="G591">
        <v>1972</v>
      </c>
      <c r="H591">
        <v>6</v>
      </c>
      <c r="I591">
        <v>14</v>
      </c>
      <c r="J591" t="s">
        <v>116</v>
      </c>
      <c r="K591">
        <v>36</v>
      </c>
      <c r="L591">
        <v>2</v>
      </c>
      <c r="M591">
        <v>72</v>
      </c>
      <c r="O591" t="s">
        <v>37</v>
      </c>
      <c r="P591" t="s">
        <v>33</v>
      </c>
    </row>
    <row r="592" spans="1:16" x14ac:dyDescent="0.25">
      <c r="A592" t="s">
        <v>1000</v>
      </c>
      <c r="B592" t="s">
        <v>803</v>
      </c>
      <c r="C592" s="2">
        <v>0.52222222222222225</v>
      </c>
      <c r="D592" t="s">
        <v>16</v>
      </c>
      <c r="E592" t="s">
        <v>332</v>
      </c>
      <c r="F592" s="4"/>
      <c r="G592">
        <v>1987</v>
      </c>
      <c r="H592">
        <v>1</v>
      </c>
      <c r="I592">
        <v>2</v>
      </c>
      <c r="J592" t="s">
        <v>178</v>
      </c>
      <c r="K592">
        <v>311.11</v>
      </c>
      <c r="L592">
        <v>2</v>
      </c>
      <c r="M592">
        <v>580.22</v>
      </c>
      <c r="N592" t="s">
        <v>64</v>
      </c>
      <c r="O592" t="s">
        <v>55</v>
      </c>
      <c r="P592" t="s">
        <v>21</v>
      </c>
    </row>
    <row r="593" spans="1:16" x14ac:dyDescent="0.25">
      <c r="A593" t="s">
        <v>1001</v>
      </c>
      <c r="B593" s="4">
        <v>45676</v>
      </c>
      <c r="C593" s="3">
        <v>0.79993055555555559</v>
      </c>
      <c r="D593" t="s">
        <v>16</v>
      </c>
      <c r="E593" t="s">
        <v>246</v>
      </c>
      <c r="F593" s="4"/>
      <c r="G593">
        <v>1972</v>
      </c>
      <c r="H593">
        <v>12</v>
      </c>
      <c r="I593">
        <v>12</v>
      </c>
      <c r="J593" t="s">
        <v>30</v>
      </c>
      <c r="K593">
        <v>212.04</v>
      </c>
      <c r="L593">
        <v>0</v>
      </c>
      <c r="M593">
        <v>0</v>
      </c>
      <c r="N593" t="s">
        <v>19</v>
      </c>
      <c r="O593" t="s">
        <v>89</v>
      </c>
    </row>
    <row r="594" spans="1:16" x14ac:dyDescent="0.25">
      <c r="A594" t="s">
        <v>1002</v>
      </c>
      <c r="B594" s="1">
        <v>45981</v>
      </c>
      <c r="C594" s="5">
        <v>0.57708333333333328</v>
      </c>
      <c r="D594" t="s">
        <v>16</v>
      </c>
      <c r="E594" t="s">
        <v>138</v>
      </c>
      <c r="F594" s="1"/>
      <c r="G594">
        <v>2006</v>
      </c>
      <c r="H594">
        <v>4</v>
      </c>
      <c r="I594">
        <v>28</v>
      </c>
      <c r="J594" t="s">
        <v>85</v>
      </c>
      <c r="K594">
        <v>232.41</v>
      </c>
      <c r="L594">
        <v>2</v>
      </c>
      <c r="M594">
        <v>464.82</v>
      </c>
      <c r="N594" t="s">
        <v>19</v>
      </c>
      <c r="O594" t="s">
        <v>55</v>
      </c>
      <c r="P594" t="s">
        <v>48</v>
      </c>
    </row>
    <row r="595" spans="1:16" x14ac:dyDescent="0.25">
      <c r="A595" t="s">
        <v>1003</v>
      </c>
      <c r="B595" s="1">
        <v>45787</v>
      </c>
      <c r="C595" s="2">
        <v>0.94097222222222221</v>
      </c>
      <c r="D595" t="s">
        <v>16</v>
      </c>
      <c r="E595" t="s">
        <v>95</v>
      </c>
      <c r="F595" s="4"/>
      <c r="G595">
        <v>1988</v>
      </c>
      <c r="H595">
        <v>4</v>
      </c>
      <c r="I595">
        <v>26</v>
      </c>
      <c r="J595" t="s">
        <v>129</v>
      </c>
      <c r="K595">
        <v>213.71</v>
      </c>
      <c r="L595">
        <v>2</v>
      </c>
      <c r="M595">
        <v>427.42</v>
      </c>
      <c r="N595" t="s">
        <v>67</v>
      </c>
      <c r="O595" t="s">
        <v>89</v>
      </c>
      <c r="P595" t="s">
        <v>48</v>
      </c>
    </row>
    <row r="596" spans="1:16" x14ac:dyDescent="0.25">
      <c r="A596" t="s">
        <v>1004</v>
      </c>
      <c r="B596" s="1">
        <v>45894</v>
      </c>
      <c r="C596" s="5">
        <v>0.51388888888888884</v>
      </c>
      <c r="D596" t="s">
        <v>16</v>
      </c>
      <c r="E596" t="s">
        <v>232</v>
      </c>
      <c r="F596" s="1"/>
      <c r="G596">
        <v>1973</v>
      </c>
      <c r="H596">
        <v>6</v>
      </c>
      <c r="I596">
        <v>11</v>
      </c>
      <c r="J596" t="s">
        <v>40</v>
      </c>
      <c r="K596">
        <v>191.16</v>
      </c>
      <c r="L596">
        <v>1</v>
      </c>
      <c r="M596">
        <v>191.16</v>
      </c>
      <c r="N596" t="s">
        <v>64</v>
      </c>
      <c r="O596" t="s">
        <v>32</v>
      </c>
      <c r="P596" t="s">
        <v>21</v>
      </c>
    </row>
    <row r="597" spans="1:16" x14ac:dyDescent="0.25">
      <c r="A597" t="s">
        <v>1005</v>
      </c>
      <c r="B597" s="1">
        <v>45638</v>
      </c>
      <c r="C597" s="2">
        <v>0.87569444444444444</v>
      </c>
      <c r="D597" t="s">
        <v>16</v>
      </c>
      <c r="E597" t="s">
        <v>52</v>
      </c>
      <c r="F597" s="4"/>
      <c r="G597">
        <v>1976</v>
      </c>
      <c r="H597">
        <v>8</v>
      </c>
      <c r="I597">
        <v>25</v>
      </c>
      <c r="J597" t="s">
        <v>129</v>
      </c>
      <c r="K597">
        <v>208.44</v>
      </c>
      <c r="L597">
        <v>2</v>
      </c>
      <c r="M597">
        <v>416.88</v>
      </c>
      <c r="N597" t="s">
        <v>67</v>
      </c>
      <c r="O597" t="s">
        <v>32</v>
      </c>
      <c r="P597" t="s">
        <v>48</v>
      </c>
    </row>
    <row r="598" spans="1:16" x14ac:dyDescent="0.25">
      <c r="A598" t="s">
        <v>1006</v>
      </c>
      <c r="B598" s="4">
        <v>45974</v>
      </c>
      <c r="C598" s="2">
        <v>0.45624999999999999</v>
      </c>
      <c r="D598" t="s">
        <v>16</v>
      </c>
      <c r="E598" t="s">
        <v>35</v>
      </c>
      <c r="J598" t="s">
        <v>73</v>
      </c>
      <c r="K598">
        <v>51.19</v>
      </c>
      <c r="L598">
        <v>2</v>
      </c>
      <c r="M598">
        <v>102.38</v>
      </c>
      <c r="N598" t="s">
        <v>25</v>
      </c>
      <c r="O598" t="s">
        <v>61</v>
      </c>
      <c r="P598" t="s">
        <v>56</v>
      </c>
    </row>
    <row r="599" spans="1:16" x14ac:dyDescent="0.25">
      <c r="A599" t="s">
        <v>1007</v>
      </c>
      <c r="B599" s="4">
        <v>45633</v>
      </c>
      <c r="C599" s="3">
        <v>0.97993055555555553</v>
      </c>
      <c r="D599" t="s">
        <v>16</v>
      </c>
      <c r="E599" t="s">
        <v>44</v>
      </c>
      <c r="J599" t="s">
        <v>18</v>
      </c>
      <c r="K599">
        <v>98.66</v>
      </c>
      <c r="L599">
        <v>2</v>
      </c>
      <c r="M599" t="s">
        <v>1008</v>
      </c>
      <c r="N599" t="s">
        <v>19</v>
      </c>
      <c r="O599" t="s">
        <v>55</v>
      </c>
      <c r="P599" t="s">
        <v>48</v>
      </c>
    </row>
    <row r="600" spans="1:16" x14ac:dyDescent="0.25">
      <c r="A600" t="s">
        <v>1009</v>
      </c>
      <c r="B600" s="4">
        <v>45795</v>
      </c>
      <c r="C600" s="2">
        <v>0.56041666666666667</v>
      </c>
      <c r="D600" t="s">
        <v>16</v>
      </c>
      <c r="E600" t="s">
        <v>1010</v>
      </c>
      <c r="F600" s="4"/>
      <c r="G600">
        <v>2010</v>
      </c>
      <c r="H600">
        <v>10</v>
      </c>
      <c r="I600">
        <v>4</v>
      </c>
      <c r="J600" t="s">
        <v>45</v>
      </c>
      <c r="K600">
        <v>268.26</v>
      </c>
      <c r="L600">
        <v>1</v>
      </c>
      <c r="M600">
        <v>280.26</v>
      </c>
      <c r="N600" t="s">
        <v>54</v>
      </c>
      <c r="O600" t="s">
        <v>55</v>
      </c>
      <c r="P600" t="s">
        <v>74</v>
      </c>
    </row>
    <row r="601" spans="1:16" x14ac:dyDescent="0.25">
      <c r="A601" t="s">
        <v>1011</v>
      </c>
      <c r="B601" s="4">
        <v>45909</v>
      </c>
      <c r="C601" s="2">
        <v>0.48194444444444445</v>
      </c>
      <c r="D601" t="s">
        <v>16</v>
      </c>
      <c r="E601" t="s">
        <v>98</v>
      </c>
      <c r="F601" s="4"/>
      <c r="G601">
        <v>1985</v>
      </c>
      <c r="H601">
        <v>8</v>
      </c>
      <c r="I601">
        <v>17</v>
      </c>
      <c r="J601" t="s">
        <v>60</v>
      </c>
      <c r="K601">
        <v>41.78</v>
      </c>
      <c r="L601">
        <v>0</v>
      </c>
      <c r="M601">
        <v>0</v>
      </c>
      <c r="N601" t="s">
        <v>41</v>
      </c>
      <c r="O601" t="s">
        <v>32</v>
      </c>
      <c r="P601" t="s">
        <v>56</v>
      </c>
    </row>
    <row r="602" spans="1:16" x14ac:dyDescent="0.25">
      <c r="A602" t="s">
        <v>1012</v>
      </c>
      <c r="B602" s="1">
        <v>45621</v>
      </c>
      <c r="C602" s="3">
        <v>0.95837962962962964</v>
      </c>
      <c r="D602" t="s">
        <v>16</v>
      </c>
      <c r="E602" t="s">
        <v>84</v>
      </c>
      <c r="F602" s="4"/>
      <c r="G602">
        <v>1995</v>
      </c>
      <c r="H602">
        <v>3</v>
      </c>
      <c r="I602">
        <v>10</v>
      </c>
      <c r="J602" t="s">
        <v>36</v>
      </c>
      <c r="K602">
        <v>150.15</v>
      </c>
      <c r="L602">
        <v>1</v>
      </c>
      <c r="M602">
        <v>150.15</v>
      </c>
      <c r="N602" t="s">
        <v>31</v>
      </c>
      <c r="O602" t="s">
        <v>55</v>
      </c>
      <c r="P602" t="s">
        <v>56</v>
      </c>
    </row>
    <row r="603" spans="1:16" x14ac:dyDescent="0.25">
      <c r="A603" t="s">
        <v>1013</v>
      </c>
      <c r="C603" s="3">
        <v>0.94068287037037035</v>
      </c>
      <c r="D603" t="s">
        <v>16</v>
      </c>
      <c r="E603" t="s">
        <v>548</v>
      </c>
      <c r="G603">
        <v>1977</v>
      </c>
      <c r="H603">
        <v>2</v>
      </c>
      <c r="I603">
        <v>13</v>
      </c>
      <c r="J603" t="s">
        <v>36</v>
      </c>
      <c r="K603">
        <v>344.71</v>
      </c>
      <c r="L603">
        <v>2</v>
      </c>
      <c r="M603">
        <v>689.42</v>
      </c>
      <c r="N603" t="s">
        <v>41</v>
      </c>
      <c r="O603" t="s">
        <v>26</v>
      </c>
      <c r="P603" t="s">
        <v>27</v>
      </c>
    </row>
    <row r="604" spans="1:16" x14ac:dyDescent="0.25">
      <c r="A604" t="s">
        <v>1014</v>
      </c>
      <c r="B604" t="s">
        <v>449</v>
      </c>
      <c r="C604" s="5">
        <v>0.59027777777777779</v>
      </c>
      <c r="D604" t="s">
        <v>16</v>
      </c>
      <c r="E604" t="s">
        <v>628</v>
      </c>
      <c r="F604" s="1"/>
      <c r="G604">
        <v>1981</v>
      </c>
      <c r="H604">
        <v>1</v>
      </c>
      <c r="I604">
        <v>23</v>
      </c>
      <c r="J604" t="s">
        <v>243</v>
      </c>
      <c r="K604">
        <v>161.4</v>
      </c>
      <c r="L604">
        <v>1</v>
      </c>
      <c r="M604">
        <v>161.4</v>
      </c>
      <c r="N604" t="s">
        <v>41</v>
      </c>
      <c r="O604" t="s">
        <v>47</v>
      </c>
      <c r="P604" t="s">
        <v>74</v>
      </c>
    </row>
    <row r="605" spans="1:16" x14ac:dyDescent="0.25">
      <c r="A605" t="s">
        <v>1015</v>
      </c>
      <c r="B605" s="4">
        <v>45975</v>
      </c>
      <c r="C605" s="2">
        <v>0.86805555555555558</v>
      </c>
      <c r="D605" t="s">
        <v>16</v>
      </c>
      <c r="E605" t="s">
        <v>1016</v>
      </c>
      <c r="G605">
        <v>1991</v>
      </c>
      <c r="H605">
        <v>12</v>
      </c>
      <c r="I605">
        <v>12</v>
      </c>
      <c r="J605" t="s">
        <v>40</v>
      </c>
      <c r="K605">
        <v>201.07</v>
      </c>
      <c r="L605">
        <v>1</v>
      </c>
      <c r="M605">
        <v>201.07</v>
      </c>
      <c r="O605" t="s">
        <v>61</v>
      </c>
      <c r="P605" t="s">
        <v>27</v>
      </c>
    </row>
    <row r="606" spans="1:16" x14ac:dyDescent="0.25">
      <c r="A606" t="s">
        <v>1017</v>
      </c>
      <c r="B606" t="s">
        <v>498</v>
      </c>
      <c r="C606" s="2">
        <v>0.7729166666666667</v>
      </c>
      <c r="D606" t="s">
        <v>16</v>
      </c>
      <c r="E606" t="s">
        <v>776</v>
      </c>
      <c r="F606" s="1"/>
      <c r="G606">
        <v>2008</v>
      </c>
      <c r="H606">
        <v>4</v>
      </c>
      <c r="I606">
        <v>3</v>
      </c>
      <c r="J606" t="s">
        <v>178</v>
      </c>
      <c r="K606">
        <v>325.45999999999998</v>
      </c>
      <c r="L606">
        <v>1</v>
      </c>
      <c r="M606">
        <v>325.45999999999998</v>
      </c>
      <c r="N606" t="s">
        <v>54</v>
      </c>
      <c r="O606" t="s">
        <v>55</v>
      </c>
      <c r="P606" t="s">
        <v>27</v>
      </c>
    </row>
    <row r="607" spans="1:16" x14ac:dyDescent="0.25">
      <c r="A607" t="s">
        <v>1018</v>
      </c>
      <c r="B607" s="1">
        <v>45899</v>
      </c>
      <c r="C607" s="5">
        <v>0.75555555555555554</v>
      </c>
      <c r="D607" t="s">
        <v>16</v>
      </c>
      <c r="E607" t="s">
        <v>1019</v>
      </c>
      <c r="F607" s="4"/>
      <c r="G607">
        <v>1987</v>
      </c>
      <c r="H607">
        <v>8</v>
      </c>
      <c r="I607">
        <v>9</v>
      </c>
      <c r="J607" t="s">
        <v>164</v>
      </c>
      <c r="K607">
        <v>288.79000000000002</v>
      </c>
      <c r="L607">
        <v>0</v>
      </c>
      <c r="M607">
        <v>0</v>
      </c>
      <c r="N607" t="s">
        <v>54</v>
      </c>
      <c r="O607" t="s">
        <v>37</v>
      </c>
      <c r="P607" t="s">
        <v>105</v>
      </c>
    </row>
    <row r="608" spans="1:16" x14ac:dyDescent="0.25">
      <c r="A608" t="s">
        <v>1020</v>
      </c>
      <c r="B608" s="4">
        <v>45941</v>
      </c>
      <c r="C608" s="2">
        <v>0.62430555555555556</v>
      </c>
      <c r="D608" t="s">
        <v>16</v>
      </c>
      <c r="E608" t="s">
        <v>492</v>
      </c>
      <c r="F608" s="4"/>
      <c r="G608">
        <v>1998</v>
      </c>
      <c r="H608">
        <v>8</v>
      </c>
      <c r="I608">
        <v>12</v>
      </c>
      <c r="J608" t="s">
        <v>24</v>
      </c>
      <c r="K608">
        <v>283.33999999999997</v>
      </c>
      <c r="L608">
        <v>1</v>
      </c>
      <c r="M608">
        <v>283.33999999999997</v>
      </c>
      <c r="N608" t="s">
        <v>64</v>
      </c>
      <c r="O608" t="s">
        <v>47</v>
      </c>
    </row>
    <row r="609" spans="1:16" x14ac:dyDescent="0.25">
      <c r="A609" t="s">
        <v>1021</v>
      </c>
      <c r="B609" t="s">
        <v>1022</v>
      </c>
      <c r="C609" s="2">
        <v>0.79583333333333328</v>
      </c>
      <c r="D609" t="s">
        <v>16</v>
      </c>
      <c r="E609" t="s">
        <v>39</v>
      </c>
      <c r="F609" s="1"/>
      <c r="G609">
        <v>1980</v>
      </c>
      <c r="H609">
        <v>10</v>
      </c>
      <c r="I609">
        <v>3</v>
      </c>
      <c r="J609" t="s">
        <v>141</v>
      </c>
      <c r="K609">
        <v>130.69</v>
      </c>
      <c r="L609">
        <v>1</v>
      </c>
      <c r="M609">
        <v>130.69</v>
      </c>
      <c r="N609" t="s">
        <v>25</v>
      </c>
      <c r="O609" t="s">
        <v>26</v>
      </c>
      <c r="P609" t="s">
        <v>74</v>
      </c>
    </row>
    <row r="610" spans="1:16" x14ac:dyDescent="0.25">
      <c r="A610" t="s">
        <v>1023</v>
      </c>
      <c r="B610" s="4">
        <v>45817</v>
      </c>
      <c r="C610" s="5">
        <v>0.95486111111111116</v>
      </c>
      <c r="D610" t="s">
        <v>16</v>
      </c>
      <c r="E610" t="s">
        <v>1024</v>
      </c>
      <c r="F610" s="4"/>
      <c r="G610">
        <v>1995</v>
      </c>
      <c r="H610">
        <v>9</v>
      </c>
      <c r="I610">
        <v>12</v>
      </c>
      <c r="J610" t="s">
        <v>53</v>
      </c>
      <c r="K610">
        <v>91.52</v>
      </c>
      <c r="L610">
        <v>3</v>
      </c>
      <c r="M610">
        <v>274.56</v>
      </c>
      <c r="N610" t="s">
        <v>25</v>
      </c>
      <c r="O610" t="s">
        <v>89</v>
      </c>
      <c r="P610" t="s">
        <v>105</v>
      </c>
    </row>
    <row r="611" spans="1:16" x14ac:dyDescent="0.25">
      <c r="A611" t="s">
        <v>1025</v>
      </c>
      <c r="B611" t="s">
        <v>1026</v>
      </c>
      <c r="C611" s="2">
        <v>0.57152777777777775</v>
      </c>
      <c r="D611" t="s">
        <v>16</v>
      </c>
      <c r="E611" t="s">
        <v>628</v>
      </c>
      <c r="F611" s="4"/>
      <c r="G611">
        <v>1989</v>
      </c>
      <c r="H611">
        <v>11</v>
      </c>
      <c r="I611">
        <v>20</v>
      </c>
      <c r="J611" t="s">
        <v>73</v>
      </c>
      <c r="K611">
        <v>53.64</v>
      </c>
      <c r="L611">
        <v>2</v>
      </c>
      <c r="M611">
        <v>107.28</v>
      </c>
      <c r="N611" t="s">
        <v>64</v>
      </c>
      <c r="O611" t="s">
        <v>89</v>
      </c>
      <c r="P611" t="s">
        <v>27</v>
      </c>
    </row>
    <row r="612" spans="1:16" x14ac:dyDescent="0.25">
      <c r="A612" t="s">
        <v>1027</v>
      </c>
      <c r="B612" s="4">
        <v>45668</v>
      </c>
      <c r="C612" s="2">
        <v>0.78263888888888888</v>
      </c>
      <c r="D612" t="s">
        <v>16</v>
      </c>
      <c r="E612" t="s">
        <v>79</v>
      </c>
      <c r="F612" s="1"/>
      <c r="G612">
        <v>1996</v>
      </c>
      <c r="H612">
        <v>3</v>
      </c>
      <c r="I612">
        <v>21</v>
      </c>
      <c r="J612" t="s">
        <v>110</v>
      </c>
      <c r="K612">
        <v>101.03</v>
      </c>
      <c r="L612">
        <v>2</v>
      </c>
      <c r="M612">
        <v>202.06</v>
      </c>
      <c r="N612" t="s">
        <v>64</v>
      </c>
      <c r="O612" t="s">
        <v>55</v>
      </c>
      <c r="P612" t="s">
        <v>56</v>
      </c>
    </row>
    <row r="613" spans="1:16" x14ac:dyDescent="0.25">
      <c r="A613" t="s">
        <v>1028</v>
      </c>
      <c r="B613" s="4">
        <v>45889</v>
      </c>
      <c r="C613" s="5">
        <v>0.59166666666666667</v>
      </c>
      <c r="D613" t="s">
        <v>16</v>
      </c>
      <c r="E613" t="s">
        <v>44</v>
      </c>
      <c r="J613" t="s">
        <v>259</v>
      </c>
      <c r="K613">
        <v>184.43</v>
      </c>
      <c r="L613">
        <v>2</v>
      </c>
      <c r="M613">
        <v>368.86</v>
      </c>
      <c r="N613" t="s">
        <v>25</v>
      </c>
      <c r="O613" t="s">
        <v>32</v>
      </c>
      <c r="P613" t="s">
        <v>33</v>
      </c>
    </row>
    <row r="614" spans="1:16" x14ac:dyDescent="0.25">
      <c r="A614" t="s">
        <v>1029</v>
      </c>
      <c r="B614" t="s">
        <v>851</v>
      </c>
      <c r="C614" s="3">
        <v>0.65034722222222219</v>
      </c>
      <c r="D614" t="s">
        <v>16</v>
      </c>
      <c r="E614" t="s">
        <v>204</v>
      </c>
      <c r="G614">
        <v>2002</v>
      </c>
      <c r="H614">
        <v>7</v>
      </c>
      <c r="I614">
        <v>26</v>
      </c>
      <c r="J614" t="s">
        <v>141</v>
      </c>
      <c r="K614">
        <v>130.19999999999999</v>
      </c>
      <c r="L614">
        <v>2</v>
      </c>
      <c r="M614">
        <v>260.39999999999998</v>
      </c>
      <c r="N614" t="s">
        <v>41</v>
      </c>
      <c r="O614" t="s">
        <v>20</v>
      </c>
      <c r="P614" t="s">
        <v>27</v>
      </c>
    </row>
    <row r="615" spans="1:16" x14ac:dyDescent="0.25">
      <c r="A615" t="s">
        <v>1030</v>
      </c>
      <c r="B615" s="1">
        <v>45782</v>
      </c>
      <c r="C615" s="3">
        <v>0.80862268518518521</v>
      </c>
      <c r="D615" t="s">
        <v>16</v>
      </c>
      <c r="E615" t="s">
        <v>82</v>
      </c>
      <c r="F615" s="4"/>
      <c r="G615">
        <v>1970</v>
      </c>
      <c r="H615">
        <v>8</v>
      </c>
      <c r="I615">
        <v>28</v>
      </c>
      <c r="J615" t="s">
        <v>110</v>
      </c>
      <c r="K615">
        <v>99.08</v>
      </c>
      <c r="L615">
        <v>1</v>
      </c>
      <c r="M615">
        <v>99.08</v>
      </c>
      <c r="N615" t="s">
        <v>31</v>
      </c>
      <c r="O615" t="s">
        <v>26</v>
      </c>
      <c r="P615" t="s">
        <v>48</v>
      </c>
    </row>
    <row r="616" spans="1:16" x14ac:dyDescent="0.25">
      <c r="A616" t="s">
        <v>1031</v>
      </c>
      <c r="B616" s="4">
        <v>45779</v>
      </c>
      <c r="C616" s="3">
        <v>0.91045138888888888</v>
      </c>
      <c r="D616" t="s">
        <v>16</v>
      </c>
      <c r="E616" t="s">
        <v>227</v>
      </c>
      <c r="J616" t="s">
        <v>202</v>
      </c>
      <c r="K616">
        <v>202.47</v>
      </c>
      <c r="L616">
        <v>3</v>
      </c>
      <c r="M616">
        <v>607.41</v>
      </c>
      <c r="N616" t="s">
        <v>25</v>
      </c>
      <c r="O616" t="s">
        <v>32</v>
      </c>
      <c r="P616" t="s">
        <v>27</v>
      </c>
    </row>
    <row r="617" spans="1:16" x14ac:dyDescent="0.25">
      <c r="A617" t="s">
        <v>1032</v>
      </c>
      <c r="B617" s="1">
        <v>45724</v>
      </c>
      <c r="C617" s="3">
        <v>0.91471064814814818</v>
      </c>
      <c r="D617" t="s">
        <v>16</v>
      </c>
      <c r="E617" t="s">
        <v>189</v>
      </c>
      <c r="F617" s="4"/>
      <c r="G617">
        <v>2001</v>
      </c>
      <c r="H617">
        <v>1</v>
      </c>
      <c r="I617">
        <v>4</v>
      </c>
      <c r="J617" t="s">
        <v>126</v>
      </c>
      <c r="K617">
        <v>110.55</v>
      </c>
      <c r="L617">
        <v>2</v>
      </c>
      <c r="M617">
        <v>221.1</v>
      </c>
      <c r="N617" t="s">
        <v>67</v>
      </c>
      <c r="O617" t="s">
        <v>47</v>
      </c>
    </row>
    <row r="618" spans="1:16" x14ac:dyDescent="0.25">
      <c r="A618" t="s">
        <v>1033</v>
      </c>
      <c r="B618" s="4">
        <v>45618</v>
      </c>
      <c r="C618" s="2">
        <v>0.86944444444444446</v>
      </c>
      <c r="D618" t="s">
        <v>16</v>
      </c>
      <c r="E618" t="s">
        <v>151</v>
      </c>
      <c r="F618" s="4"/>
      <c r="G618">
        <v>2004</v>
      </c>
      <c r="H618">
        <v>2</v>
      </c>
      <c r="I618">
        <v>1</v>
      </c>
      <c r="J618" t="s">
        <v>24</v>
      </c>
      <c r="K618">
        <v>191.66</v>
      </c>
      <c r="L618">
        <v>1</v>
      </c>
      <c r="M618" t="s">
        <v>1034</v>
      </c>
      <c r="N618" t="s">
        <v>25</v>
      </c>
      <c r="O618" t="s">
        <v>47</v>
      </c>
      <c r="P618" t="s">
        <v>21</v>
      </c>
    </row>
    <row r="619" spans="1:16" x14ac:dyDescent="0.25">
      <c r="A619" t="s">
        <v>1035</v>
      </c>
      <c r="B619" s="4">
        <v>45728</v>
      </c>
      <c r="C619" s="5">
        <v>0.71527777777777779</v>
      </c>
      <c r="D619" t="s">
        <v>16</v>
      </c>
      <c r="E619" t="s">
        <v>370</v>
      </c>
      <c r="J619" t="s">
        <v>202</v>
      </c>
      <c r="K619">
        <v>308.83</v>
      </c>
      <c r="L619">
        <v>1</v>
      </c>
      <c r="M619">
        <v>308.83</v>
      </c>
      <c r="N619" t="s">
        <v>41</v>
      </c>
      <c r="O619" t="s">
        <v>61</v>
      </c>
      <c r="P619" t="s">
        <v>33</v>
      </c>
    </row>
    <row r="620" spans="1:16" x14ac:dyDescent="0.25">
      <c r="A620" t="s">
        <v>1036</v>
      </c>
      <c r="B620" s="4">
        <v>45975</v>
      </c>
      <c r="C620" s="3">
        <v>0.42943287037037037</v>
      </c>
      <c r="D620" t="s">
        <v>16</v>
      </c>
      <c r="E620" t="s">
        <v>44</v>
      </c>
      <c r="F620" s="4"/>
      <c r="G620">
        <v>1984</v>
      </c>
      <c r="H620">
        <v>7</v>
      </c>
      <c r="I620">
        <v>14</v>
      </c>
      <c r="J620" t="s">
        <v>45</v>
      </c>
      <c r="K620">
        <v>73.819999999999993</v>
      </c>
      <c r="L620">
        <v>1</v>
      </c>
      <c r="M620">
        <v>73.819999999999993</v>
      </c>
      <c r="O620" t="s">
        <v>26</v>
      </c>
      <c r="P620" t="s">
        <v>27</v>
      </c>
    </row>
    <row r="621" spans="1:16" x14ac:dyDescent="0.25">
      <c r="A621" t="s">
        <v>1037</v>
      </c>
      <c r="B621" s="4">
        <v>45819</v>
      </c>
      <c r="C621" s="2">
        <v>0.77986111111111112</v>
      </c>
      <c r="D621" t="s">
        <v>16</v>
      </c>
      <c r="E621" t="s">
        <v>458</v>
      </c>
      <c r="F621" s="4"/>
      <c r="G621">
        <v>2010</v>
      </c>
      <c r="H621">
        <v>7</v>
      </c>
      <c r="I621">
        <v>23</v>
      </c>
      <c r="J621" t="s">
        <v>129</v>
      </c>
      <c r="K621">
        <v>179.41</v>
      </c>
      <c r="L621">
        <v>1</v>
      </c>
      <c r="M621">
        <v>179.41</v>
      </c>
      <c r="N621" t="s">
        <v>54</v>
      </c>
      <c r="O621" t="s">
        <v>26</v>
      </c>
      <c r="P621" t="s">
        <v>48</v>
      </c>
    </row>
    <row r="622" spans="1:16" x14ac:dyDescent="0.25">
      <c r="A622" t="s">
        <v>1038</v>
      </c>
      <c r="B622" s="1">
        <v>45746</v>
      </c>
      <c r="C622" s="2">
        <v>0.77916666666666667</v>
      </c>
      <c r="D622" t="s">
        <v>16</v>
      </c>
      <c r="E622" t="s">
        <v>161</v>
      </c>
      <c r="G622">
        <v>2010</v>
      </c>
      <c r="H622">
        <v>3</v>
      </c>
      <c r="I622">
        <v>6</v>
      </c>
      <c r="J622" t="s">
        <v>30</v>
      </c>
      <c r="K622" t="s">
        <v>1039</v>
      </c>
      <c r="L622">
        <v>2</v>
      </c>
      <c r="M622">
        <v>499.46</v>
      </c>
      <c r="N622" t="s">
        <v>19</v>
      </c>
      <c r="O622" t="s">
        <v>55</v>
      </c>
      <c r="P622" t="s">
        <v>48</v>
      </c>
    </row>
    <row r="623" spans="1:16" x14ac:dyDescent="0.25">
      <c r="A623" t="s">
        <v>1040</v>
      </c>
      <c r="B623" t="s">
        <v>255</v>
      </c>
      <c r="C623" s="5">
        <v>0.58750000000000002</v>
      </c>
      <c r="D623" t="s">
        <v>16</v>
      </c>
      <c r="E623" t="s">
        <v>640</v>
      </c>
      <c r="F623" s="4"/>
      <c r="G623">
        <v>2005</v>
      </c>
      <c r="H623">
        <v>5</v>
      </c>
      <c r="I623">
        <v>25</v>
      </c>
      <c r="J623" t="s">
        <v>18</v>
      </c>
      <c r="K623">
        <v>102.99</v>
      </c>
      <c r="L623">
        <v>2</v>
      </c>
      <c r="M623">
        <v>205.98</v>
      </c>
      <c r="N623" t="s">
        <v>64</v>
      </c>
      <c r="O623" t="s">
        <v>89</v>
      </c>
    </row>
    <row r="624" spans="1:16" x14ac:dyDescent="0.25">
      <c r="A624" t="s">
        <v>1041</v>
      </c>
      <c r="B624" s="1">
        <v>45640</v>
      </c>
      <c r="C624" s="5">
        <v>0.7944444444444444</v>
      </c>
      <c r="D624" t="s">
        <v>16</v>
      </c>
      <c r="E624" t="s">
        <v>494</v>
      </c>
      <c r="F624" s="4"/>
      <c r="G624">
        <v>1987</v>
      </c>
      <c r="H624">
        <v>2</v>
      </c>
      <c r="I624">
        <v>3</v>
      </c>
      <c r="J624" t="s">
        <v>60</v>
      </c>
      <c r="K624">
        <v>148.22999999999999</v>
      </c>
      <c r="L624">
        <v>1</v>
      </c>
      <c r="M624">
        <v>98.229999999999905</v>
      </c>
      <c r="N624" t="s">
        <v>54</v>
      </c>
      <c r="O624" t="s">
        <v>89</v>
      </c>
      <c r="P624" t="s">
        <v>27</v>
      </c>
    </row>
    <row r="625" spans="1:16" x14ac:dyDescent="0.25">
      <c r="A625" t="s">
        <v>1042</v>
      </c>
      <c r="B625" s="4">
        <v>45839</v>
      </c>
      <c r="C625" s="2">
        <v>0.48541666666666666</v>
      </c>
      <c r="D625" t="s">
        <v>16</v>
      </c>
      <c r="E625" t="s">
        <v>208</v>
      </c>
      <c r="F625" s="1"/>
      <c r="G625">
        <v>1979</v>
      </c>
      <c r="H625">
        <v>5</v>
      </c>
      <c r="I625">
        <v>3</v>
      </c>
      <c r="J625" t="s">
        <v>243</v>
      </c>
      <c r="K625">
        <v>139.91999999999999</v>
      </c>
      <c r="L625">
        <v>2</v>
      </c>
      <c r="M625">
        <v>279.83999999999997</v>
      </c>
      <c r="N625" t="s">
        <v>41</v>
      </c>
      <c r="O625" t="s">
        <v>37</v>
      </c>
    </row>
    <row r="626" spans="1:16" x14ac:dyDescent="0.25">
      <c r="A626" t="s">
        <v>1043</v>
      </c>
      <c r="B626" s="4">
        <v>45950</v>
      </c>
      <c r="C626" s="2">
        <v>0.72291666666666665</v>
      </c>
      <c r="D626" t="s">
        <v>16</v>
      </c>
      <c r="E626" t="s">
        <v>237</v>
      </c>
      <c r="G626">
        <v>1996</v>
      </c>
      <c r="H626">
        <v>6</v>
      </c>
      <c r="I626">
        <v>8</v>
      </c>
      <c r="J626" t="s">
        <v>30</v>
      </c>
      <c r="K626">
        <v>220.26</v>
      </c>
      <c r="L626">
        <v>3</v>
      </c>
      <c r="M626">
        <v>660.78</v>
      </c>
      <c r="N626" t="s">
        <v>19</v>
      </c>
      <c r="O626" t="s">
        <v>37</v>
      </c>
      <c r="P626" t="s">
        <v>105</v>
      </c>
    </row>
    <row r="627" spans="1:16" x14ac:dyDescent="0.25">
      <c r="A627" t="s">
        <v>1044</v>
      </c>
      <c r="B627" s="4">
        <v>45698</v>
      </c>
      <c r="C627" s="3">
        <v>0.66181712962962957</v>
      </c>
      <c r="D627" t="s">
        <v>16</v>
      </c>
      <c r="E627" t="s">
        <v>187</v>
      </c>
      <c r="J627" t="s">
        <v>73</v>
      </c>
      <c r="K627">
        <v>55.36</v>
      </c>
      <c r="L627">
        <v>2</v>
      </c>
      <c r="M627">
        <v>110.72</v>
      </c>
      <c r="N627" t="s">
        <v>19</v>
      </c>
      <c r="O627" t="s">
        <v>20</v>
      </c>
      <c r="P627" t="s">
        <v>33</v>
      </c>
    </row>
    <row r="628" spans="1:16" x14ac:dyDescent="0.25">
      <c r="A628" t="s">
        <v>1045</v>
      </c>
      <c r="B628" t="s">
        <v>1046</v>
      </c>
      <c r="C628" s="3">
        <v>0.87657407407407406</v>
      </c>
      <c r="D628" t="s">
        <v>16</v>
      </c>
      <c r="E628" t="s">
        <v>66</v>
      </c>
      <c r="F628" s="4"/>
      <c r="G628">
        <v>1984</v>
      </c>
      <c r="H628">
        <v>8</v>
      </c>
      <c r="I628">
        <v>7</v>
      </c>
      <c r="J628" t="s">
        <v>243</v>
      </c>
      <c r="K628">
        <v>134.47999999999999</v>
      </c>
      <c r="L628">
        <v>1</v>
      </c>
      <c r="M628">
        <v>131.47999999999999</v>
      </c>
      <c r="N628" t="s">
        <v>54</v>
      </c>
      <c r="O628" t="s">
        <v>37</v>
      </c>
      <c r="P628" t="s">
        <v>56</v>
      </c>
    </row>
    <row r="629" spans="1:16" x14ac:dyDescent="0.25">
      <c r="A629" t="s">
        <v>1047</v>
      </c>
      <c r="B629" s="4">
        <v>45796</v>
      </c>
      <c r="C629" s="5">
        <v>0.72638888888888886</v>
      </c>
      <c r="D629" t="s">
        <v>16</v>
      </c>
      <c r="E629" t="s">
        <v>232</v>
      </c>
      <c r="G629">
        <v>1990</v>
      </c>
      <c r="H629">
        <v>10</v>
      </c>
      <c r="I629">
        <v>10</v>
      </c>
      <c r="J629" t="s">
        <v>77</v>
      </c>
      <c r="K629">
        <v>247.1</v>
      </c>
      <c r="L629">
        <v>2</v>
      </c>
      <c r="M629">
        <v>494.2</v>
      </c>
      <c r="N629" t="s">
        <v>25</v>
      </c>
      <c r="O629" t="s">
        <v>26</v>
      </c>
      <c r="P629" t="s">
        <v>48</v>
      </c>
    </row>
    <row r="630" spans="1:16" x14ac:dyDescent="0.25">
      <c r="A630" t="s">
        <v>1048</v>
      </c>
      <c r="B630" s="4">
        <v>45930</v>
      </c>
      <c r="C630" s="2">
        <v>0.94305555555555554</v>
      </c>
      <c r="D630" t="s">
        <v>16</v>
      </c>
      <c r="E630" t="s">
        <v>299</v>
      </c>
      <c r="F630" s="4"/>
      <c r="G630">
        <v>2006</v>
      </c>
      <c r="H630">
        <v>5</v>
      </c>
      <c r="I630">
        <v>14</v>
      </c>
      <c r="J630" t="s">
        <v>93</v>
      </c>
      <c r="K630">
        <v>172.08</v>
      </c>
      <c r="L630">
        <v>3</v>
      </c>
      <c r="M630">
        <v>516.24</v>
      </c>
      <c r="N630" t="s">
        <v>25</v>
      </c>
      <c r="O630" t="s">
        <v>26</v>
      </c>
      <c r="P630" t="s">
        <v>33</v>
      </c>
    </row>
    <row r="631" spans="1:16" x14ac:dyDescent="0.25">
      <c r="A631" t="s">
        <v>1049</v>
      </c>
      <c r="B631" s="4">
        <v>45697</v>
      </c>
      <c r="C631" s="5">
        <v>0.94166666666666665</v>
      </c>
      <c r="D631" t="s">
        <v>16</v>
      </c>
      <c r="E631" t="s">
        <v>582</v>
      </c>
      <c r="F631" s="1"/>
      <c r="G631">
        <v>1972</v>
      </c>
      <c r="H631">
        <v>8</v>
      </c>
      <c r="I631">
        <v>11</v>
      </c>
      <c r="J631" t="s">
        <v>40</v>
      </c>
      <c r="K631">
        <v>181.62</v>
      </c>
      <c r="L631">
        <v>0</v>
      </c>
      <c r="M631">
        <v>0</v>
      </c>
      <c r="N631" t="s">
        <v>25</v>
      </c>
      <c r="O631" t="s">
        <v>20</v>
      </c>
      <c r="P631" t="s">
        <v>21</v>
      </c>
    </row>
    <row r="632" spans="1:16" x14ac:dyDescent="0.25">
      <c r="A632" t="s">
        <v>1050</v>
      </c>
      <c r="B632" s="4">
        <v>45692</v>
      </c>
      <c r="C632" s="5">
        <v>0.79374999999999996</v>
      </c>
      <c r="D632" t="s">
        <v>16</v>
      </c>
      <c r="E632" t="s">
        <v>764</v>
      </c>
      <c r="F632" s="1"/>
      <c r="G632">
        <v>1983</v>
      </c>
      <c r="H632">
        <v>12</v>
      </c>
      <c r="I632">
        <v>28</v>
      </c>
      <c r="J632" t="s">
        <v>30</v>
      </c>
      <c r="K632" t="s">
        <v>1051</v>
      </c>
      <c r="L632">
        <v>1</v>
      </c>
      <c r="M632">
        <v>245.04</v>
      </c>
      <c r="N632" t="s">
        <v>19</v>
      </c>
      <c r="O632" t="s">
        <v>89</v>
      </c>
      <c r="P632" t="s">
        <v>56</v>
      </c>
    </row>
    <row r="633" spans="1:16" x14ac:dyDescent="0.25">
      <c r="A633" t="s">
        <v>1052</v>
      </c>
      <c r="B633" s="1">
        <v>45899</v>
      </c>
      <c r="C633" s="3">
        <v>0.8891782407407407</v>
      </c>
      <c r="D633" t="s">
        <v>16</v>
      </c>
      <c r="E633" t="s">
        <v>370</v>
      </c>
      <c r="F633" s="4"/>
      <c r="G633">
        <v>2005</v>
      </c>
      <c r="H633">
        <v>6</v>
      </c>
      <c r="I633">
        <v>2</v>
      </c>
      <c r="J633" t="s">
        <v>36</v>
      </c>
      <c r="K633">
        <v>164.54</v>
      </c>
      <c r="L633">
        <v>1</v>
      </c>
      <c r="M633">
        <v>164.54</v>
      </c>
      <c r="N633" t="s">
        <v>31</v>
      </c>
      <c r="O633" t="s">
        <v>20</v>
      </c>
    </row>
    <row r="634" spans="1:16" x14ac:dyDescent="0.25">
      <c r="A634" t="s">
        <v>1053</v>
      </c>
      <c r="B634" s="1">
        <v>45631</v>
      </c>
      <c r="C634" s="5">
        <v>0.90625</v>
      </c>
      <c r="D634" t="s">
        <v>16</v>
      </c>
      <c r="E634" t="s">
        <v>466</v>
      </c>
      <c r="G634">
        <v>1973</v>
      </c>
      <c r="H634">
        <v>3</v>
      </c>
      <c r="I634">
        <v>26</v>
      </c>
      <c r="J634" t="s">
        <v>164</v>
      </c>
      <c r="K634">
        <v>294.56</v>
      </c>
      <c r="L634">
        <v>2</v>
      </c>
      <c r="M634">
        <v>589.12</v>
      </c>
      <c r="N634" t="s">
        <v>25</v>
      </c>
      <c r="O634" t="s">
        <v>20</v>
      </c>
      <c r="P634" t="s">
        <v>74</v>
      </c>
    </row>
    <row r="635" spans="1:16" x14ac:dyDescent="0.25">
      <c r="A635" t="s">
        <v>1054</v>
      </c>
      <c r="B635" s="1">
        <v>45790</v>
      </c>
      <c r="C635" s="5">
        <v>0.91319444444444442</v>
      </c>
      <c r="D635" t="s">
        <v>16</v>
      </c>
      <c r="E635" t="s">
        <v>628</v>
      </c>
      <c r="F635" s="4"/>
      <c r="G635">
        <v>2009</v>
      </c>
      <c r="H635">
        <v>4</v>
      </c>
      <c r="I635">
        <v>1</v>
      </c>
      <c r="J635" t="s">
        <v>30</v>
      </c>
      <c r="K635">
        <v>307.95</v>
      </c>
      <c r="L635">
        <v>2</v>
      </c>
      <c r="M635">
        <v>615.9</v>
      </c>
      <c r="N635" t="s">
        <v>54</v>
      </c>
      <c r="O635" t="s">
        <v>61</v>
      </c>
      <c r="P635" t="s">
        <v>74</v>
      </c>
    </row>
    <row r="636" spans="1:16" x14ac:dyDescent="0.25">
      <c r="A636" t="s">
        <v>1055</v>
      </c>
      <c r="B636" s="1">
        <v>45689</v>
      </c>
      <c r="C636" s="5">
        <v>0.95277777777777772</v>
      </c>
      <c r="D636" t="s">
        <v>16</v>
      </c>
      <c r="E636" t="s">
        <v>258</v>
      </c>
      <c r="G636">
        <v>1983</v>
      </c>
      <c r="H636">
        <v>1</v>
      </c>
      <c r="I636">
        <v>3</v>
      </c>
      <c r="J636" t="s">
        <v>116</v>
      </c>
      <c r="K636">
        <v>264.55</v>
      </c>
      <c r="L636">
        <v>1</v>
      </c>
      <c r="M636">
        <v>264.55</v>
      </c>
      <c r="N636" t="s">
        <v>54</v>
      </c>
      <c r="O636" t="s">
        <v>26</v>
      </c>
    </row>
    <row r="637" spans="1:16" x14ac:dyDescent="0.25">
      <c r="A637" t="s">
        <v>1056</v>
      </c>
      <c r="B637" s="4">
        <v>45700</v>
      </c>
      <c r="C637" s="3">
        <v>0.58606481481481476</v>
      </c>
      <c r="D637" t="s">
        <v>16</v>
      </c>
      <c r="E637" t="s">
        <v>640</v>
      </c>
      <c r="F637" s="1"/>
      <c r="G637">
        <v>1986</v>
      </c>
      <c r="H637">
        <v>11</v>
      </c>
      <c r="I637">
        <v>18</v>
      </c>
      <c r="J637" t="s">
        <v>129</v>
      </c>
      <c r="K637">
        <v>209.99</v>
      </c>
      <c r="L637">
        <v>2</v>
      </c>
      <c r="M637">
        <v>419.98</v>
      </c>
      <c r="O637" t="s">
        <v>37</v>
      </c>
    </row>
    <row r="638" spans="1:16" x14ac:dyDescent="0.25">
      <c r="A638" t="s">
        <v>1057</v>
      </c>
      <c r="B638" s="4">
        <v>45939</v>
      </c>
      <c r="C638" s="2">
        <v>0.50624999999999998</v>
      </c>
      <c r="D638" t="s">
        <v>16</v>
      </c>
      <c r="E638" t="s">
        <v>334</v>
      </c>
      <c r="F638" s="4"/>
      <c r="G638">
        <v>1995</v>
      </c>
      <c r="H638">
        <v>9</v>
      </c>
      <c r="I638">
        <v>10</v>
      </c>
      <c r="J638" t="s">
        <v>116</v>
      </c>
      <c r="K638">
        <v>291.26</v>
      </c>
      <c r="L638">
        <v>1</v>
      </c>
      <c r="M638">
        <v>291.26</v>
      </c>
      <c r="N638" t="s">
        <v>54</v>
      </c>
      <c r="O638" t="s">
        <v>47</v>
      </c>
      <c r="P638" t="s">
        <v>56</v>
      </c>
    </row>
    <row r="639" spans="1:16" x14ac:dyDescent="0.25">
      <c r="A639" t="s">
        <v>1058</v>
      </c>
      <c r="B639" s="4">
        <v>45969</v>
      </c>
      <c r="C639" s="5">
        <v>0.87361111111111112</v>
      </c>
      <c r="D639" t="s">
        <v>16</v>
      </c>
      <c r="E639" t="s">
        <v>88</v>
      </c>
      <c r="G639">
        <v>1972</v>
      </c>
      <c r="H639">
        <v>11</v>
      </c>
      <c r="I639">
        <v>8</v>
      </c>
      <c r="J639" t="s">
        <v>126</v>
      </c>
      <c r="K639">
        <v>247.28</v>
      </c>
      <c r="L639">
        <v>2</v>
      </c>
      <c r="M639">
        <v>494.56</v>
      </c>
      <c r="N639" t="s">
        <v>67</v>
      </c>
      <c r="O639" t="s">
        <v>47</v>
      </c>
    </row>
    <row r="640" spans="1:16" x14ac:dyDescent="0.25">
      <c r="A640" t="s">
        <v>1059</v>
      </c>
      <c r="B640" s="4">
        <v>45849</v>
      </c>
      <c r="C640" s="5">
        <v>0.66249999999999998</v>
      </c>
      <c r="D640" t="s">
        <v>16</v>
      </c>
      <c r="E640" t="s">
        <v>458</v>
      </c>
      <c r="F640" s="4"/>
      <c r="G640">
        <v>1990</v>
      </c>
      <c r="H640">
        <v>11</v>
      </c>
      <c r="I640">
        <v>26</v>
      </c>
      <c r="J640" t="s">
        <v>259</v>
      </c>
      <c r="K640">
        <v>153.13</v>
      </c>
      <c r="L640">
        <v>1</v>
      </c>
      <c r="M640">
        <v>153.13</v>
      </c>
      <c r="O640" t="s">
        <v>32</v>
      </c>
      <c r="P640" t="s">
        <v>105</v>
      </c>
    </row>
    <row r="641" spans="1:16" x14ac:dyDescent="0.25">
      <c r="A641" t="s">
        <v>1060</v>
      </c>
      <c r="B641" s="4">
        <v>45755</v>
      </c>
      <c r="C641" s="2">
        <v>0.4548611111111111</v>
      </c>
      <c r="D641" t="s">
        <v>16</v>
      </c>
      <c r="E641" t="s">
        <v>144</v>
      </c>
      <c r="F641" s="4"/>
      <c r="G641">
        <v>1974</v>
      </c>
      <c r="H641">
        <v>10</v>
      </c>
      <c r="I641">
        <v>25</v>
      </c>
      <c r="J641" t="s">
        <v>53</v>
      </c>
      <c r="K641">
        <v>100.22</v>
      </c>
      <c r="L641">
        <v>2</v>
      </c>
      <c r="M641">
        <v>200.44</v>
      </c>
      <c r="N641" t="s">
        <v>41</v>
      </c>
      <c r="O641" t="s">
        <v>37</v>
      </c>
      <c r="P641" t="s">
        <v>56</v>
      </c>
    </row>
    <row r="642" spans="1:16" x14ac:dyDescent="0.25">
      <c r="A642" t="s">
        <v>1061</v>
      </c>
      <c r="B642" t="s">
        <v>994</v>
      </c>
      <c r="C642" s="3">
        <v>0.49751157407407409</v>
      </c>
      <c r="D642" t="s">
        <v>16</v>
      </c>
      <c r="E642" t="s">
        <v>23</v>
      </c>
      <c r="F642" s="4"/>
      <c r="G642">
        <v>1971</v>
      </c>
      <c r="H642">
        <v>11</v>
      </c>
      <c r="I642">
        <v>12</v>
      </c>
      <c r="J642" t="s">
        <v>129</v>
      </c>
      <c r="K642">
        <v>217.92</v>
      </c>
      <c r="L642">
        <v>3</v>
      </c>
      <c r="M642">
        <v>653.76</v>
      </c>
      <c r="O642" t="s">
        <v>37</v>
      </c>
      <c r="P642" t="s">
        <v>74</v>
      </c>
    </row>
    <row r="643" spans="1:16" x14ac:dyDescent="0.25">
      <c r="A643" t="s">
        <v>1062</v>
      </c>
      <c r="B643" s="1">
        <v>45705</v>
      </c>
      <c r="C643" s="5">
        <v>0.8666666666666667</v>
      </c>
      <c r="D643" t="s">
        <v>16</v>
      </c>
      <c r="E643" t="s">
        <v>204</v>
      </c>
      <c r="F643" s="4"/>
      <c r="G643">
        <v>2009</v>
      </c>
      <c r="H643">
        <v>9</v>
      </c>
      <c r="I643">
        <v>1</v>
      </c>
      <c r="J643" t="s">
        <v>18</v>
      </c>
      <c r="K643">
        <v>98.19</v>
      </c>
      <c r="L643">
        <v>1</v>
      </c>
      <c r="M643">
        <v>130.19</v>
      </c>
      <c r="N643" t="s">
        <v>41</v>
      </c>
      <c r="O643" t="s">
        <v>26</v>
      </c>
      <c r="P643" t="s">
        <v>27</v>
      </c>
    </row>
    <row r="644" spans="1:16" x14ac:dyDescent="0.25">
      <c r="A644" t="s">
        <v>1063</v>
      </c>
      <c r="B644" s="1">
        <v>45656</v>
      </c>
      <c r="C644" s="5">
        <v>0.77916666666666667</v>
      </c>
      <c r="D644" t="s">
        <v>16</v>
      </c>
      <c r="E644" t="s">
        <v>151</v>
      </c>
      <c r="F644" s="4"/>
      <c r="G644">
        <v>2004</v>
      </c>
      <c r="H644">
        <v>7</v>
      </c>
      <c r="I644">
        <v>18</v>
      </c>
      <c r="J644" t="s">
        <v>145</v>
      </c>
      <c r="K644">
        <v>257.77</v>
      </c>
      <c r="L644">
        <v>1</v>
      </c>
      <c r="M644">
        <v>257.77</v>
      </c>
      <c r="O644" t="s">
        <v>61</v>
      </c>
    </row>
    <row r="645" spans="1:16" x14ac:dyDescent="0.25">
      <c r="A645" t="s">
        <v>1064</v>
      </c>
      <c r="B645" s="1">
        <v>45862</v>
      </c>
      <c r="C645" s="2">
        <v>0.76388888888888884</v>
      </c>
      <c r="D645" t="s">
        <v>16</v>
      </c>
      <c r="E645" t="s">
        <v>204</v>
      </c>
      <c r="F645" s="4"/>
      <c r="G645">
        <v>1989</v>
      </c>
      <c r="H645">
        <v>12</v>
      </c>
      <c r="I645">
        <v>4</v>
      </c>
      <c r="J645" t="s">
        <v>77</v>
      </c>
      <c r="K645">
        <v>326.93</v>
      </c>
      <c r="L645">
        <v>2</v>
      </c>
      <c r="M645">
        <v>653.86</v>
      </c>
      <c r="N645" t="s">
        <v>67</v>
      </c>
      <c r="O645" t="s">
        <v>26</v>
      </c>
      <c r="P645" t="s">
        <v>48</v>
      </c>
    </row>
    <row r="646" spans="1:16" x14ac:dyDescent="0.25">
      <c r="A646" t="s">
        <v>1065</v>
      </c>
      <c r="B646" s="4">
        <v>45865</v>
      </c>
      <c r="C646" s="2">
        <v>0.47916666666666669</v>
      </c>
      <c r="D646" t="s">
        <v>16</v>
      </c>
      <c r="E646" t="s">
        <v>82</v>
      </c>
      <c r="F646" s="4"/>
      <c r="G646">
        <v>2009</v>
      </c>
      <c r="H646">
        <v>10</v>
      </c>
      <c r="I646">
        <v>20</v>
      </c>
      <c r="J646" t="s">
        <v>104</v>
      </c>
      <c r="K646" t="s">
        <v>1066</v>
      </c>
      <c r="L646">
        <v>2</v>
      </c>
      <c r="M646">
        <v>646.48</v>
      </c>
      <c r="N646" t="s">
        <v>54</v>
      </c>
      <c r="O646" t="s">
        <v>55</v>
      </c>
      <c r="P646" t="s">
        <v>105</v>
      </c>
    </row>
    <row r="647" spans="1:16" x14ac:dyDescent="0.25">
      <c r="A647" t="s">
        <v>1067</v>
      </c>
      <c r="B647" s="4">
        <v>45795</v>
      </c>
      <c r="C647" s="2">
        <v>0.76458333333333328</v>
      </c>
      <c r="D647" t="s">
        <v>16</v>
      </c>
      <c r="E647" t="s">
        <v>1068</v>
      </c>
      <c r="F647" s="4"/>
      <c r="G647">
        <v>2010</v>
      </c>
      <c r="H647">
        <v>1</v>
      </c>
      <c r="I647">
        <v>11</v>
      </c>
      <c r="J647" t="s">
        <v>40</v>
      </c>
      <c r="K647">
        <v>200.02</v>
      </c>
      <c r="L647">
        <v>1</v>
      </c>
      <c r="M647">
        <v>200.02</v>
      </c>
      <c r="N647" t="s">
        <v>31</v>
      </c>
      <c r="O647" t="s">
        <v>37</v>
      </c>
    </row>
    <row r="648" spans="1:16" x14ac:dyDescent="0.25">
      <c r="A648" t="s">
        <v>1069</v>
      </c>
      <c r="B648" s="4">
        <v>45840</v>
      </c>
      <c r="C648" s="5">
        <v>0.53749999999999998</v>
      </c>
      <c r="D648" t="s">
        <v>16</v>
      </c>
      <c r="E648" t="s">
        <v>169</v>
      </c>
      <c r="F648" s="4"/>
      <c r="G648">
        <v>1983</v>
      </c>
      <c r="H648">
        <v>4</v>
      </c>
      <c r="I648">
        <v>27</v>
      </c>
      <c r="J648" t="s">
        <v>202</v>
      </c>
      <c r="K648">
        <v>135.65</v>
      </c>
      <c r="L648">
        <v>1</v>
      </c>
      <c r="M648">
        <v>94.65</v>
      </c>
      <c r="N648" t="s">
        <v>41</v>
      </c>
      <c r="O648" t="s">
        <v>47</v>
      </c>
      <c r="P648" t="s">
        <v>33</v>
      </c>
    </row>
    <row r="649" spans="1:16" x14ac:dyDescent="0.25">
      <c r="A649" t="s">
        <v>1070</v>
      </c>
      <c r="B649" s="4">
        <v>45928</v>
      </c>
      <c r="C649" s="3">
        <v>0.66471064814814818</v>
      </c>
      <c r="D649" t="s">
        <v>16</v>
      </c>
      <c r="E649" t="s">
        <v>281</v>
      </c>
      <c r="F649" s="1"/>
      <c r="G649">
        <v>2000</v>
      </c>
      <c r="H649">
        <v>6</v>
      </c>
      <c r="I649">
        <v>23</v>
      </c>
      <c r="J649" t="s">
        <v>116</v>
      </c>
      <c r="K649" t="s">
        <v>1071</v>
      </c>
      <c r="L649">
        <v>3</v>
      </c>
      <c r="M649">
        <v>653.76</v>
      </c>
      <c r="N649" t="s">
        <v>19</v>
      </c>
      <c r="O649" t="s">
        <v>89</v>
      </c>
      <c r="P649" t="s">
        <v>33</v>
      </c>
    </row>
    <row r="650" spans="1:16" x14ac:dyDescent="0.25">
      <c r="A650" t="s">
        <v>1072</v>
      </c>
      <c r="B650" t="s">
        <v>1073</v>
      </c>
      <c r="C650" s="5">
        <v>0.81111111111111112</v>
      </c>
      <c r="D650" t="s">
        <v>16</v>
      </c>
      <c r="E650" t="s">
        <v>240</v>
      </c>
      <c r="F650" s="1"/>
      <c r="G650">
        <v>2007</v>
      </c>
      <c r="H650">
        <v>7</v>
      </c>
      <c r="I650">
        <v>19</v>
      </c>
      <c r="J650" t="s">
        <v>178</v>
      </c>
      <c r="K650" t="s">
        <v>1074</v>
      </c>
      <c r="L650">
        <v>2</v>
      </c>
      <c r="M650">
        <v>633.6</v>
      </c>
      <c r="N650" t="s">
        <v>31</v>
      </c>
      <c r="O650" t="s">
        <v>20</v>
      </c>
      <c r="P650" t="s">
        <v>27</v>
      </c>
    </row>
    <row r="651" spans="1:16" x14ac:dyDescent="0.25">
      <c r="A651" t="s">
        <v>1075</v>
      </c>
      <c r="B651" s="4">
        <v>45930</v>
      </c>
      <c r="C651" s="5">
        <v>0.51388888888888884</v>
      </c>
      <c r="D651" t="s">
        <v>16</v>
      </c>
      <c r="E651" t="s">
        <v>118</v>
      </c>
      <c r="F651" s="1"/>
      <c r="G651">
        <v>1980</v>
      </c>
      <c r="H651">
        <v>6</v>
      </c>
      <c r="I651">
        <v>11</v>
      </c>
      <c r="J651" t="s">
        <v>259</v>
      </c>
      <c r="K651">
        <v>228.36</v>
      </c>
      <c r="L651">
        <v>2</v>
      </c>
      <c r="M651">
        <v>456.72</v>
      </c>
      <c r="N651" t="s">
        <v>19</v>
      </c>
      <c r="O651" t="s">
        <v>61</v>
      </c>
      <c r="P651" t="s">
        <v>74</v>
      </c>
    </row>
    <row r="652" spans="1:16" x14ac:dyDescent="0.25">
      <c r="A652" t="s">
        <v>1076</v>
      </c>
      <c r="C652" s="2">
        <v>0.44097222222222221</v>
      </c>
      <c r="D652" t="s">
        <v>16</v>
      </c>
      <c r="E652" t="s">
        <v>562</v>
      </c>
      <c r="F652" s="4"/>
      <c r="G652">
        <v>2005</v>
      </c>
      <c r="H652">
        <v>6</v>
      </c>
      <c r="I652">
        <v>22</v>
      </c>
      <c r="J652" t="s">
        <v>213</v>
      </c>
      <c r="K652">
        <v>156.12</v>
      </c>
      <c r="L652">
        <v>2</v>
      </c>
      <c r="M652">
        <v>312.24</v>
      </c>
      <c r="N652" t="s">
        <v>19</v>
      </c>
      <c r="O652" t="s">
        <v>20</v>
      </c>
      <c r="P652" t="s">
        <v>48</v>
      </c>
    </row>
    <row r="653" spans="1:16" x14ac:dyDescent="0.25">
      <c r="A653" t="s">
        <v>1077</v>
      </c>
      <c r="B653" s="1">
        <v>45916</v>
      </c>
      <c r="C653" s="2">
        <v>0.59722222222222221</v>
      </c>
      <c r="D653" t="s">
        <v>16</v>
      </c>
      <c r="E653" t="s">
        <v>397</v>
      </c>
      <c r="F653" s="1"/>
      <c r="G653">
        <v>1990</v>
      </c>
      <c r="H653">
        <v>3</v>
      </c>
      <c r="I653">
        <v>4</v>
      </c>
      <c r="J653" t="s">
        <v>24</v>
      </c>
      <c r="K653">
        <v>230.65</v>
      </c>
      <c r="L653">
        <v>2</v>
      </c>
      <c r="M653">
        <v>461.3</v>
      </c>
      <c r="N653" t="s">
        <v>67</v>
      </c>
      <c r="O653" t="s">
        <v>55</v>
      </c>
    </row>
    <row r="654" spans="1:16" x14ac:dyDescent="0.25">
      <c r="A654" t="s">
        <v>1078</v>
      </c>
      <c r="B654" s="4">
        <v>45893</v>
      </c>
      <c r="C654" s="5">
        <v>0.98750000000000004</v>
      </c>
      <c r="D654" t="s">
        <v>16</v>
      </c>
      <c r="E654" t="s">
        <v>451</v>
      </c>
      <c r="F654" s="4"/>
      <c r="G654">
        <v>2005</v>
      </c>
      <c r="H654">
        <v>4</v>
      </c>
      <c r="I654">
        <v>20</v>
      </c>
      <c r="J654" t="s">
        <v>45</v>
      </c>
      <c r="K654">
        <v>-277</v>
      </c>
      <c r="L654">
        <v>2</v>
      </c>
      <c r="M654">
        <v>-554</v>
      </c>
      <c r="N654" t="s">
        <v>67</v>
      </c>
      <c r="O654" t="s">
        <v>55</v>
      </c>
      <c r="P654" t="s">
        <v>56</v>
      </c>
    </row>
    <row r="655" spans="1:16" x14ac:dyDescent="0.25">
      <c r="A655" t="s">
        <v>1079</v>
      </c>
      <c r="B655" t="s">
        <v>1080</v>
      </c>
      <c r="C655" s="2">
        <v>0.48402777777777778</v>
      </c>
      <c r="D655" t="s">
        <v>16</v>
      </c>
      <c r="E655" t="s">
        <v>1081</v>
      </c>
      <c r="G655">
        <v>1992</v>
      </c>
      <c r="H655">
        <v>7</v>
      </c>
      <c r="I655">
        <v>10</v>
      </c>
      <c r="J655" t="s">
        <v>73</v>
      </c>
      <c r="K655">
        <v>44.98</v>
      </c>
      <c r="L655">
        <v>1</v>
      </c>
      <c r="M655">
        <v>44.98</v>
      </c>
      <c r="N655" t="s">
        <v>54</v>
      </c>
      <c r="O655" t="s">
        <v>55</v>
      </c>
      <c r="P655" t="s">
        <v>21</v>
      </c>
    </row>
    <row r="656" spans="1:16" x14ac:dyDescent="0.25">
      <c r="A656" t="s">
        <v>1082</v>
      </c>
      <c r="B656" t="s">
        <v>1083</v>
      </c>
      <c r="C656" s="5">
        <v>0.66388888888888886</v>
      </c>
      <c r="D656" t="s">
        <v>16</v>
      </c>
      <c r="E656" t="s">
        <v>252</v>
      </c>
      <c r="F656" s="1"/>
      <c r="G656">
        <v>1986</v>
      </c>
      <c r="H656">
        <v>3</v>
      </c>
      <c r="I656">
        <v>20</v>
      </c>
      <c r="J656" t="s">
        <v>45</v>
      </c>
      <c r="K656">
        <v>163.75</v>
      </c>
      <c r="L656">
        <v>1</v>
      </c>
      <c r="M656">
        <v>163.75</v>
      </c>
      <c r="N656" t="s">
        <v>31</v>
      </c>
      <c r="O656" t="s">
        <v>61</v>
      </c>
      <c r="P656" t="s">
        <v>27</v>
      </c>
    </row>
    <row r="657" spans="1:16" x14ac:dyDescent="0.25">
      <c r="A657" t="s">
        <v>1084</v>
      </c>
      <c r="B657" s="4">
        <v>45778</v>
      </c>
      <c r="C657" s="5">
        <v>0.53749999999999998</v>
      </c>
      <c r="D657" t="s">
        <v>16</v>
      </c>
      <c r="E657" t="s">
        <v>154</v>
      </c>
      <c r="F657" s="1"/>
      <c r="G657">
        <v>2010</v>
      </c>
      <c r="H657">
        <v>11</v>
      </c>
      <c r="I657">
        <v>22</v>
      </c>
      <c r="J657" t="s">
        <v>141</v>
      </c>
      <c r="K657">
        <v>140.47</v>
      </c>
      <c r="L657">
        <v>1</v>
      </c>
      <c r="M657">
        <v>140.47</v>
      </c>
      <c r="O657" t="s">
        <v>26</v>
      </c>
      <c r="P657" t="s">
        <v>27</v>
      </c>
    </row>
    <row r="658" spans="1:16" x14ac:dyDescent="0.25">
      <c r="A658" t="s">
        <v>1085</v>
      </c>
      <c r="B658" s="1">
        <v>45764</v>
      </c>
      <c r="C658" s="2">
        <v>0.54583333333333328</v>
      </c>
      <c r="D658" t="s">
        <v>16</v>
      </c>
      <c r="E658" t="s">
        <v>1086</v>
      </c>
      <c r="F658" s="1"/>
      <c r="G658">
        <v>1978</v>
      </c>
      <c r="H658">
        <v>11</v>
      </c>
      <c r="I658">
        <v>6</v>
      </c>
      <c r="J658" t="s">
        <v>18</v>
      </c>
      <c r="K658">
        <v>108.93</v>
      </c>
      <c r="L658">
        <v>3</v>
      </c>
      <c r="M658">
        <v>326.79000000000002</v>
      </c>
      <c r="N658" t="s">
        <v>64</v>
      </c>
      <c r="O658" t="s">
        <v>32</v>
      </c>
    </row>
    <row r="659" spans="1:16" x14ac:dyDescent="0.25">
      <c r="A659" t="s">
        <v>1087</v>
      </c>
      <c r="B659" s="1">
        <v>45783</v>
      </c>
      <c r="C659" s="3">
        <v>0.53047453703703706</v>
      </c>
      <c r="D659" t="s">
        <v>16</v>
      </c>
      <c r="E659" t="s">
        <v>764</v>
      </c>
      <c r="F659" s="4"/>
      <c r="G659">
        <v>2002</v>
      </c>
      <c r="H659">
        <v>6</v>
      </c>
      <c r="I659">
        <v>16</v>
      </c>
      <c r="J659" t="s">
        <v>145</v>
      </c>
      <c r="K659">
        <v>48.73</v>
      </c>
      <c r="L659">
        <v>2</v>
      </c>
      <c r="M659">
        <v>97.46</v>
      </c>
      <c r="N659" t="s">
        <v>41</v>
      </c>
      <c r="O659" t="s">
        <v>89</v>
      </c>
    </row>
    <row r="660" spans="1:16" x14ac:dyDescent="0.25">
      <c r="A660" t="s">
        <v>1088</v>
      </c>
      <c r="B660" s="1">
        <v>45887</v>
      </c>
      <c r="C660" s="3">
        <v>0.49571759259259257</v>
      </c>
      <c r="D660" t="s">
        <v>16</v>
      </c>
      <c r="E660" t="s">
        <v>324</v>
      </c>
      <c r="F660" s="4"/>
      <c r="G660">
        <v>2006</v>
      </c>
      <c r="H660">
        <v>8</v>
      </c>
      <c r="I660">
        <v>7</v>
      </c>
      <c r="J660" t="s">
        <v>116</v>
      </c>
      <c r="K660">
        <v>116.72</v>
      </c>
      <c r="L660">
        <v>1</v>
      </c>
      <c r="M660">
        <v>116.72</v>
      </c>
      <c r="N660" t="s">
        <v>41</v>
      </c>
      <c r="O660" t="s">
        <v>20</v>
      </c>
      <c r="P660" t="s">
        <v>105</v>
      </c>
    </row>
    <row r="661" spans="1:16" x14ac:dyDescent="0.25">
      <c r="A661" t="s">
        <v>1089</v>
      </c>
      <c r="B661" s="4">
        <v>45879</v>
      </c>
      <c r="C661" s="5">
        <v>0.95694444444444449</v>
      </c>
      <c r="D661" t="s">
        <v>16</v>
      </c>
      <c r="E661" t="s">
        <v>475</v>
      </c>
      <c r="F661" s="4"/>
      <c r="G661">
        <v>1970</v>
      </c>
      <c r="H661">
        <v>5</v>
      </c>
      <c r="I661">
        <v>27</v>
      </c>
      <c r="J661" t="s">
        <v>243</v>
      </c>
      <c r="K661">
        <v>149.49</v>
      </c>
      <c r="L661">
        <v>3</v>
      </c>
      <c r="M661">
        <v>463.47</v>
      </c>
      <c r="N661" t="s">
        <v>19</v>
      </c>
      <c r="O661" t="s">
        <v>32</v>
      </c>
      <c r="P661" t="s">
        <v>74</v>
      </c>
    </row>
    <row r="662" spans="1:16" x14ac:dyDescent="0.25">
      <c r="A662" t="s">
        <v>1090</v>
      </c>
      <c r="B662" s="1">
        <v>45968</v>
      </c>
      <c r="C662" s="3">
        <v>0.6218055555555555</v>
      </c>
      <c r="D662" t="s">
        <v>16</v>
      </c>
      <c r="E662" t="s">
        <v>123</v>
      </c>
      <c r="F662" s="1"/>
      <c r="G662">
        <v>1980</v>
      </c>
      <c r="H662">
        <v>10</v>
      </c>
      <c r="I662">
        <v>26</v>
      </c>
      <c r="J662" t="s">
        <v>93</v>
      </c>
      <c r="K662">
        <v>202.95</v>
      </c>
      <c r="L662">
        <v>3</v>
      </c>
      <c r="M662">
        <v>608.85</v>
      </c>
      <c r="N662" t="s">
        <v>54</v>
      </c>
      <c r="O662" t="s">
        <v>55</v>
      </c>
      <c r="P662" t="s">
        <v>21</v>
      </c>
    </row>
    <row r="663" spans="1:16" x14ac:dyDescent="0.25">
      <c r="A663" t="s">
        <v>1091</v>
      </c>
      <c r="B663" s="1">
        <v>45641</v>
      </c>
      <c r="C663" s="5">
        <v>0.71805555555555556</v>
      </c>
      <c r="D663" t="s">
        <v>16</v>
      </c>
      <c r="E663" t="s">
        <v>63</v>
      </c>
      <c r="G663">
        <v>1991</v>
      </c>
      <c r="H663">
        <v>3</v>
      </c>
      <c r="I663">
        <v>4</v>
      </c>
      <c r="J663" t="s">
        <v>178</v>
      </c>
      <c r="K663">
        <v>306.32</v>
      </c>
      <c r="L663">
        <v>3</v>
      </c>
      <c r="M663">
        <v>918.96</v>
      </c>
      <c r="O663" t="s">
        <v>37</v>
      </c>
    </row>
    <row r="664" spans="1:16" x14ac:dyDescent="0.25">
      <c r="A664" t="s">
        <v>1092</v>
      </c>
      <c r="B664" t="s">
        <v>1093</v>
      </c>
      <c r="C664" s="2">
        <v>0.65277777777777779</v>
      </c>
      <c r="D664" t="s">
        <v>16</v>
      </c>
      <c r="E664" t="s">
        <v>379</v>
      </c>
      <c r="F664" s="4"/>
      <c r="G664">
        <v>1977</v>
      </c>
      <c r="H664">
        <v>10</v>
      </c>
      <c r="I664">
        <v>2</v>
      </c>
      <c r="J664" t="s">
        <v>93</v>
      </c>
      <c r="K664">
        <v>178.44</v>
      </c>
      <c r="L664">
        <v>2</v>
      </c>
      <c r="M664">
        <v>356.88</v>
      </c>
      <c r="N664" t="s">
        <v>25</v>
      </c>
      <c r="O664" t="s">
        <v>32</v>
      </c>
      <c r="P664" t="s">
        <v>21</v>
      </c>
    </row>
    <row r="665" spans="1:16" x14ac:dyDescent="0.25">
      <c r="A665" t="s">
        <v>1094</v>
      </c>
      <c r="B665" s="4">
        <v>45753</v>
      </c>
      <c r="C665" s="5">
        <v>0.68819444444444444</v>
      </c>
      <c r="D665" t="s">
        <v>16</v>
      </c>
      <c r="E665" t="s">
        <v>338</v>
      </c>
      <c r="F665" s="4"/>
      <c r="G665">
        <v>1981</v>
      </c>
      <c r="H665">
        <v>12</v>
      </c>
      <c r="I665">
        <v>7</v>
      </c>
      <c r="J665" t="s">
        <v>85</v>
      </c>
      <c r="K665">
        <v>249.7</v>
      </c>
      <c r="L665">
        <v>1</v>
      </c>
      <c r="M665" t="s">
        <v>1095</v>
      </c>
      <c r="N665" t="s">
        <v>41</v>
      </c>
      <c r="O665" t="s">
        <v>26</v>
      </c>
    </row>
    <row r="666" spans="1:16" x14ac:dyDescent="0.25">
      <c r="A666" t="s">
        <v>1096</v>
      </c>
      <c r="B666" s="1">
        <v>45856</v>
      </c>
      <c r="C666" s="3">
        <v>0.63165509259259256</v>
      </c>
      <c r="D666" t="s">
        <v>16</v>
      </c>
      <c r="E666" t="s">
        <v>107</v>
      </c>
      <c r="F666" s="1"/>
      <c r="G666">
        <v>1993</v>
      </c>
      <c r="H666">
        <v>2</v>
      </c>
      <c r="I666">
        <v>21</v>
      </c>
      <c r="J666" t="s">
        <v>259</v>
      </c>
      <c r="K666" t="s">
        <v>1097</v>
      </c>
      <c r="L666">
        <v>1</v>
      </c>
      <c r="M666">
        <v>231.19</v>
      </c>
      <c r="N666" t="s">
        <v>67</v>
      </c>
      <c r="O666" t="s">
        <v>37</v>
      </c>
    </row>
    <row r="667" spans="1:16" x14ac:dyDescent="0.25">
      <c r="A667" t="s">
        <v>1098</v>
      </c>
      <c r="B667" s="1">
        <v>45774</v>
      </c>
      <c r="C667" s="2">
        <v>0.62986111111111109</v>
      </c>
      <c r="D667" t="s">
        <v>16</v>
      </c>
      <c r="E667" t="s">
        <v>594</v>
      </c>
      <c r="F667" s="4"/>
      <c r="G667">
        <v>1990</v>
      </c>
      <c r="H667">
        <v>9</v>
      </c>
      <c r="I667">
        <v>26</v>
      </c>
      <c r="J667" t="s">
        <v>93</v>
      </c>
      <c r="K667">
        <v>178.44</v>
      </c>
      <c r="L667">
        <v>2</v>
      </c>
      <c r="M667">
        <v>356.88</v>
      </c>
      <c r="N667" t="s">
        <v>41</v>
      </c>
      <c r="O667" t="s">
        <v>61</v>
      </c>
      <c r="P667" t="s">
        <v>21</v>
      </c>
    </row>
    <row r="668" spans="1:16" x14ac:dyDescent="0.25">
      <c r="A668" t="s">
        <v>1099</v>
      </c>
      <c r="B668" t="s">
        <v>1100</v>
      </c>
      <c r="C668" s="3">
        <v>0.80223379629629632</v>
      </c>
      <c r="D668" t="s">
        <v>16</v>
      </c>
      <c r="E668" t="s">
        <v>1101</v>
      </c>
      <c r="G668">
        <v>1991</v>
      </c>
      <c r="H668">
        <v>9</v>
      </c>
      <c r="I668">
        <v>11</v>
      </c>
      <c r="J668" t="s">
        <v>202</v>
      </c>
      <c r="K668">
        <v>191.28</v>
      </c>
      <c r="L668">
        <v>1</v>
      </c>
      <c r="M668">
        <v>191.28</v>
      </c>
      <c r="N668" t="s">
        <v>19</v>
      </c>
      <c r="O668" t="s">
        <v>26</v>
      </c>
      <c r="P668" t="s">
        <v>74</v>
      </c>
    </row>
    <row r="669" spans="1:16" x14ac:dyDescent="0.25">
      <c r="A669" t="s">
        <v>1102</v>
      </c>
      <c r="B669" s="4">
        <v>45765</v>
      </c>
      <c r="C669" s="2">
        <v>0.83888888888888891</v>
      </c>
      <c r="D669" t="s">
        <v>16</v>
      </c>
      <c r="E669" t="s">
        <v>425</v>
      </c>
      <c r="J669" t="s">
        <v>18</v>
      </c>
      <c r="K669">
        <v>83.8</v>
      </c>
      <c r="L669">
        <v>1</v>
      </c>
      <c r="M669">
        <v>83.8</v>
      </c>
      <c r="O669" t="s">
        <v>32</v>
      </c>
      <c r="P669" t="s">
        <v>33</v>
      </c>
    </row>
    <row r="670" spans="1:16" x14ac:dyDescent="0.25">
      <c r="A670" t="s">
        <v>1103</v>
      </c>
      <c r="B670" s="1">
        <v>45788</v>
      </c>
      <c r="C670" s="5">
        <v>0.70347222222222228</v>
      </c>
      <c r="D670" t="s">
        <v>16</v>
      </c>
      <c r="E670" t="s">
        <v>1104</v>
      </c>
      <c r="F670" s="4"/>
      <c r="G670">
        <v>2004</v>
      </c>
      <c r="H670">
        <v>1</v>
      </c>
      <c r="I670">
        <v>5</v>
      </c>
      <c r="J670" t="s">
        <v>73</v>
      </c>
      <c r="K670">
        <v>38.69</v>
      </c>
      <c r="L670">
        <v>3</v>
      </c>
      <c r="M670">
        <v>116.07</v>
      </c>
      <c r="N670" t="s">
        <v>67</v>
      </c>
      <c r="O670" t="s">
        <v>55</v>
      </c>
      <c r="P670" t="s">
        <v>74</v>
      </c>
    </row>
    <row r="671" spans="1:16" x14ac:dyDescent="0.25">
      <c r="A671" t="s">
        <v>1105</v>
      </c>
      <c r="B671" t="s">
        <v>1106</v>
      </c>
      <c r="C671" s="2">
        <v>0.72569444444444442</v>
      </c>
      <c r="D671" t="s">
        <v>16</v>
      </c>
      <c r="E671" t="s">
        <v>79</v>
      </c>
      <c r="F671" s="1"/>
      <c r="G671">
        <v>1970</v>
      </c>
      <c r="H671">
        <v>10</v>
      </c>
      <c r="I671">
        <v>6</v>
      </c>
      <c r="J671" t="s">
        <v>85</v>
      </c>
      <c r="K671">
        <v>227.05</v>
      </c>
      <c r="L671">
        <v>2</v>
      </c>
      <c r="M671">
        <v>454.1</v>
      </c>
      <c r="O671" t="s">
        <v>89</v>
      </c>
      <c r="P671" t="s">
        <v>33</v>
      </c>
    </row>
    <row r="672" spans="1:16" x14ac:dyDescent="0.25">
      <c r="A672" t="s">
        <v>1107</v>
      </c>
      <c r="B672" t="s">
        <v>1108</v>
      </c>
      <c r="C672" s="5">
        <v>0.94097222222222221</v>
      </c>
      <c r="D672" t="s">
        <v>16</v>
      </c>
      <c r="E672" t="s">
        <v>622</v>
      </c>
      <c r="F672" s="1"/>
      <c r="G672">
        <v>1972</v>
      </c>
      <c r="H672">
        <v>4</v>
      </c>
      <c r="I672">
        <v>10</v>
      </c>
      <c r="J672" t="s">
        <v>30</v>
      </c>
      <c r="K672">
        <v>270.06</v>
      </c>
      <c r="L672">
        <v>2</v>
      </c>
      <c r="M672">
        <v>540.12</v>
      </c>
      <c r="N672" t="s">
        <v>19</v>
      </c>
      <c r="O672" t="s">
        <v>47</v>
      </c>
      <c r="P672" t="s">
        <v>105</v>
      </c>
    </row>
    <row r="673" spans="1:16" x14ac:dyDescent="0.25">
      <c r="A673" t="s">
        <v>1109</v>
      </c>
      <c r="C673" s="2">
        <v>0.47361111111111109</v>
      </c>
      <c r="D673" t="s">
        <v>16</v>
      </c>
      <c r="E673" t="s">
        <v>144</v>
      </c>
      <c r="F673" s="4"/>
      <c r="G673">
        <v>1978</v>
      </c>
      <c r="H673">
        <v>7</v>
      </c>
      <c r="I673">
        <v>5</v>
      </c>
      <c r="J673" t="s">
        <v>202</v>
      </c>
      <c r="K673">
        <v>39.409999999999997</v>
      </c>
      <c r="L673">
        <v>1</v>
      </c>
      <c r="M673">
        <v>39.409999999999997</v>
      </c>
      <c r="N673" t="s">
        <v>54</v>
      </c>
      <c r="O673" t="s">
        <v>55</v>
      </c>
    </row>
    <row r="674" spans="1:16" x14ac:dyDescent="0.25">
      <c r="A674" t="s">
        <v>1110</v>
      </c>
      <c r="B674" s="1">
        <v>45970</v>
      </c>
      <c r="C674" s="5">
        <v>0.48333333333333334</v>
      </c>
      <c r="D674" t="s">
        <v>16</v>
      </c>
      <c r="E674" t="s">
        <v>264</v>
      </c>
      <c r="F674" s="4"/>
      <c r="G674">
        <v>2005</v>
      </c>
      <c r="H674">
        <v>11</v>
      </c>
      <c r="I674">
        <v>3</v>
      </c>
      <c r="J674" t="s">
        <v>93</v>
      </c>
      <c r="K674">
        <v>216.81</v>
      </c>
      <c r="L674">
        <v>2</v>
      </c>
      <c r="M674">
        <v>433.62</v>
      </c>
      <c r="N674" t="s">
        <v>67</v>
      </c>
      <c r="O674" t="s">
        <v>37</v>
      </c>
      <c r="P674" t="s">
        <v>27</v>
      </c>
    </row>
    <row r="675" spans="1:16" x14ac:dyDescent="0.25">
      <c r="A675" t="s">
        <v>1111</v>
      </c>
      <c r="B675" t="s">
        <v>561</v>
      </c>
      <c r="C675" s="5">
        <v>0.97152777777777777</v>
      </c>
      <c r="D675" t="s">
        <v>16</v>
      </c>
      <c r="E675" t="s">
        <v>603</v>
      </c>
      <c r="G675">
        <v>1983</v>
      </c>
      <c r="H675">
        <v>3</v>
      </c>
      <c r="I675">
        <v>14</v>
      </c>
      <c r="J675" t="s">
        <v>53</v>
      </c>
      <c r="K675" t="s">
        <v>1112</v>
      </c>
      <c r="L675">
        <v>1</v>
      </c>
      <c r="M675">
        <v>73.66</v>
      </c>
      <c r="N675" t="s">
        <v>54</v>
      </c>
      <c r="O675" t="s">
        <v>32</v>
      </c>
      <c r="P675" t="s">
        <v>33</v>
      </c>
    </row>
    <row r="676" spans="1:16" x14ac:dyDescent="0.25">
      <c r="A676" t="s">
        <v>1113</v>
      </c>
      <c r="B676" t="s">
        <v>1114</v>
      </c>
      <c r="C676" s="2">
        <v>0.88055555555555554</v>
      </c>
      <c r="D676" t="s">
        <v>16</v>
      </c>
      <c r="E676" t="s">
        <v>92</v>
      </c>
      <c r="F676" s="4"/>
      <c r="G676">
        <v>1971</v>
      </c>
      <c r="H676">
        <v>1</v>
      </c>
      <c r="I676">
        <v>11</v>
      </c>
      <c r="J676" t="s">
        <v>93</v>
      </c>
      <c r="L676">
        <v>1</v>
      </c>
      <c r="N676" t="s">
        <v>67</v>
      </c>
      <c r="O676" t="s">
        <v>55</v>
      </c>
    </row>
    <row r="677" spans="1:16" x14ac:dyDescent="0.25">
      <c r="A677" t="s">
        <v>1115</v>
      </c>
      <c r="B677" s="4">
        <v>45704</v>
      </c>
      <c r="C677" s="3">
        <v>0.56587962962962968</v>
      </c>
      <c r="D677" t="s">
        <v>16</v>
      </c>
      <c r="E677" t="s">
        <v>154</v>
      </c>
      <c r="G677">
        <v>1991</v>
      </c>
      <c r="H677">
        <v>12</v>
      </c>
      <c r="I677">
        <v>12</v>
      </c>
      <c r="J677" t="s">
        <v>110</v>
      </c>
      <c r="K677">
        <v>105.81</v>
      </c>
      <c r="L677">
        <v>1</v>
      </c>
      <c r="M677">
        <v>105.81</v>
      </c>
      <c r="N677" t="s">
        <v>19</v>
      </c>
      <c r="O677" t="s">
        <v>61</v>
      </c>
      <c r="P677" t="s">
        <v>105</v>
      </c>
    </row>
    <row r="678" spans="1:16" x14ac:dyDescent="0.25">
      <c r="A678" t="s">
        <v>1116</v>
      </c>
      <c r="B678" s="4">
        <v>45849</v>
      </c>
      <c r="C678" s="5">
        <v>0.66874999999999996</v>
      </c>
      <c r="D678" t="s">
        <v>16</v>
      </c>
      <c r="E678" t="s">
        <v>299</v>
      </c>
      <c r="G678">
        <v>1991</v>
      </c>
      <c r="H678">
        <v>12</v>
      </c>
      <c r="I678">
        <v>12</v>
      </c>
      <c r="J678" t="s">
        <v>129</v>
      </c>
      <c r="K678">
        <v>158.49</v>
      </c>
      <c r="L678">
        <v>1</v>
      </c>
      <c r="M678">
        <v>158.49</v>
      </c>
      <c r="O678" t="s">
        <v>61</v>
      </c>
      <c r="P678" t="s">
        <v>27</v>
      </c>
    </row>
    <row r="679" spans="1:16" x14ac:dyDescent="0.25">
      <c r="A679" t="s">
        <v>1117</v>
      </c>
      <c r="B679" s="4">
        <v>45809</v>
      </c>
      <c r="C679" s="2">
        <v>0.84097222222222223</v>
      </c>
      <c r="D679" t="s">
        <v>16</v>
      </c>
      <c r="E679" t="s">
        <v>181</v>
      </c>
      <c r="F679" s="4"/>
      <c r="G679">
        <v>1978</v>
      </c>
      <c r="H679">
        <v>8</v>
      </c>
      <c r="I679">
        <v>14</v>
      </c>
      <c r="J679" t="s">
        <v>36</v>
      </c>
      <c r="K679">
        <v>269.14999999999998</v>
      </c>
      <c r="L679">
        <v>1</v>
      </c>
      <c r="M679">
        <v>269.14999999999998</v>
      </c>
      <c r="N679" t="s">
        <v>19</v>
      </c>
      <c r="O679" t="s">
        <v>37</v>
      </c>
      <c r="P679" t="s">
        <v>74</v>
      </c>
    </row>
    <row r="680" spans="1:16" x14ac:dyDescent="0.25">
      <c r="A680" t="s">
        <v>1118</v>
      </c>
      <c r="B680" s="1">
        <v>45893</v>
      </c>
      <c r="C680" s="2">
        <v>0.90138888888888891</v>
      </c>
      <c r="D680" t="s">
        <v>16</v>
      </c>
      <c r="E680" t="s">
        <v>232</v>
      </c>
      <c r="G680">
        <v>2002</v>
      </c>
      <c r="H680">
        <v>11</v>
      </c>
      <c r="I680">
        <v>14</v>
      </c>
      <c r="J680" t="s">
        <v>141</v>
      </c>
      <c r="K680" t="s">
        <v>1119</v>
      </c>
      <c r="L680">
        <v>3</v>
      </c>
      <c r="M680">
        <v>406.11</v>
      </c>
      <c r="N680" t="s">
        <v>19</v>
      </c>
      <c r="O680" t="s">
        <v>55</v>
      </c>
    </row>
    <row r="681" spans="1:16" x14ac:dyDescent="0.25">
      <c r="A681" t="s">
        <v>1120</v>
      </c>
      <c r="B681" s="4">
        <v>45766</v>
      </c>
      <c r="C681" s="5">
        <v>0.47708333333333336</v>
      </c>
      <c r="D681" t="s">
        <v>16</v>
      </c>
      <c r="E681" t="s">
        <v>201</v>
      </c>
      <c r="G681">
        <v>2003</v>
      </c>
      <c r="H681">
        <v>4</v>
      </c>
      <c r="I681">
        <v>13</v>
      </c>
      <c r="J681" t="s">
        <v>18</v>
      </c>
      <c r="K681">
        <v>83.14</v>
      </c>
      <c r="L681">
        <v>3</v>
      </c>
      <c r="M681">
        <v>249.42</v>
      </c>
      <c r="N681" t="s">
        <v>25</v>
      </c>
      <c r="O681" t="s">
        <v>20</v>
      </c>
      <c r="P681" t="s">
        <v>27</v>
      </c>
    </row>
    <row r="682" spans="1:16" x14ac:dyDescent="0.25">
      <c r="A682" t="s">
        <v>1121</v>
      </c>
      <c r="B682" s="4">
        <v>45692</v>
      </c>
      <c r="C682" s="5">
        <v>0.50277777777777777</v>
      </c>
      <c r="D682" t="s">
        <v>16</v>
      </c>
      <c r="E682" t="s">
        <v>101</v>
      </c>
      <c r="J682" t="s">
        <v>30</v>
      </c>
      <c r="K682" t="s">
        <v>1122</v>
      </c>
      <c r="L682">
        <v>2</v>
      </c>
      <c r="M682">
        <v>589.12</v>
      </c>
      <c r="N682" t="s">
        <v>31</v>
      </c>
      <c r="O682" t="s">
        <v>61</v>
      </c>
      <c r="P682" t="s">
        <v>33</v>
      </c>
    </row>
    <row r="683" spans="1:16" x14ac:dyDescent="0.25">
      <c r="A683" t="s">
        <v>1123</v>
      </c>
      <c r="B683" s="4">
        <v>45920</v>
      </c>
      <c r="C683" s="2">
        <v>0.43958333333333333</v>
      </c>
      <c r="D683" t="s">
        <v>16</v>
      </c>
      <c r="E683" t="s">
        <v>659</v>
      </c>
      <c r="F683" s="4"/>
      <c r="G683">
        <v>1970</v>
      </c>
      <c r="H683">
        <v>1</v>
      </c>
      <c r="I683">
        <v>19</v>
      </c>
      <c r="J683" t="s">
        <v>18</v>
      </c>
      <c r="K683">
        <v>77.55</v>
      </c>
      <c r="L683">
        <v>2</v>
      </c>
      <c r="M683">
        <v>155.1</v>
      </c>
      <c r="N683" t="s">
        <v>31</v>
      </c>
      <c r="O683" t="s">
        <v>55</v>
      </c>
    </row>
    <row r="684" spans="1:16" x14ac:dyDescent="0.25">
      <c r="A684" t="s">
        <v>1124</v>
      </c>
      <c r="B684" s="4">
        <v>45789</v>
      </c>
      <c r="C684" s="2">
        <v>0.99652777777777779</v>
      </c>
      <c r="D684" t="s">
        <v>16</v>
      </c>
      <c r="E684" t="s">
        <v>267</v>
      </c>
      <c r="F684" s="4"/>
      <c r="G684">
        <v>1972</v>
      </c>
      <c r="H684">
        <v>1</v>
      </c>
      <c r="I684">
        <v>1</v>
      </c>
      <c r="J684" t="s">
        <v>18</v>
      </c>
      <c r="K684">
        <v>89.38</v>
      </c>
      <c r="L684">
        <v>1</v>
      </c>
      <c r="M684">
        <v>89.38</v>
      </c>
      <c r="N684" t="s">
        <v>64</v>
      </c>
      <c r="O684" t="s">
        <v>89</v>
      </c>
      <c r="P684" t="s">
        <v>56</v>
      </c>
    </row>
    <row r="685" spans="1:16" x14ac:dyDescent="0.25">
      <c r="A685" t="s">
        <v>1125</v>
      </c>
      <c r="B685" s="1">
        <v>45873</v>
      </c>
      <c r="C685" s="2">
        <v>0.50069444444444444</v>
      </c>
      <c r="D685" t="s">
        <v>16</v>
      </c>
      <c r="E685" t="s">
        <v>1126</v>
      </c>
      <c r="G685">
        <v>1985</v>
      </c>
      <c r="H685">
        <v>5</v>
      </c>
      <c r="I685">
        <v>14</v>
      </c>
      <c r="J685" t="s">
        <v>141</v>
      </c>
      <c r="K685">
        <v>142.91999999999999</v>
      </c>
      <c r="L685">
        <v>1</v>
      </c>
      <c r="M685">
        <v>142.91999999999999</v>
      </c>
      <c r="N685" t="s">
        <v>54</v>
      </c>
      <c r="O685" t="s">
        <v>37</v>
      </c>
    </row>
    <row r="686" spans="1:16" x14ac:dyDescent="0.25">
      <c r="A686" t="s">
        <v>1127</v>
      </c>
      <c r="B686" s="4">
        <v>45663</v>
      </c>
      <c r="C686" s="2">
        <v>0.52847222222222223</v>
      </c>
      <c r="D686" t="s">
        <v>16</v>
      </c>
      <c r="E686" t="s">
        <v>387</v>
      </c>
      <c r="G686">
        <v>1970</v>
      </c>
      <c r="H686">
        <v>3</v>
      </c>
      <c r="I686">
        <v>13</v>
      </c>
      <c r="J686" t="s">
        <v>126</v>
      </c>
      <c r="K686">
        <v>338.1</v>
      </c>
      <c r="L686">
        <v>1</v>
      </c>
      <c r="M686">
        <v>338.1</v>
      </c>
      <c r="N686" t="s">
        <v>54</v>
      </c>
      <c r="O686" t="s">
        <v>89</v>
      </c>
      <c r="P686" t="s">
        <v>21</v>
      </c>
    </row>
    <row r="687" spans="1:16" x14ac:dyDescent="0.25">
      <c r="A687" t="s">
        <v>1128</v>
      </c>
      <c r="B687" s="4">
        <v>45698</v>
      </c>
      <c r="C687" s="5">
        <v>0.78055555555555556</v>
      </c>
      <c r="D687" t="s">
        <v>16</v>
      </c>
      <c r="E687" t="s">
        <v>23</v>
      </c>
      <c r="F687" s="1"/>
      <c r="G687">
        <v>2010</v>
      </c>
      <c r="H687">
        <v>3</v>
      </c>
      <c r="I687">
        <v>26</v>
      </c>
      <c r="J687" t="s">
        <v>104</v>
      </c>
      <c r="K687">
        <v>322</v>
      </c>
      <c r="L687">
        <v>1</v>
      </c>
      <c r="M687">
        <v>322</v>
      </c>
      <c r="O687" t="s">
        <v>26</v>
      </c>
      <c r="P687" t="s">
        <v>105</v>
      </c>
    </row>
    <row r="688" spans="1:16" x14ac:dyDescent="0.25">
      <c r="A688" t="s">
        <v>1129</v>
      </c>
      <c r="B688" s="4">
        <v>45662</v>
      </c>
      <c r="C688" s="2">
        <v>0.58125000000000004</v>
      </c>
      <c r="D688" t="s">
        <v>16</v>
      </c>
      <c r="E688" t="s">
        <v>1130</v>
      </c>
      <c r="G688">
        <v>1991</v>
      </c>
      <c r="H688">
        <v>12</v>
      </c>
      <c r="I688">
        <v>12</v>
      </c>
      <c r="J688" t="s">
        <v>259</v>
      </c>
      <c r="K688">
        <v>257.05</v>
      </c>
      <c r="L688">
        <v>2</v>
      </c>
      <c r="M688">
        <v>514.1</v>
      </c>
      <c r="N688" t="s">
        <v>25</v>
      </c>
      <c r="O688" t="s">
        <v>37</v>
      </c>
      <c r="P688" t="s">
        <v>27</v>
      </c>
    </row>
    <row r="689" spans="1:16" x14ac:dyDescent="0.25">
      <c r="A689" t="s">
        <v>1131</v>
      </c>
      <c r="B689" s="4">
        <v>45842</v>
      </c>
      <c r="C689" s="3">
        <v>0.98633101851851857</v>
      </c>
      <c r="D689" t="s">
        <v>16</v>
      </c>
      <c r="E689" t="s">
        <v>405</v>
      </c>
      <c r="G689">
        <v>1970</v>
      </c>
      <c r="H689">
        <v>6</v>
      </c>
      <c r="I689">
        <v>16</v>
      </c>
      <c r="J689" t="s">
        <v>116</v>
      </c>
      <c r="K689">
        <v>38.979999999999997</v>
      </c>
      <c r="L689">
        <v>2</v>
      </c>
      <c r="M689">
        <v>77.959999999999994</v>
      </c>
      <c r="N689" t="s">
        <v>41</v>
      </c>
      <c r="O689" t="s">
        <v>61</v>
      </c>
      <c r="P689" t="s">
        <v>27</v>
      </c>
    </row>
    <row r="690" spans="1:16" x14ac:dyDescent="0.25">
      <c r="A690" t="s">
        <v>1132</v>
      </c>
      <c r="B690" s="4">
        <v>45818</v>
      </c>
      <c r="C690" s="3">
        <v>0.76798611111111115</v>
      </c>
      <c r="D690" t="s">
        <v>16</v>
      </c>
      <c r="E690" t="s">
        <v>131</v>
      </c>
      <c r="F690" s="1"/>
      <c r="G690">
        <v>1995</v>
      </c>
      <c r="H690">
        <v>3</v>
      </c>
      <c r="I690">
        <v>28</v>
      </c>
      <c r="J690" t="s">
        <v>73</v>
      </c>
      <c r="K690">
        <v>53.05</v>
      </c>
      <c r="L690">
        <v>1</v>
      </c>
      <c r="M690">
        <v>53.05</v>
      </c>
      <c r="N690" t="s">
        <v>64</v>
      </c>
      <c r="O690" t="s">
        <v>55</v>
      </c>
      <c r="P690" t="s">
        <v>105</v>
      </c>
    </row>
    <row r="691" spans="1:16" x14ac:dyDescent="0.25">
      <c r="A691" t="s">
        <v>1133</v>
      </c>
      <c r="B691" s="4">
        <v>45828</v>
      </c>
      <c r="C691" s="2">
        <v>0.93888888888888888</v>
      </c>
      <c r="D691" t="s">
        <v>16</v>
      </c>
      <c r="E691" t="s">
        <v>50</v>
      </c>
      <c r="F691" s="1"/>
      <c r="G691">
        <v>1978</v>
      </c>
      <c r="H691">
        <v>4</v>
      </c>
      <c r="I691">
        <v>11</v>
      </c>
      <c r="J691" t="s">
        <v>259</v>
      </c>
      <c r="K691">
        <v>98.03</v>
      </c>
      <c r="L691">
        <v>2</v>
      </c>
      <c r="M691">
        <v>196.06</v>
      </c>
      <c r="N691" t="s">
        <v>41</v>
      </c>
      <c r="O691" t="s">
        <v>55</v>
      </c>
      <c r="P691" t="s">
        <v>74</v>
      </c>
    </row>
    <row r="692" spans="1:16" x14ac:dyDescent="0.25">
      <c r="A692" t="s">
        <v>1134</v>
      </c>
      <c r="B692" s="1">
        <v>45954</v>
      </c>
      <c r="C692" s="5">
        <v>0.86944444444444446</v>
      </c>
      <c r="D692" t="s">
        <v>16</v>
      </c>
      <c r="E692" t="s">
        <v>712</v>
      </c>
      <c r="G692">
        <v>2005</v>
      </c>
      <c r="H692">
        <v>2</v>
      </c>
      <c r="I692">
        <v>17</v>
      </c>
      <c r="J692" t="s">
        <v>18</v>
      </c>
      <c r="K692">
        <v>85.49</v>
      </c>
      <c r="L692">
        <v>3</v>
      </c>
      <c r="M692">
        <v>256.47000000000003</v>
      </c>
      <c r="N692" t="s">
        <v>54</v>
      </c>
      <c r="O692" t="s">
        <v>20</v>
      </c>
      <c r="P692" t="s">
        <v>74</v>
      </c>
    </row>
    <row r="693" spans="1:16" x14ac:dyDescent="0.25">
      <c r="A693" t="s">
        <v>1135</v>
      </c>
      <c r="B693" s="4">
        <v>45749</v>
      </c>
      <c r="C693" s="5">
        <v>0.66249999999999998</v>
      </c>
      <c r="D693" t="s">
        <v>16</v>
      </c>
      <c r="E693" t="s">
        <v>582</v>
      </c>
      <c r="F693" s="4"/>
      <c r="G693">
        <v>1993</v>
      </c>
      <c r="H693">
        <v>5</v>
      </c>
      <c r="I693">
        <v>7</v>
      </c>
      <c r="J693" t="s">
        <v>104</v>
      </c>
      <c r="K693">
        <v>300.99</v>
      </c>
      <c r="L693">
        <v>1</v>
      </c>
      <c r="M693">
        <v>300.99</v>
      </c>
      <c r="N693" t="s">
        <v>31</v>
      </c>
      <c r="O693" t="s">
        <v>55</v>
      </c>
      <c r="P693" t="s">
        <v>105</v>
      </c>
    </row>
    <row r="694" spans="1:16" x14ac:dyDescent="0.25">
      <c r="A694" t="s">
        <v>1136</v>
      </c>
      <c r="B694" s="4">
        <v>45720</v>
      </c>
      <c r="C694" s="2">
        <v>0.48472222222222222</v>
      </c>
      <c r="D694" t="s">
        <v>16</v>
      </c>
      <c r="E694" t="s">
        <v>360</v>
      </c>
      <c r="F694" s="1"/>
      <c r="G694">
        <v>1975</v>
      </c>
      <c r="H694">
        <v>2</v>
      </c>
      <c r="I694">
        <v>26</v>
      </c>
      <c r="J694" t="s">
        <v>104</v>
      </c>
      <c r="K694">
        <v>244.88</v>
      </c>
      <c r="L694">
        <v>1</v>
      </c>
      <c r="M694">
        <v>244.88</v>
      </c>
      <c r="N694" t="s">
        <v>31</v>
      </c>
      <c r="O694" t="s">
        <v>37</v>
      </c>
      <c r="P694" t="s">
        <v>56</v>
      </c>
    </row>
    <row r="695" spans="1:16" x14ac:dyDescent="0.25">
      <c r="A695" t="s">
        <v>1137</v>
      </c>
      <c r="B695" s="4">
        <v>45967</v>
      </c>
      <c r="C695" s="5">
        <v>0.89722222222222225</v>
      </c>
      <c r="D695" t="s">
        <v>16</v>
      </c>
      <c r="E695" t="s">
        <v>466</v>
      </c>
      <c r="J695" t="s">
        <v>104</v>
      </c>
      <c r="K695">
        <v>225.24</v>
      </c>
      <c r="L695">
        <v>1</v>
      </c>
      <c r="M695">
        <v>225.24</v>
      </c>
      <c r="O695" t="s">
        <v>55</v>
      </c>
    </row>
    <row r="696" spans="1:16" x14ac:dyDescent="0.25">
      <c r="A696" t="s">
        <v>1138</v>
      </c>
      <c r="B696" s="4">
        <v>45687</v>
      </c>
      <c r="C696" s="5">
        <v>0.88472222222222219</v>
      </c>
      <c r="D696" t="s">
        <v>16</v>
      </c>
      <c r="E696" t="s">
        <v>882</v>
      </c>
      <c r="F696" s="1"/>
      <c r="G696">
        <v>2002</v>
      </c>
      <c r="H696">
        <v>2</v>
      </c>
      <c r="I696">
        <v>25</v>
      </c>
      <c r="J696" t="s">
        <v>110</v>
      </c>
      <c r="K696">
        <v>114.06</v>
      </c>
      <c r="L696">
        <v>3</v>
      </c>
      <c r="M696">
        <v>342.18</v>
      </c>
      <c r="N696" t="s">
        <v>54</v>
      </c>
      <c r="O696" t="s">
        <v>37</v>
      </c>
      <c r="P696" t="s">
        <v>48</v>
      </c>
    </row>
    <row r="697" spans="1:16" x14ac:dyDescent="0.25">
      <c r="A697" t="s">
        <v>1139</v>
      </c>
      <c r="C697" s="3">
        <v>0.90665509259259258</v>
      </c>
      <c r="D697" t="s">
        <v>16</v>
      </c>
      <c r="E697" t="s">
        <v>451</v>
      </c>
      <c r="F697" s="4"/>
      <c r="G697">
        <v>1970</v>
      </c>
      <c r="H697">
        <v>3</v>
      </c>
      <c r="I697">
        <v>21</v>
      </c>
      <c r="J697" t="s">
        <v>53</v>
      </c>
      <c r="K697">
        <v>124.38</v>
      </c>
      <c r="L697">
        <v>2</v>
      </c>
      <c r="M697">
        <v>248.76</v>
      </c>
      <c r="N697" t="s">
        <v>25</v>
      </c>
      <c r="O697" t="s">
        <v>20</v>
      </c>
    </row>
    <row r="698" spans="1:16" x14ac:dyDescent="0.25">
      <c r="A698" t="s">
        <v>1140</v>
      </c>
      <c r="B698" t="s">
        <v>1108</v>
      </c>
      <c r="C698" s="5">
        <v>0.86319444444444449</v>
      </c>
      <c r="D698" t="s">
        <v>16</v>
      </c>
      <c r="E698" t="s">
        <v>107</v>
      </c>
      <c r="F698" s="4"/>
      <c r="G698">
        <v>1993</v>
      </c>
      <c r="H698">
        <v>12</v>
      </c>
      <c r="I698">
        <v>24</v>
      </c>
      <c r="J698" t="s">
        <v>73</v>
      </c>
      <c r="L698">
        <v>2</v>
      </c>
      <c r="N698" t="s">
        <v>54</v>
      </c>
      <c r="O698" t="s">
        <v>89</v>
      </c>
      <c r="P698" t="s">
        <v>27</v>
      </c>
    </row>
    <row r="699" spans="1:16" x14ac:dyDescent="0.25">
      <c r="A699" t="s">
        <v>1141</v>
      </c>
      <c r="B699" s="4">
        <v>45761</v>
      </c>
      <c r="C699" s="5">
        <v>0.81527777777777777</v>
      </c>
      <c r="D699" t="s">
        <v>16</v>
      </c>
      <c r="E699" t="s">
        <v>161</v>
      </c>
      <c r="J699" t="s">
        <v>141</v>
      </c>
      <c r="K699">
        <v>162.77000000000001</v>
      </c>
      <c r="L699">
        <v>1</v>
      </c>
      <c r="M699">
        <v>162.77000000000001</v>
      </c>
      <c r="N699" t="s">
        <v>31</v>
      </c>
      <c r="O699" t="s">
        <v>61</v>
      </c>
      <c r="P699" t="s">
        <v>56</v>
      </c>
    </row>
    <row r="700" spans="1:16" x14ac:dyDescent="0.25">
      <c r="A700" t="s">
        <v>1142</v>
      </c>
      <c r="B700" t="s">
        <v>273</v>
      </c>
      <c r="C700" s="2">
        <v>0.88749999999999996</v>
      </c>
      <c r="D700" t="s">
        <v>16</v>
      </c>
      <c r="E700" t="s">
        <v>628</v>
      </c>
      <c r="G700">
        <v>1991</v>
      </c>
      <c r="H700">
        <v>4</v>
      </c>
      <c r="I700">
        <v>10</v>
      </c>
      <c r="J700" t="s">
        <v>116</v>
      </c>
      <c r="K700">
        <v>236.85</v>
      </c>
      <c r="L700">
        <v>2</v>
      </c>
      <c r="M700">
        <v>473.7</v>
      </c>
      <c r="N700" t="s">
        <v>64</v>
      </c>
      <c r="O700" t="s">
        <v>26</v>
      </c>
      <c r="P700" t="s">
        <v>27</v>
      </c>
    </row>
    <row r="701" spans="1:16" x14ac:dyDescent="0.25">
      <c r="A701" t="s">
        <v>1143</v>
      </c>
      <c r="B701" t="s">
        <v>1144</v>
      </c>
      <c r="C701" s="5">
        <v>0.72291666666666665</v>
      </c>
      <c r="D701" t="s">
        <v>16</v>
      </c>
      <c r="E701" t="s">
        <v>492</v>
      </c>
      <c r="F701" s="4"/>
      <c r="G701">
        <v>2001</v>
      </c>
      <c r="H701">
        <v>9</v>
      </c>
      <c r="I701">
        <v>4</v>
      </c>
      <c r="J701" t="s">
        <v>85</v>
      </c>
      <c r="K701">
        <v>208.97</v>
      </c>
      <c r="L701">
        <v>2</v>
      </c>
      <c r="M701">
        <v>417.94</v>
      </c>
      <c r="O701" t="s">
        <v>61</v>
      </c>
      <c r="P701" t="s">
        <v>27</v>
      </c>
    </row>
    <row r="702" spans="1:16" x14ac:dyDescent="0.25">
      <c r="A702" t="s">
        <v>1145</v>
      </c>
      <c r="B702" t="s">
        <v>1146</v>
      </c>
      <c r="C702" s="5">
        <v>0.45902777777777776</v>
      </c>
      <c r="D702" t="s">
        <v>16</v>
      </c>
      <c r="E702" t="s">
        <v>512</v>
      </c>
      <c r="F702" s="4"/>
      <c r="G702">
        <v>1986</v>
      </c>
      <c r="H702">
        <v>11</v>
      </c>
      <c r="I702">
        <v>16</v>
      </c>
      <c r="J702" t="s">
        <v>30</v>
      </c>
      <c r="K702">
        <v>218.24</v>
      </c>
      <c r="L702">
        <v>1</v>
      </c>
      <c r="M702">
        <v>218.24</v>
      </c>
      <c r="N702" t="s">
        <v>64</v>
      </c>
      <c r="O702" t="s">
        <v>61</v>
      </c>
      <c r="P702" t="s">
        <v>27</v>
      </c>
    </row>
    <row r="703" spans="1:16" x14ac:dyDescent="0.25">
      <c r="A703" t="s">
        <v>1147</v>
      </c>
      <c r="B703" s="4">
        <v>45813</v>
      </c>
      <c r="C703" s="3">
        <v>0.63667824074074075</v>
      </c>
      <c r="D703" t="s">
        <v>16</v>
      </c>
      <c r="E703" t="s">
        <v>256</v>
      </c>
      <c r="G703">
        <v>1998</v>
      </c>
      <c r="H703">
        <v>3</v>
      </c>
      <c r="I703">
        <v>18</v>
      </c>
      <c r="J703" t="s">
        <v>93</v>
      </c>
      <c r="K703">
        <v>153.87</v>
      </c>
      <c r="L703">
        <v>1</v>
      </c>
      <c r="M703">
        <v>153.87</v>
      </c>
      <c r="N703" t="s">
        <v>31</v>
      </c>
      <c r="O703" t="s">
        <v>61</v>
      </c>
      <c r="P703" t="s">
        <v>74</v>
      </c>
    </row>
    <row r="704" spans="1:16" x14ac:dyDescent="0.25">
      <c r="A704" t="s">
        <v>1148</v>
      </c>
      <c r="B704" s="4">
        <v>45971</v>
      </c>
      <c r="C704" s="3">
        <v>0.58163194444444444</v>
      </c>
      <c r="D704" t="s">
        <v>16</v>
      </c>
      <c r="E704" t="s">
        <v>29</v>
      </c>
      <c r="F704" s="1"/>
      <c r="G704">
        <v>1996</v>
      </c>
      <c r="H704">
        <v>11</v>
      </c>
      <c r="I704">
        <v>23</v>
      </c>
      <c r="J704" t="s">
        <v>60</v>
      </c>
      <c r="K704">
        <v>162.69999999999999</v>
      </c>
      <c r="L704">
        <v>0</v>
      </c>
      <c r="M704">
        <v>0</v>
      </c>
      <c r="N704" t="s">
        <v>41</v>
      </c>
      <c r="O704" t="s">
        <v>61</v>
      </c>
      <c r="P704" t="s">
        <v>33</v>
      </c>
    </row>
    <row r="705" spans="1:16" x14ac:dyDescent="0.25">
      <c r="A705" t="s">
        <v>1149</v>
      </c>
      <c r="B705" s="4">
        <v>45912</v>
      </c>
      <c r="C705" s="3">
        <v>0.65201388888888889</v>
      </c>
      <c r="D705" t="s">
        <v>16</v>
      </c>
      <c r="E705" t="s">
        <v>232</v>
      </c>
      <c r="G705">
        <v>1990</v>
      </c>
      <c r="H705">
        <v>7</v>
      </c>
      <c r="I705">
        <v>15</v>
      </c>
      <c r="J705" t="s">
        <v>40</v>
      </c>
      <c r="K705">
        <v>174.65</v>
      </c>
      <c r="L705">
        <v>1</v>
      </c>
      <c r="M705">
        <v>174.65</v>
      </c>
      <c r="N705" t="s">
        <v>31</v>
      </c>
      <c r="O705" t="s">
        <v>37</v>
      </c>
    </row>
    <row r="706" spans="1:16" x14ac:dyDescent="0.25">
      <c r="A706" t="s">
        <v>1150</v>
      </c>
      <c r="B706" s="4">
        <v>45722</v>
      </c>
      <c r="C706" s="3">
        <v>0.52857638888888892</v>
      </c>
      <c r="D706" t="s">
        <v>16</v>
      </c>
      <c r="E706" t="s">
        <v>246</v>
      </c>
      <c r="F706" s="4"/>
      <c r="G706">
        <v>1993</v>
      </c>
      <c r="H706">
        <v>11</v>
      </c>
      <c r="I706">
        <v>16</v>
      </c>
      <c r="J706" t="s">
        <v>85</v>
      </c>
      <c r="K706">
        <v>166.4</v>
      </c>
      <c r="L706">
        <v>1</v>
      </c>
      <c r="M706">
        <v>166.4</v>
      </c>
      <c r="N706" t="s">
        <v>31</v>
      </c>
      <c r="O706" t="s">
        <v>55</v>
      </c>
      <c r="P706" t="s">
        <v>33</v>
      </c>
    </row>
    <row r="707" spans="1:16" x14ac:dyDescent="0.25">
      <c r="A707" t="s">
        <v>1151</v>
      </c>
      <c r="B707" s="4">
        <v>45916</v>
      </c>
      <c r="C707" s="5">
        <v>0.50069444444444444</v>
      </c>
      <c r="D707" t="s">
        <v>16</v>
      </c>
      <c r="E707" t="s">
        <v>131</v>
      </c>
      <c r="F707" s="1"/>
      <c r="G707">
        <v>2005</v>
      </c>
      <c r="H707">
        <v>1</v>
      </c>
      <c r="I707">
        <v>4</v>
      </c>
      <c r="J707" t="s">
        <v>164</v>
      </c>
      <c r="K707">
        <v>241.87</v>
      </c>
      <c r="L707">
        <v>1</v>
      </c>
      <c r="M707">
        <v>241.87</v>
      </c>
      <c r="N707" t="s">
        <v>54</v>
      </c>
      <c r="O707" t="s">
        <v>32</v>
      </c>
      <c r="P707" t="s">
        <v>105</v>
      </c>
    </row>
    <row r="708" spans="1:16" x14ac:dyDescent="0.25">
      <c r="A708" t="s">
        <v>1152</v>
      </c>
      <c r="B708" s="4">
        <v>45633</v>
      </c>
      <c r="C708" s="3">
        <v>0.5496064814814815</v>
      </c>
      <c r="D708" t="s">
        <v>16</v>
      </c>
      <c r="E708" t="s">
        <v>471</v>
      </c>
      <c r="F708" s="4"/>
      <c r="G708">
        <v>1984</v>
      </c>
      <c r="H708">
        <v>2</v>
      </c>
      <c r="I708">
        <v>28</v>
      </c>
      <c r="J708" t="s">
        <v>45</v>
      </c>
      <c r="K708">
        <v>210.59</v>
      </c>
      <c r="L708">
        <v>2</v>
      </c>
      <c r="M708">
        <v>421.18</v>
      </c>
      <c r="N708" t="s">
        <v>64</v>
      </c>
      <c r="O708" t="s">
        <v>26</v>
      </c>
      <c r="P708" t="s">
        <v>33</v>
      </c>
    </row>
    <row r="709" spans="1:16" x14ac:dyDescent="0.25">
      <c r="A709" t="s">
        <v>1153</v>
      </c>
      <c r="B709" t="s">
        <v>177</v>
      </c>
      <c r="C709" s="3">
        <v>0.88249999999999995</v>
      </c>
      <c r="D709" t="s">
        <v>16</v>
      </c>
      <c r="E709" t="s">
        <v>397</v>
      </c>
      <c r="F709" s="1"/>
      <c r="G709">
        <v>2006</v>
      </c>
      <c r="H709">
        <v>2</v>
      </c>
      <c r="I709">
        <v>27</v>
      </c>
      <c r="J709" t="s">
        <v>24</v>
      </c>
      <c r="K709">
        <v>202.17</v>
      </c>
      <c r="L709">
        <v>3</v>
      </c>
      <c r="M709">
        <v>606.51</v>
      </c>
      <c r="N709" t="s">
        <v>67</v>
      </c>
      <c r="O709" t="s">
        <v>61</v>
      </c>
      <c r="P709" t="s">
        <v>48</v>
      </c>
    </row>
    <row r="710" spans="1:16" x14ac:dyDescent="0.25">
      <c r="A710" t="s">
        <v>1154</v>
      </c>
      <c r="B710" s="1">
        <v>45936</v>
      </c>
      <c r="C710" s="5">
        <v>0.43611111111111112</v>
      </c>
      <c r="D710" t="s">
        <v>16</v>
      </c>
      <c r="E710" t="s">
        <v>237</v>
      </c>
      <c r="J710" t="s">
        <v>24</v>
      </c>
      <c r="K710">
        <v>246.29</v>
      </c>
      <c r="L710">
        <v>1</v>
      </c>
      <c r="M710">
        <v>246.29</v>
      </c>
      <c r="N710" t="s">
        <v>25</v>
      </c>
      <c r="O710" t="s">
        <v>47</v>
      </c>
      <c r="P710" t="s">
        <v>105</v>
      </c>
    </row>
    <row r="711" spans="1:16" x14ac:dyDescent="0.25">
      <c r="A711" t="s">
        <v>1155</v>
      </c>
      <c r="B711" s="4">
        <v>45760</v>
      </c>
      <c r="C711" s="5">
        <v>0.80138888888888893</v>
      </c>
      <c r="D711" t="s">
        <v>16</v>
      </c>
      <c r="E711" t="s">
        <v>92</v>
      </c>
      <c r="G711">
        <v>1980</v>
      </c>
      <c r="H711">
        <v>4</v>
      </c>
      <c r="I711">
        <v>12</v>
      </c>
      <c r="J711" t="s">
        <v>40</v>
      </c>
      <c r="K711">
        <v>225.55</v>
      </c>
      <c r="L711">
        <v>1</v>
      </c>
      <c r="M711">
        <v>225.55</v>
      </c>
      <c r="N711" t="s">
        <v>25</v>
      </c>
      <c r="O711" t="s">
        <v>47</v>
      </c>
      <c r="P711" t="s">
        <v>33</v>
      </c>
    </row>
    <row r="712" spans="1:16" x14ac:dyDescent="0.25">
      <c r="A712" t="s">
        <v>1156</v>
      </c>
      <c r="B712" s="4">
        <v>45742</v>
      </c>
      <c r="C712" s="3">
        <v>0.62100694444444449</v>
      </c>
      <c r="D712" t="s">
        <v>16</v>
      </c>
      <c r="E712" t="s">
        <v>1157</v>
      </c>
      <c r="F712" s="4"/>
      <c r="G712">
        <v>2004</v>
      </c>
      <c r="H712">
        <v>1</v>
      </c>
      <c r="I712">
        <v>12</v>
      </c>
      <c r="J712" t="s">
        <v>213</v>
      </c>
      <c r="K712">
        <v>216.98</v>
      </c>
      <c r="L712">
        <v>3</v>
      </c>
      <c r="M712">
        <v>650.94000000000005</v>
      </c>
      <c r="N712" t="s">
        <v>54</v>
      </c>
      <c r="O712" t="s">
        <v>26</v>
      </c>
      <c r="P712" t="s">
        <v>27</v>
      </c>
    </row>
    <row r="713" spans="1:16" x14ac:dyDescent="0.25">
      <c r="A713" t="s">
        <v>1158</v>
      </c>
      <c r="B713" t="s">
        <v>1159</v>
      </c>
      <c r="C713" s="3">
        <v>0.54479166666666667</v>
      </c>
      <c r="D713" t="s">
        <v>16</v>
      </c>
      <c r="E713" t="s">
        <v>118</v>
      </c>
      <c r="F713" s="1"/>
      <c r="G713">
        <v>1970</v>
      </c>
      <c r="H713">
        <v>7</v>
      </c>
      <c r="I713">
        <v>6</v>
      </c>
      <c r="J713" t="s">
        <v>129</v>
      </c>
      <c r="K713">
        <v>193.77</v>
      </c>
      <c r="L713">
        <v>2</v>
      </c>
      <c r="M713">
        <v>387.54</v>
      </c>
      <c r="N713" t="s">
        <v>31</v>
      </c>
      <c r="O713" t="s">
        <v>89</v>
      </c>
    </row>
    <row r="714" spans="1:16" x14ac:dyDescent="0.25">
      <c r="A714" t="s">
        <v>1160</v>
      </c>
      <c r="B714" t="s">
        <v>732</v>
      </c>
      <c r="C714" s="5">
        <v>0.6</v>
      </c>
      <c r="D714" t="s">
        <v>16</v>
      </c>
      <c r="E714" t="s">
        <v>258</v>
      </c>
      <c r="J714" t="s">
        <v>60</v>
      </c>
      <c r="K714">
        <v>319.77999999999997</v>
      </c>
      <c r="L714">
        <v>1</v>
      </c>
      <c r="M714">
        <v>357.78</v>
      </c>
      <c r="N714" t="s">
        <v>64</v>
      </c>
      <c r="O714" t="s">
        <v>32</v>
      </c>
      <c r="P714" t="s">
        <v>105</v>
      </c>
    </row>
    <row r="715" spans="1:16" x14ac:dyDescent="0.25">
      <c r="A715" t="s">
        <v>1161</v>
      </c>
      <c r="B715" s="4">
        <v>45779</v>
      </c>
      <c r="C715" s="5">
        <v>0.90902777777777777</v>
      </c>
      <c r="D715" t="s">
        <v>16</v>
      </c>
      <c r="E715" t="s">
        <v>659</v>
      </c>
      <c r="F715" s="1"/>
      <c r="G715">
        <v>1973</v>
      </c>
      <c r="H715">
        <v>9</v>
      </c>
      <c r="I715">
        <v>28</v>
      </c>
      <c r="J715" t="s">
        <v>77</v>
      </c>
      <c r="K715">
        <v>282.67</v>
      </c>
      <c r="L715">
        <v>2</v>
      </c>
      <c r="M715">
        <v>565.34</v>
      </c>
      <c r="N715" t="s">
        <v>19</v>
      </c>
      <c r="O715" t="s">
        <v>37</v>
      </c>
      <c r="P715" t="s">
        <v>105</v>
      </c>
    </row>
    <row r="716" spans="1:16" x14ac:dyDescent="0.25">
      <c r="A716" t="s">
        <v>1162</v>
      </c>
      <c r="B716" t="s">
        <v>1163</v>
      </c>
      <c r="C716" s="3">
        <v>0.71003472222222219</v>
      </c>
      <c r="D716" t="s">
        <v>16</v>
      </c>
      <c r="E716" t="s">
        <v>144</v>
      </c>
      <c r="G716">
        <v>1983</v>
      </c>
      <c r="H716">
        <v>4</v>
      </c>
      <c r="I716">
        <v>25</v>
      </c>
      <c r="J716" t="s">
        <v>77</v>
      </c>
      <c r="K716">
        <v>176.93</v>
      </c>
      <c r="L716">
        <v>3</v>
      </c>
      <c r="M716">
        <v>530.79</v>
      </c>
      <c r="N716" t="s">
        <v>67</v>
      </c>
      <c r="O716" t="s">
        <v>37</v>
      </c>
      <c r="P716" t="s">
        <v>56</v>
      </c>
    </row>
    <row r="717" spans="1:16" x14ac:dyDescent="0.25">
      <c r="A717" t="s">
        <v>1164</v>
      </c>
      <c r="B717" t="s">
        <v>1165</v>
      </c>
      <c r="C717" s="5">
        <v>0.51736111111111116</v>
      </c>
      <c r="D717" t="s">
        <v>16</v>
      </c>
      <c r="E717" t="s">
        <v>512</v>
      </c>
      <c r="G717">
        <v>2007</v>
      </c>
      <c r="H717">
        <v>3</v>
      </c>
      <c r="I717">
        <v>12</v>
      </c>
      <c r="J717" t="s">
        <v>164</v>
      </c>
      <c r="K717">
        <v>336.15</v>
      </c>
      <c r="L717">
        <v>0</v>
      </c>
      <c r="M717">
        <v>0</v>
      </c>
      <c r="N717" t="s">
        <v>31</v>
      </c>
      <c r="O717" t="s">
        <v>37</v>
      </c>
      <c r="P717" t="s">
        <v>48</v>
      </c>
    </row>
    <row r="718" spans="1:16" x14ac:dyDescent="0.25">
      <c r="A718" t="s">
        <v>1166</v>
      </c>
      <c r="B718" t="s">
        <v>175</v>
      </c>
      <c r="C718" s="3">
        <v>0.56791666666666663</v>
      </c>
      <c r="D718" t="s">
        <v>16</v>
      </c>
      <c r="E718" t="s">
        <v>59</v>
      </c>
      <c r="J718" t="s">
        <v>199</v>
      </c>
      <c r="K718">
        <v>216.49</v>
      </c>
      <c r="L718">
        <v>2</v>
      </c>
      <c r="M718">
        <v>432.98</v>
      </c>
      <c r="N718" t="s">
        <v>54</v>
      </c>
      <c r="O718" t="s">
        <v>32</v>
      </c>
      <c r="P718" t="s">
        <v>74</v>
      </c>
    </row>
    <row r="719" spans="1:16" x14ac:dyDescent="0.25">
      <c r="A719" t="s">
        <v>1167</v>
      </c>
      <c r="B719" t="s">
        <v>1168</v>
      </c>
      <c r="C719" s="5">
        <v>0.97083333333333333</v>
      </c>
      <c r="D719" t="s">
        <v>16</v>
      </c>
      <c r="E719" t="s">
        <v>252</v>
      </c>
      <c r="F719" s="4"/>
      <c r="G719">
        <v>1975</v>
      </c>
      <c r="H719">
        <v>10</v>
      </c>
      <c r="I719">
        <v>8</v>
      </c>
      <c r="J719" t="s">
        <v>141</v>
      </c>
      <c r="K719">
        <v>158.18</v>
      </c>
      <c r="L719">
        <v>1</v>
      </c>
      <c r="M719">
        <v>158.18</v>
      </c>
      <c r="O719" t="s">
        <v>55</v>
      </c>
      <c r="P719" t="s">
        <v>56</v>
      </c>
    </row>
    <row r="720" spans="1:16" x14ac:dyDescent="0.25">
      <c r="A720" t="s">
        <v>1169</v>
      </c>
      <c r="B720" s="4">
        <v>45821</v>
      </c>
      <c r="C720" s="5">
        <v>0.86597222222222225</v>
      </c>
      <c r="D720" t="s">
        <v>16</v>
      </c>
      <c r="E720" t="s">
        <v>187</v>
      </c>
      <c r="G720">
        <v>1991</v>
      </c>
      <c r="H720">
        <v>12</v>
      </c>
      <c r="I720">
        <v>12</v>
      </c>
      <c r="J720" t="s">
        <v>129</v>
      </c>
      <c r="K720">
        <v>162.26</v>
      </c>
      <c r="L720">
        <v>1</v>
      </c>
      <c r="M720">
        <v>162.26</v>
      </c>
      <c r="N720" t="s">
        <v>67</v>
      </c>
      <c r="O720" t="s">
        <v>20</v>
      </c>
      <c r="P720" t="s">
        <v>21</v>
      </c>
    </row>
    <row r="721" spans="1:16" x14ac:dyDescent="0.25">
      <c r="A721" t="s">
        <v>1170</v>
      </c>
      <c r="B721" s="1">
        <v>45623</v>
      </c>
      <c r="C721" s="3">
        <v>0.61464120370370368</v>
      </c>
      <c r="D721" t="s">
        <v>16</v>
      </c>
      <c r="E721" t="s">
        <v>389</v>
      </c>
      <c r="F721" s="4"/>
      <c r="G721">
        <v>1994</v>
      </c>
      <c r="H721">
        <v>6</v>
      </c>
      <c r="I721">
        <v>9</v>
      </c>
      <c r="J721" t="s">
        <v>243</v>
      </c>
      <c r="K721">
        <v>136.19</v>
      </c>
      <c r="L721">
        <v>1</v>
      </c>
      <c r="M721">
        <v>136.19</v>
      </c>
      <c r="N721" t="s">
        <v>41</v>
      </c>
      <c r="O721" t="s">
        <v>55</v>
      </c>
      <c r="P721" t="s">
        <v>48</v>
      </c>
    </row>
    <row r="722" spans="1:16" x14ac:dyDescent="0.25">
      <c r="A722" t="s">
        <v>1171</v>
      </c>
      <c r="B722" t="s">
        <v>1172</v>
      </c>
      <c r="C722" s="5">
        <v>0.66249999999999998</v>
      </c>
      <c r="D722" t="s">
        <v>16</v>
      </c>
      <c r="E722" t="s">
        <v>237</v>
      </c>
      <c r="F722" s="4"/>
      <c r="G722">
        <v>2001</v>
      </c>
      <c r="H722">
        <v>10</v>
      </c>
      <c r="I722">
        <v>20</v>
      </c>
      <c r="J722" t="s">
        <v>141</v>
      </c>
      <c r="K722">
        <v>141.62</v>
      </c>
      <c r="L722">
        <v>2</v>
      </c>
      <c r="M722">
        <v>283.24</v>
      </c>
      <c r="N722" t="s">
        <v>31</v>
      </c>
      <c r="O722" t="s">
        <v>89</v>
      </c>
    </row>
    <row r="723" spans="1:16" x14ac:dyDescent="0.25">
      <c r="A723" t="s">
        <v>1173</v>
      </c>
      <c r="B723" s="4">
        <v>45908</v>
      </c>
      <c r="C723" s="3">
        <v>0.51591435185185186</v>
      </c>
      <c r="D723" t="s">
        <v>16</v>
      </c>
      <c r="E723" t="s">
        <v>218</v>
      </c>
      <c r="F723" s="1"/>
      <c r="G723">
        <v>1978</v>
      </c>
      <c r="H723">
        <v>7</v>
      </c>
      <c r="I723">
        <v>18</v>
      </c>
      <c r="J723" t="s">
        <v>259</v>
      </c>
      <c r="L723">
        <v>2</v>
      </c>
      <c r="N723" t="s">
        <v>64</v>
      </c>
      <c r="O723" t="s">
        <v>61</v>
      </c>
      <c r="P723" t="s">
        <v>48</v>
      </c>
    </row>
    <row r="724" spans="1:16" x14ac:dyDescent="0.25">
      <c r="A724" t="s">
        <v>1174</v>
      </c>
      <c r="B724" s="1">
        <v>45706</v>
      </c>
      <c r="C724" s="2">
        <v>0.55555555555555558</v>
      </c>
      <c r="D724" t="s">
        <v>16</v>
      </c>
      <c r="E724" t="s">
        <v>1175</v>
      </c>
      <c r="F724" s="1"/>
      <c r="G724">
        <v>1984</v>
      </c>
      <c r="H724">
        <v>8</v>
      </c>
      <c r="I724">
        <v>18</v>
      </c>
      <c r="J724" t="s">
        <v>259</v>
      </c>
      <c r="K724">
        <v>219.83</v>
      </c>
      <c r="L724">
        <v>2</v>
      </c>
      <c r="M724">
        <v>439.66</v>
      </c>
      <c r="N724" t="s">
        <v>64</v>
      </c>
      <c r="O724" t="s">
        <v>20</v>
      </c>
      <c r="P724" t="s">
        <v>48</v>
      </c>
    </row>
    <row r="725" spans="1:16" x14ac:dyDescent="0.25">
      <c r="A725" t="s">
        <v>1176</v>
      </c>
      <c r="B725" s="4">
        <v>45829</v>
      </c>
      <c r="C725" s="5">
        <v>0.87222222222222223</v>
      </c>
      <c r="D725" t="s">
        <v>16</v>
      </c>
      <c r="E725" t="s">
        <v>191</v>
      </c>
      <c r="F725" s="4"/>
      <c r="G725">
        <v>1974</v>
      </c>
      <c r="H725">
        <v>6</v>
      </c>
      <c r="I725">
        <v>22</v>
      </c>
      <c r="J725" t="s">
        <v>24</v>
      </c>
      <c r="K725">
        <v>204.66</v>
      </c>
      <c r="L725">
        <v>1</v>
      </c>
      <c r="M725">
        <v>204.66</v>
      </c>
      <c r="N725" t="s">
        <v>31</v>
      </c>
      <c r="O725" t="s">
        <v>55</v>
      </c>
      <c r="P725" t="s">
        <v>48</v>
      </c>
    </row>
    <row r="726" spans="1:16" x14ac:dyDescent="0.25">
      <c r="A726" t="s">
        <v>1177</v>
      </c>
      <c r="B726" t="s">
        <v>314</v>
      </c>
      <c r="C726" s="5">
        <v>0.43125000000000002</v>
      </c>
      <c r="D726" t="s">
        <v>16</v>
      </c>
      <c r="E726" t="s">
        <v>628</v>
      </c>
      <c r="F726" s="4"/>
      <c r="G726">
        <v>2007</v>
      </c>
      <c r="H726">
        <v>9</v>
      </c>
      <c r="I726">
        <v>8</v>
      </c>
      <c r="J726" t="s">
        <v>53</v>
      </c>
      <c r="K726">
        <v>102.2</v>
      </c>
      <c r="L726">
        <v>2</v>
      </c>
      <c r="M726">
        <v>204.4</v>
      </c>
      <c r="N726" t="s">
        <v>19</v>
      </c>
      <c r="O726" t="s">
        <v>55</v>
      </c>
    </row>
    <row r="727" spans="1:16" x14ac:dyDescent="0.25">
      <c r="A727" t="s">
        <v>1178</v>
      </c>
      <c r="B727" t="s">
        <v>1179</v>
      </c>
      <c r="C727" s="3">
        <v>0.6343981481481481</v>
      </c>
      <c r="D727" t="s">
        <v>16</v>
      </c>
      <c r="E727" t="s">
        <v>79</v>
      </c>
      <c r="F727" s="1"/>
      <c r="G727">
        <v>2000</v>
      </c>
      <c r="H727">
        <v>4</v>
      </c>
      <c r="I727">
        <v>19</v>
      </c>
      <c r="J727" t="s">
        <v>53</v>
      </c>
      <c r="K727">
        <v>82.08</v>
      </c>
      <c r="L727">
        <v>3</v>
      </c>
      <c r="M727">
        <v>246.24</v>
      </c>
      <c r="O727" t="s">
        <v>55</v>
      </c>
      <c r="P727" t="s">
        <v>48</v>
      </c>
    </row>
    <row r="728" spans="1:16" x14ac:dyDescent="0.25">
      <c r="A728" t="s">
        <v>1180</v>
      </c>
      <c r="B728" t="s">
        <v>1181</v>
      </c>
      <c r="C728" s="5">
        <v>0.94722222222222219</v>
      </c>
      <c r="D728" t="s">
        <v>16</v>
      </c>
      <c r="E728" t="s">
        <v>338</v>
      </c>
      <c r="F728" s="4"/>
      <c r="G728">
        <v>1996</v>
      </c>
      <c r="H728">
        <v>7</v>
      </c>
      <c r="I728">
        <v>7</v>
      </c>
      <c r="J728" t="s">
        <v>116</v>
      </c>
      <c r="K728">
        <v>329.22</v>
      </c>
      <c r="L728">
        <v>3</v>
      </c>
      <c r="M728">
        <v>987.66</v>
      </c>
      <c r="N728" t="s">
        <v>41</v>
      </c>
      <c r="O728" t="s">
        <v>20</v>
      </c>
      <c r="P728" t="s">
        <v>56</v>
      </c>
    </row>
    <row r="729" spans="1:16" x14ac:dyDescent="0.25">
      <c r="A729" t="s">
        <v>1182</v>
      </c>
      <c r="B729" s="4">
        <v>45721</v>
      </c>
      <c r="C729" s="2">
        <v>0.71180555555555558</v>
      </c>
      <c r="D729" t="s">
        <v>16</v>
      </c>
      <c r="E729" t="s">
        <v>512</v>
      </c>
      <c r="F729" s="4"/>
      <c r="G729">
        <v>2009</v>
      </c>
      <c r="H729">
        <v>5</v>
      </c>
      <c r="I729">
        <v>6</v>
      </c>
      <c r="J729" t="s">
        <v>164</v>
      </c>
      <c r="K729">
        <v>321.69</v>
      </c>
      <c r="L729">
        <v>2</v>
      </c>
      <c r="M729">
        <v>643.38</v>
      </c>
      <c r="N729" t="s">
        <v>31</v>
      </c>
      <c r="O729" t="s">
        <v>61</v>
      </c>
      <c r="P729" t="s">
        <v>105</v>
      </c>
    </row>
    <row r="730" spans="1:16" x14ac:dyDescent="0.25">
      <c r="A730" t="s">
        <v>1183</v>
      </c>
      <c r="B730" s="4">
        <v>45811</v>
      </c>
      <c r="C730" s="2">
        <v>0.80625000000000002</v>
      </c>
      <c r="D730" t="s">
        <v>16</v>
      </c>
      <c r="E730" t="s">
        <v>1184</v>
      </c>
      <c r="G730">
        <v>2008</v>
      </c>
      <c r="H730">
        <v>9</v>
      </c>
      <c r="I730">
        <v>6</v>
      </c>
      <c r="J730" t="s">
        <v>36</v>
      </c>
      <c r="K730">
        <v>92.04</v>
      </c>
      <c r="L730">
        <v>3</v>
      </c>
      <c r="M730">
        <v>276.12</v>
      </c>
      <c r="N730" t="s">
        <v>54</v>
      </c>
      <c r="O730" t="s">
        <v>20</v>
      </c>
      <c r="P730" t="s">
        <v>74</v>
      </c>
    </row>
    <row r="731" spans="1:16" x14ac:dyDescent="0.25">
      <c r="A731" t="s">
        <v>1185</v>
      </c>
      <c r="B731" s="4">
        <v>45945</v>
      </c>
      <c r="C731" s="2">
        <v>0.83819444444444446</v>
      </c>
      <c r="D731" t="s">
        <v>16</v>
      </c>
      <c r="E731" t="s">
        <v>169</v>
      </c>
      <c r="F731" s="4"/>
      <c r="G731">
        <v>1973</v>
      </c>
      <c r="H731">
        <v>2</v>
      </c>
      <c r="I731">
        <v>13</v>
      </c>
      <c r="J731" t="s">
        <v>202</v>
      </c>
      <c r="K731" t="s">
        <v>1186</v>
      </c>
      <c r="L731">
        <v>1</v>
      </c>
      <c r="M731">
        <v>94.66</v>
      </c>
      <c r="N731" t="s">
        <v>41</v>
      </c>
      <c r="O731" t="s">
        <v>20</v>
      </c>
      <c r="P731" t="s">
        <v>48</v>
      </c>
    </row>
    <row r="732" spans="1:16" x14ac:dyDescent="0.25">
      <c r="A732" t="s">
        <v>1187</v>
      </c>
      <c r="B732" s="4">
        <v>45638</v>
      </c>
      <c r="C732" s="2">
        <v>0.54236111111111107</v>
      </c>
      <c r="D732" t="s">
        <v>16</v>
      </c>
      <c r="E732" t="s">
        <v>140</v>
      </c>
      <c r="F732" s="4"/>
      <c r="G732">
        <v>1974</v>
      </c>
      <c r="H732">
        <v>8</v>
      </c>
      <c r="I732">
        <v>6</v>
      </c>
      <c r="J732" t="s">
        <v>202</v>
      </c>
      <c r="K732">
        <v>51.41</v>
      </c>
      <c r="L732">
        <v>1</v>
      </c>
      <c r="M732">
        <v>51.41</v>
      </c>
      <c r="N732" t="s">
        <v>64</v>
      </c>
      <c r="O732" t="s">
        <v>37</v>
      </c>
    </row>
    <row r="733" spans="1:16" x14ac:dyDescent="0.25">
      <c r="A733" t="s">
        <v>1188</v>
      </c>
      <c r="B733" s="4">
        <v>45940</v>
      </c>
      <c r="C733" s="3">
        <v>0.69027777777777777</v>
      </c>
      <c r="D733" t="s">
        <v>16</v>
      </c>
      <c r="E733" t="s">
        <v>659</v>
      </c>
      <c r="F733" s="4"/>
      <c r="G733">
        <v>1994</v>
      </c>
      <c r="H733">
        <v>2</v>
      </c>
      <c r="I733">
        <v>6</v>
      </c>
      <c r="J733" t="s">
        <v>199</v>
      </c>
      <c r="K733">
        <v>183.61</v>
      </c>
      <c r="L733">
        <v>2</v>
      </c>
      <c r="M733">
        <v>367.22</v>
      </c>
      <c r="N733" t="s">
        <v>31</v>
      </c>
      <c r="O733" t="s">
        <v>37</v>
      </c>
      <c r="P733" t="s">
        <v>48</v>
      </c>
    </row>
    <row r="734" spans="1:16" x14ac:dyDescent="0.25">
      <c r="A734" t="s">
        <v>1189</v>
      </c>
      <c r="B734" t="s">
        <v>1190</v>
      </c>
      <c r="C734" s="5">
        <v>0.4201388888888889</v>
      </c>
      <c r="D734" t="s">
        <v>16</v>
      </c>
      <c r="E734" t="s">
        <v>76</v>
      </c>
      <c r="J734" t="s">
        <v>164</v>
      </c>
      <c r="K734" t="s">
        <v>1191</v>
      </c>
      <c r="L734">
        <v>2</v>
      </c>
      <c r="M734">
        <v>712.08</v>
      </c>
      <c r="N734" t="s">
        <v>54</v>
      </c>
      <c r="O734" t="s">
        <v>47</v>
      </c>
      <c r="P734" t="s">
        <v>74</v>
      </c>
    </row>
    <row r="735" spans="1:16" x14ac:dyDescent="0.25">
      <c r="A735" t="s">
        <v>1192</v>
      </c>
      <c r="B735" s="4">
        <v>45949</v>
      </c>
      <c r="C735" s="3">
        <v>0.54083333333333339</v>
      </c>
      <c r="D735" t="s">
        <v>16</v>
      </c>
      <c r="E735" t="s">
        <v>84</v>
      </c>
      <c r="F735" s="4"/>
      <c r="G735">
        <v>1989</v>
      </c>
      <c r="H735">
        <v>1</v>
      </c>
      <c r="I735">
        <v>12</v>
      </c>
      <c r="J735" t="s">
        <v>126</v>
      </c>
      <c r="K735" t="s">
        <v>1193</v>
      </c>
      <c r="L735">
        <v>2</v>
      </c>
      <c r="M735">
        <v>261.52</v>
      </c>
      <c r="N735" t="s">
        <v>41</v>
      </c>
      <c r="O735" t="s">
        <v>26</v>
      </c>
      <c r="P735" t="s">
        <v>56</v>
      </c>
    </row>
    <row r="736" spans="1:16" x14ac:dyDescent="0.25">
      <c r="A736" t="s">
        <v>1194</v>
      </c>
      <c r="B736" t="s">
        <v>1195</v>
      </c>
      <c r="C736" s="3">
        <v>0.564849537037037</v>
      </c>
      <c r="D736" t="s">
        <v>16</v>
      </c>
      <c r="E736" t="s">
        <v>131</v>
      </c>
      <c r="F736" s="1"/>
      <c r="G736">
        <v>1978</v>
      </c>
      <c r="H736">
        <v>4</v>
      </c>
      <c r="I736">
        <v>14</v>
      </c>
      <c r="J736" t="s">
        <v>141</v>
      </c>
      <c r="K736">
        <v>143.12</v>
      </c>
      <c r="L736">
        <v>1</v>
      </c>
      <c r="M736">
        <v>143.12</v>
      </c>
      <c r="N736" t="s">
        <v>25</v>
      </c>
      <c r="O736" t="s">
        <v>37</v>
      </c>
    </row>
    <row r="737" spans="1:16" x14ac:dyDescent="0.25">
      <c r="A737" t="s">
        <v>1196</v>
      </c>
      <c r="B737" t="s">
        <v>1197</v>
      </c>
      <c r="C737" s="5">
        <v>0.81874999999999998</v>
      </c>
      <c r="D737" t="s">
        <v>16</v>
      </c>
      <c r="E737" t="s">
        <v>204</v>
      </c>
      <c r="F737" s="4"/>
      <c r="G737">
        <v>2006</v>
      </c>
      <c r="H737">
        <v>10</v>
      </c>
      <c r="I737">
        <v>14</v>
      </c>
      <c r="J737" t="s">
        <v>60</v>
      </c>
      <c r="K737">
        <v>152.22999999999999</v>
      </c>
      <c r="L737">
        <v>2</v>
      </c>
      <c r="M737">
        <v>304.45999999999998</v>
      </c>
      <c r="O737" t="s">
        <v>61</v>
      </c>
      <c r="P737" t="s">
        <v>27</v>
      </c>
    </row>
    <row r="738" spans="1:16" x14ac:dyDescent="0.25">
      <c r="A738" t="s">
        <v>1198</v>
      </c>
      <c r="B738" t="s">
        <v>1199</v>
      </c>
      <c r="C738" s="5">
        <v>0.42986111111111114</v>
      </c>
      <c r="D738" t="s">
        <v>16</v>
      </c>
      <c r="E738" t="s">
        <v>158</v>
      </c>
      <c r="F738" s="4"/>
      <c r="G738">
        <v>1986</v>
      </c>
      <c r="H738">
        <v>10</v>
      </c>
      <c r="I738">
        <v>27</v>
      </c>
      <c r="J738" t="s">
        <v>93</v>
      </c>
      <c r="K738">
        <v>-237.24</v>
      </c>
      <c r="L738">
        <v>1</v>
      </c>
      <c r="M738">
        <v>-237.24</v>
      </c>
      <c r="O738" t="s">
        <v>20</v>
      </c>
      <c r="P738" t="s">
        <v>27</v>
      </c>
    </row>
    <row r="739" spans="1:16" x14ac:dyDescent="0.25">
      <c r="A739" t="s">
        <v>1200</v>
      </c>
      <c r="B739" s="4">
        <v>45932</v>
      </c>
      <c r="C739" s="2">
        <v>0.92986111111111114</v>
      </c>
      <c r="D739" t="s">
        <v>16</v>
      </c>
      <c r="E739" t="s">
        <v>109</v>
      </c>
      <c r="J739" t="s">
        <v>145</v>
      </c>
      <c r="K739">
        <v>106.87</v>
      </c>
      <c r="L739">
        <v>2</v>
      </c>
      <c r="M739">
        <v>213.74</v>
      </c>
      <c r="N739" t="s">
        <v>31</v>
      </c>
      <c r="O739" t="s">
        <v>89</v>
      </c>
      <c r="P739" t="s">
        <v>27</v>
      </c>
    </row>
    <row r="740" spans="1:16" x14ac:dyDescent="0.25">
      <c r="A740" t="s">
        <v>1201</v>
      </c>
      <c r="B740" s="4">
        <v>45958</v>
      </c>
      <c r="C740" s="3">
        <v>0.62361111111111112</v>
      </c>
      <c r="D740" t="s">
        <v>16</v>
      </c>
      <c r="E740" t="s">
        <v>1202</v>
      </c>
      <c r="F740" s="4"/>
      <c r="G740">
        <v>1991</v>
      </c>
      <c r="H740">
        <v>4</v>
      </c>
      <c r="I740">
        <v>1</v>
      </c>
      <c r="J740" t="s">
        <v>77</v>
      </c>
      <c r="K740">
        <v>200.49</v>
      </c>
      <c r="L740">
        <v>1</v>
      </c>
      <c r="M740">
        <v>200.49</v>
      </c>
      <c r="N740" t="s">
        <v>31</v>
      </c>
      <c r="O740" t="s">
        <v>37</v>
      </c>
      <c r="P740" t="s">
        <v>105</v>
      </c>
    </row>
    <row r="741" spans="1:16" x14ac:dyDescent="0.25">
      <c r="A741" t="s">
        <v>1203</v>
      </c>
      <c r="B741" s="1">
        <v>45660</v>
      </c>
      <c r="C741" s="5">
        <v>0.56944444444444442</v>
      </c>
      <c r="D741" t="s">
        <v>16</v>
      </c>
      <c r="E741" t="s">
        <v>387</v>
      </c>
      <c r="G741">
        <v>2003</v>
      </c>
      <c r="H741">
        <v>7</v>
      </c>
      <c r="I741">
        <v>19</v>
      </c>
      <c r="J741" t="s">
        <v>199</v>
      </c>
      <c r="K741">
        <v>189.87</v>
      </c>
      <c r="L741">
        <v>1</v>
      </c>
      <c r="M741">
        <v>189.87</v>
      </c>
      <c r="N741" t="s">
        <v>31</v>
      </c>
      <c r="O741" t="s">
        <v>26</v>
      </c>
      <c r="P741" t="s">
        <v>105</v>
      </c>
    </row>
    <row r="742" spans="1:16" x14ac:dyDescent="0.25">
      <c r="A742" t="s">
        <v>1204</v>
      </c>
      <c r="B742" t="s">
        <v>1205</v>
      </c>
      <c r="C742" s="5">
        <v>0.57013888888888886</v>
      </c>
      <c r="D742" t="s">
        <v>16</v>
      </c>
      <c r="E742" t="s">
        <v>1206</v>
      </c>
      <c r="F742" s="4"/>
      <c r="G742">
        <v>2006</v>
      </c>
      <c r="H742">
        <v>11</v>
      </c>
      <c r="I742">
        <v>6</v>
      </c>
      <c r="J742" t="s">
        <v>60</v>
      </c>
      <c r="K742">
        <v>277.88</v>
      </c>
      <c r="L742">
        <v>2</v>
      </c>
      <c r="M742">
        <v>555.76</v>
      </c>
      <c r="N742" t="s">
        <v>54</v>
      </c>
      <c r="O742" t="s">
        <v>89</v>
      </c>
    </row>
    <row r="743" spans="1:16" x14ac:dyDescent="0.25">
      <c r="A743" t="s">
        <v>1207</v>
      </c>
      <c r="C743" s="5">
        <v>0.89861111111111114</v>
      </c>
      <c r="D743" t="s">
        <v>16</v>
      </c>
      <c r="E743" t="s">
        <v>411</v>
      </c>
      <c r="F743" s="1"/>
      <c r="G743">
        <v>1970</v>
      </c>
      <c r="H743">
        <v>12</v>
      </c>
      <c r="I743">
        <v>27</v>
      </c>
      <c r="J743" t="s">
        <v>202</v>
      </c>
      <c r="K743">
        <v>249.97</v>
      </c>
      <c r="L743">
        <v>1</v>
      </c>
      <c r="M743">
        <v>249.97</v>
      </c>
      <c r="N743" t="s">
        <v>19</v>
      </c>
      <c r="O743" t="s">
        <v>89</v>
      </c>
      <c r="P743" t="s">
        <v>56</v>
      </c>
    </row>
    <row r="744" spans="1:16" x14ac:dyDescent="0.25">
      <c r="A744" t="s">
        <v>1208</v>
      </c>
      <c r="B744" s="1">
        <v>45813</v>
      </c>
      <c r="C744" s="5">
        <v>0.44305555555555554</v>
      </c>
      <c r="D744" t="s">
        <v>16</v>
      </c>
      <c r="E744" t="s">
        <v>218</v>
      </c>
      <c r="G744">
        <v>2004</v>
      </c>
      <c r="H744">
        <v>12</v>
      </c>
      <c r="I744">
        <v>3</v>
      </c>
      <c r="J744" t="s">
        <v>110</v>
      </c>
      <c r="K744">
        <v>125.92</v>
      </c>
      <c r="L744">
        <v>2</v>
      </c>
      <c r="M744" t="s">
        <v>1209</v>
      </c>
      <c r="N744" t="s">
        <v>25</v>
      </c>
      <c r="O744" t="s">
        <v>55</v>
      </c>
      <c r="P744" t="s">
        <v>33</v>
      </c>
    </row>
    <row r="745" spans="1:16" x14ac:dyDescent="0.25">
      <c r="A745" t="s">
        <v>1210</v>
      </c>
      <c r="B745" s="1">
        <v>45623</v>
      </c>
      <c r="C745" s="3">
        <v>0.58858796296296301</v>
      </c>
      <c r="D745" t="s">
        <v>16</v>
      </c>
      <c r="E745" t="s">
        <v>252</v>
      </c>
      <c r="F745" s="1"/>
      <c r="G745">
        <v>2004</v>
      </c>
      <c r="H745">
        <v>3</v>
      </c>
      <c r="I745">
        <v>6</v>
      </c>
      <c r="J745" t="s">
        <v>85</v>
      </c>
      <c r="K745">
        <v>333.73</v>
      </c>
      <c r="L745">
        <v>2</v>
      </c>
      <c r="M745">
        <v>667.46</v>
      </c>
      <c r="N745" t="s">
        <v>54</v>
      </c>
      <c r="O745" t="s">
        <v>61</v>
      </c>
    </row>
    <row r="746" spans="1:16" x14ac:dyDescent="0.25">
      <c r="A746" t="s">
        <v>1211</v>
      </c>
      <c r="C746" s="2">
        <v>0.68055555555555558</v>
      </c>
      <c r="D746" t="s">
        <v>16</v>
      </c>
      <c r="E746" t="s">
        <v>151</v>
      </c>
      <c r="F746" s="1"/>
      <c r="G746">
        <v>1988</v>
      </c>
      <c r="H746">
        <v>12</v>
      </c>
      <c r="I746">
        <v>14</v>
      </c>
      <c r="J746" t="s">
        <v>93</v>
      </c>
      <c r="K746">
        <v>170.01</v>
      </c>
      <c r="L746">
        <v>1</v>
      </c>
      <c r="M746">
        <v>170.01</v>
      </c>
      <c r="O746" t="s">
        <v>55</v>
      </c>
    </row>
    <row r="747" spans="1:16" x14ac:dyDescent="0.25">
      <c r="A747" t="s">
        <v>1212</v>
      </c>
      <c r="B747" s="4">
        <v>45926</v>
      </c>
      <c r="C747" s="2">
        <v>0.79861111111111116</v>
      </c>
      <c r="D747" t="s">
        <v>16</v>
      </c>
      <c r="E747" t="s">
        <v>295</v>
      </c>
      <c r="F747" s="4"/>
      <c r="G747">
        <v>2004</v>
      </c>
      <c r="H747">
        <v>12</v>
      </c>
      <c r="I747">
        <v>27</v>
      </c>
      <c r="J747" t="s">
        <v>30</v>
      </c>
      <c r="K747">
        <v>285.29000000000002</v>
      </c>
      <c r="L747">
        <v>3</v>
      </c>
      <c r="M747">
        <v>825.87</v>
      </c>
      <c r="N747" t="s">
        <v>67</v>
      </c>
      <c r="O747" t="s">
        <v>37</v>
      </c>
      <c r="P747" t="s">
        <v>21</v>
      </c>
    </row>
    <row r="748" spans="1:16" x14ac:dyDescent="0.25">
      <c r="A748" t="s">
        <v>1213</v>
      </c>
      <c r="B748" t="s">
        <v>1214</v>
      </c>
      <c r="C748" s="2">
        <v>0.42916666666666664</v>
      </c>
      <c r="D748" t="s">
        <v>16</v>
      </c>
      <c r="E748" t="s">
        <v>128</v>
      </c>
      <c r="J748" t="s">
        <v>116</v>
      </c>
      <c r="K748">
        <v>183.89</v>
      </c>
      <c r="L748">
        <v>1</v>
      </c>
      <c r="M748">
        <v>183.89</v>
      </c>
      <c r="N748" t="s">
        <v>19</v>
      </c>
      <c r="O748" t="s">
        <v>61</v>
      </c>
      <c r="P748" t="s">
        <v>21</v>
      </c>
    </row>
    <row r="749" spans="1:16" x14ac:dyDescent="0.25">
      <c r="A749" t="s">
        <v>1215</v>
      </c>
      <c r="B749" s="4">
        <v>45765</v>
      </c>
      <c r="C749" s="3">
        <v>0.98583333333333334</v>
      </c>
      <c r="D749" t="s">
        <v>16</v>
      </c>
      <c r="E749" t="s">
        <v>44</v>
      </c>
      <c r="F749" s="1"/>
      <c r="G749">
        <v>2001</v>
      </c>
      <c r="H749">
        <v>7</v>
      </c>
      <c r="I749">
        <v>14</v>
      </c>
      <c r="J749" t="s">
        <v>199</v>
      </c>
      <c r="K749">
        <v>194.7</v>
      </c>
      <c r="L749">
        <v>2</v>
      </c>
      <c r="M749">
        <v>389.4</v>
      </c>
      <c r="N749" t="s">
        <v>54</v>
      </c>
      <c r="O749" t="s">
        <v>47</v>
      </c>
      <c r="P749" t="s">
        <v>74</v>
      </c>
    </row>
    <row r="750" spans="1:16" x14ac:dyDescent="0.25">
      <c r="A750" t="s">
        <v>1216</v>
      </c>
      <c r="B750" s="1">
        <v>45881</v>
      </c>
      <c r="C750" s="5">
        <v>0.9604166666666667</v>
      </c>
      <c r="D750" t="s">
        <v>16</v>
      </c>
      <c r="E750" t="s">
        <v>201</v>
      </c>
      <c r="F750" s="1"/>
      <c r="G750">
        <v>1970</v>
      </c>
      <c r="H750">
        <v>6</v>
      </c>
      <c r="I750">
        <v>2</v>
      </c>
      <c r="J750" t="s">
        <v>110</v>
      </c>
      <c r="L750">
        <v>1</v>
      </c>
      <c r="N750" t="s">
        <v>41</v>
      </c>
      <c r="O750" t="s">
        <v>55</v>
      </c>
      <c r="P750" t="s">
        <v>33</v>
      </c>
    </row>
    <row r="751" spans="1:16" x14ac:dyDescent="0.25">
      <c r="A751" t="s">
        <v>1217</v>
      </c>
      <c r="C751" s="2">
        <v>0.63055555555555554</v>
      </c>
      <c r="D751" t="s">
        <v>16</v>
      </c>
      <c r="E751" t="s">
        <v>264</v>
      </c>
      <c r="F751" s="4"/>
      <c r="G751">
        <v>1999</v>
      </c>
      <c r="H751">
        <v>6</v>
      </c>
      <c r="I751">
        <v>19</v>
      </c>
      <c r="J751" t="s">
        <v>53</v>
      </c>
      <c r="K751">
        <v>82.87</v>
      </c>
      <c r="L751">
        <v>2</v>
      </c>
      <c r="M751">
        <v>165.74</v>
      </c>
      <c r="N751" t="s">
        <v>25</v>
      </c>
      <c r="O751" t="s">
        <v>89</v>
      </c>
      <c r="P751" t="s">
        <v>27</v>
      </c>
    </row>
    <row r="752" spans="1:16" x14ac:dyDescent="0.25">
      <c r="A752" t="s">
        <v>1218</v>
      </c>
      <c r="B752" s="1">
        <v>45639</v>
      </c>
      <c r="C752" s="3">
        <v>0.88818287037037036</v>
      </c>
      <c r="D752" t="s">
        <v>16</v>
      </c>
      <c r="E752" t="s">
        <v>133</v>
      </c>
      <c r="F752" s="4"/>
      <c r="G752">
        <v>2010</v>
      </c>
      <c r="H752">
        <v>9</v>
      </c>
      <c r="I752">
        <v>4</v>
      </c>
      <c r="J752" t="s">
        <v>141</v>
      </c>
      <c r="K752">
        <v>161.18</v>
      </c>
      <c r="L752">
        <v>2</v>
      </c>
      <c r="M752">
        <v>322.36</v>
      </c>
      <c r="O752" t="s">
        <v>55</v>
      </c>
      <c r="P752" t="s">
        <v>56</v>
      </c>
    </row>
    <row r="753" spans="1:16" x14ac:dyDescent="0.25">
      <c r="A753" t="s">
        <v>1219</v>
      </c>
      <c r="B753" s="4">
        <v>45975</v>
      </c>
      <c r="C753" s="5">
        <v>0.57708333333333328</v>
      </c>
      <c r="D753" t="s">
        <v>16</v>
      </c>
      <c r="E753" t="s">
        <v>194</v>
      </c>
      <c r="F753" s="1"/>
      <c r="G753">
        <v>1998</v>
      </c>
      <c r="H753">
        <v>1</v>
      </c>
      <c r="I753">
        <v>10</v>
      </c>
      <c r="J753" t="s">
        <v>199</v>
      </c>
      <c r="K753">
        <v>173.8</v>
      </c>
      <c r="L753">
        <v>1</v>
      </c>
      <c r="M753">
        <v>152.80000000000001</v>
      </c>
      <c r="N753" t="s">
        <v>19</v>
      </c>
      <c r="O753" t="s">
        <v>20</v>
      </c>
    </row>
    <row r="754" spans="1:16" x14ac:dyDescent="0.25">
      <c r="A754" t="s">
        <v>1220</v>
      </c>
      <c r="B754" s="4">
        <v>45665</v>
      </c>
      <c r="C754" s="2">
        <v>0.6479166666666667</v>
      </c>
      <c r="D754" t="s">
        <v>16</v>
      </c>
      <c r="E754" t="s">
        <v>776</v>
      </c>
      <c r="F754" s="1"/>
      <c r="G754">
        <v>1974</v>
      </c>
      <c r="H754">
        <v>4</v>
      </c>
      <c r="I754">
        <v>8</v>
      </c>
      <c r="J754" t="s">
        <v>110</v>
      </c>
      <c r="K754">
        <v>126.6</v>
      </c>
      <c r="L754">
        <v>1</v>
      </c>
      <c r="M754">
        <v>126.6</v>
      </c>
      <c r="N754" t="s">
        <v>19</v>
      </c>
      <c r="O754" t="s">
        <v>20</v>
      </c>
      <c r="P754" t="s">
        <v>74</v>
      </c>
    </row>
    <row r="755" spans="1:16" x14ac:dyDescent="0.25">
      <c r="A755" t="s">
        <v>1221</v>
      </c>
      <c r="B755" t="s">
        <v>1222</v>
      </c>
      <c r="C755" s="3">
        <v>0.80100694444444442</v>
      </c>
      <c r="D755" t="s">
        <v>16</v>
      </c>
      <c r="E755" t="s">
        <v>882</v>
      </c>
      <c r="F755" s="4"/>
      <c r="G755">
        <v>1990</v>
      </c>
      <c r="H755">
        <v>12</v>
      </c>
      <c r="I755">
        <v>20</v>
      </c>
      <c r="J755" t="s">
        <v>40</v>
      </c>
      <c r="K755" t="s">
        <v>1223</v>
      </c>
      <c r="L755">
        <v>2</v>
      </c>
      <c r="M755">
        <v>422.74</v>
      </c>
      <c r="N755" t="s">
        <v>19</v>
      </c>
      <c r="O755" t="s">
        <v>89</v>
      </c>
      <c r="P755" t="s">
        <v>33</v>
      </c>
    </row>
    <row r="756" spans="1:16" x14ac:dyDescent="0.25">
      <c r="A756" t="s">
        <v>1224</v>
      </c>
      <c r="B756" s="4">
        <v>45620</v>
      </c>
      <c r="C756" s="5">
        <v>0.7993055555555556</v>
      </c>
      <c r="D756" t="s">
        <v>16</v>
      </c>
      <c r="E756" t="s">
        <v>332</v>
      </c>
      <c r="F756" s="4"/>
      <c r="G756">
        <v>1982</v>
      </c>
      <c r="H756">
        <v>3</v>
      </c>
      <c r="I756">
        <v>23</v>
      </c>
      <c r="J756" t="s">
        <v>60</v>
      </c>
      <c r="K756">
        <v>44.1</v>
      </c>
      <c r="L756">
        <v>2</v>
      </c>
      <c r="M756">
        <v>88.2</v>
      </c>
      <c r="O756" t="s">
        <v>20</v>
      </c>
      <c r="P756" t="s">
        <v>27</v>
      </c>
    </row>
    <row r="757" spans="1:16" x14ac:dyDescent="0.25">
      <c r="A757" t="s">
        <v>1225</v>
      </c>
      <c r="B757" t="s">
        <v>1226</v>
      </c>
      <c r="C757" s="2">
        <v>0.56874999999999998</v>
      </c>
      <c r="D757" t="s">
        <v>16</v>
      </c>
      <c r="E757" t="s">
        <v>492</v>
      </c>
      <c r="F757" s="4"/>
      <c r="G757">
        <v>1979</v>
      </c>
      <c r="H757">
        <v>1</v>
      </c>
      <c r="I757">
        <v>5</v>
      </c>
      <c r="J757" t="s">
        <v>164</v>
      </c>
      <c r="K757">
        <v>289.02999999999997</v>
      </c>
      <c r="L757">
        <v>2</v>
      </c>
      <c r="M757">
        <v>578.05999999999995</v>
      </c>
      <c r="N757" t="s">
        <v>41</v>
      </c>
      <c r="O757" t="s">
        <v>55</v>
      </c>
    </row>
    <row r="758" spans="1:16" x14ac:dyDescent="0.25">
      <c r="A758" t="s">
        <v>1227</v>
      </c>
      <c r="B758" s="4">
        <v>45786</v>
      </c>
      <c r="C758" s="2">
        <v>0.66180555555555554</v>
      </c>
      <c r="D758" t="s">
        <v>16</v>
      </c>
      <c r="E758" t="s">
        <v>475</v>
      </c>
      <c r="F758" s="4"/>
      <c r="G758">
        <v>1998</v>
      </c>
      <c r="H758">
        <v>6</v>
      </c>
      <c r="I758">
        <v>14</v>
      </c>
      <c r="J758" t="s">
        <v>104</v>
      </c>
      <c r="K758">
        <v>219.53</v>
      </c>
      <c r="L758">
        <v>2</v>
      </c>
      <c r="M758">
        <v>439.06</v>
      </c>
      <c r="N758" t="s">
        <v>41</v>
      </c>
      <c r="O758" t="s">
        <v>37</v>
      </c>
    </row>
    <row r="759" spans="1:16" x14ac:dyDescent="0.25">
      <c r="A759" t="s">
        <v>1228</v>
      </c>
      <c r="B759" s="4">
        <v>45847</v>
      </c>
      <c r="C759" s="2">
        <v>0.5444444444444444</v>
      </c>
      <c r="D759" t="s">
        <v>16</v>
      </c>
      <c r="E759" t="s">
        <v>140</v>
      </c>
      <c r="J759" t="s">
        <v>213</v>
      </c>
      <c r="K759">
        <v>72.14</v>
      </c>
      <c r="L759">
        <v>3</v>
      </c>
      <c r="M759">
        <v>216.42</v>
      </c>
      <c r="N759" t="s">
        <v>25</v>
      </c>
      <c r="O759" t="s">
        <v>26</v>
      </c>
      <c r="P759" t="s">
        <v>105</v>
      </c>
    </row>
    <row r="760" spans="1:16" x14ac:dyDescent="0.25">
      <c r="A760" t="s">
        <v>1229</v>
      </c>
      <c r="B760" s="1">
        <v>45944</v>
      </c>
      <c r="C760" s="3">
        <v>0.87717592592592597</v>
      </c>
      <c r="D760" t="s">
        <v>16</v>
      </c>
      <c r="E760" t="s">
        <v>136</v>
      </c>
      <c r="F760" s="4"/>
      <c r="G760">
        <v>2000</v>
      </c>
      <c r="H760">
        <v>6</v>
      </c>
      <c r="I760">
        <v>17</v>
      </c>
      <c r="J760" t="s">
        <v>73</v>
      </c>
      <c r="K760" t="s">
        <v>1230</v>
      </c>
      <c r="L760">
        <v>1</v>
      </c>
      <c r="M760">
        <v>52.61</v>
      </c>
      <c r="N760" t="s">
        <v>64</v>
      </c>
      <c r="O760" t="s">
        <v>20</v>
      </c>
      <c r="P760" t="s">
        <v>48</v>
      </c>
    </row>
    <row r="761" spans="1:16" x14ac:dyDescent="0.25">
      <c r="A761" t="s">
        <v>1231</v>
      </c>
      <c r="B761" s="1">
        <v>45827</v>
      </c>
      <c r="C761" s="3">
        <v>0.81130787037037033</v>
      </c>
      <c r="D761" t="s">
        <v>16</v>
      </c>
      <c r="E761" t="s">
        <v>50</v>
      </c>
      <c r="G761">
        <v>2003</v>
      </c>
      <c r="H761">
        <v>4</v>
      </c>
      <c r="I761">
        <v>19</v>
      </c>
      <c r="J761" t="s">
        <v>77</v>
      </c>
      <c r="K761">
        <v>84.48</v>
      </c>
      <c r="L761">
        <v>2</v>
      </c>
      <c r="M761">
        <v>154.96</v>
      </c>
      <c r="N761" t="s">
        <v>67</v>
      </c>
      <c r="O761" t="s">
        <v>37</v>
      </c>
      <c r="P761" t="s">
        <v>74</v>
      </c>
    </row>
    <row r="762" spans="1:16" x14ac:dyDescent="0.25">
      <c r="A762" t="s">
        <v>1232</v>
      </c>
      <c r="B762" s="4">
        <v>45840</v>
      </c>
      <c r="C762" s="2">
        <v>0.53263888888888888</v>
      </c>
      <c r="D762" t="s">
        <v>16</v>
      </c>
      <c r="E762" t="s">
        <v>125</v>
      </c>
      <c r="F762" s="4"/>
      <c r="G762">
        <v>2005</v>
      </c>
      <c r="H762">
        <v>10</v>
      </c>
      <c r="I762">
        <v>23</v>
      </c>
      <c r="J762" t="s">
        <v>129</v>
      </c>
      <c r="K762" t="s">
        <v>1233</v>
      </c>
      <c r="L762">
        <v>2</v>
      </c>
      <c r="M762">
        <v>386.55</v>
      </c>
      <c r="N762" t="s">
        <v>41</v>
      </c>
      <c r="O762" t="s">
        <v>37</v>
      </c>
      <c r="P762" t="s">
        <v>33</v>
      </c>
    </row>
    <row r="763" spans="1:16" x14ac:dyDescent="0.25">
      <c r="A763" t="s">
        <v>1234</v>
      </c>
      <c r="B763" s="1">
        <v>45919</v>
      </c>
      <c r="C763" s="2">
        <v>0.72152777777777777</v>
      </c>
      <c r="D763" t="s">
        <v>16</v>
      </c>
      <c r="E763" t="s">
        <v>764</v>
      </c>
      <c r="F763" s="4"/>
      <c r="G763">
        <v>2002</v>
      </c>
      <c r="H763">
        <v>12</v>
      </c>
      <c r="I763">
        <v>16</v>
      </c>
      <c r="J763" t="s">
        <v>30</v>
      </c>
      <c r="K763">
        <v>258.77999999999997</v>
      </c>
      <c r="L763">
        <v>2</v>
      </c>
      <c r="M763">
        <v>517.55999999999995</v>
      </c>
      <c r="N763" t="s">
        <v>19</v>
      </c>
      <c r="O763" t="s">
        <v>47</v>
      </c>
      <c r="P763" t="s">
        <v>48</v>
      </c>
    </row>
    <row r="764" spans="1:16" x14ac:dyDescent="0.25">
      <c r="A764" t="s">
        <v>1235</v>
      </c>
      <c r="B764" t="s">
        <v>1106</v>
      </c>
      <c r="C764" s="2">
        <v>0.60347222222222219</v>
      </c>
      <c r="D764" t="s">
        <v>16</v>
      </c>
      <c r="E764" t="s">
        <v>138</v>
      </c>
      <c r="F764" s="1"/>
      <c r="G764">
        <v>1995</v>
      </c>
      <c r="H764">
        <v>1</v>
      </c>
      <c r="I764">
        <v>25</v>
      </c>
      <c r="J764" t="s">
        <v>30</v>
      </c>
      <c r="K764">
        <v>308.61</v>
      </c>
      <c r="L764">
        <v>1</v>
      </c>
      <c r="M764">
        <v>327.61</v>
      </c>
      <c r="N764" t="s">
        <v>41</v>
      </c>
      <c r="O764" t="s">
        <v>20</v>
      </c>
      <c r="P764" t="s">
        <v>21</v>
      </c>
    </row>
    <row r="765" spans="1:16" x14ac:dyDescent="0.25">
      <c r="A765" t="s">
        <v>1236</v>
      </c>
      <c r="B765" s="4">
        <v>45813</v>
      </c>
      <c r="C765" s="3">
        <v>0.47662037037037036</v>
      </c>
      <c r="D765" t="s">
        <v>16</v>
      </c>
      <c r="E765" t="s">
        <v>451</v>
      </c>
      <c r="G765">
        <v>1987</v>
      </c>
      <c r="H765">
        <v>6</v>
      </c>
      <c r="I765">
        <v>16</v>
      </c>
      <c r="J765" t="s">
        <v>116</v>
      </c>
      <c r="K765" t="s">
        <v>1237</v>
      </c>
      <c r="L765">
        <v>2</v>
      </c>
      <c r="M765">
        <v>474.97</v>
      </c>
      <c r="N765" t="s">
        <v>41</v>
      </c>
      <c r="O765" t="s">
        <v>89</v>
      </c>
      <c r="P765" t="s">
        <v>105</v>
      </c>
    </row>
    <row r="766" spans="1:16" x14ac:dyDescent="0.25">
      <c r="A766" t="s">
        <v>1238</v>
      </c>
      <c r="B766" t="s">
        <v>1239</v>
      </c>
      <c r="C766" s="5">
        <v>0.63611111111111107</v>
      </c>
      <c r="D766" t="s">
        <v>16</v>
      </c>
      <c r="E766" t="s">
        <v>35</v>
      </c>
      <c r="J766" t="s">
        <v>213</v>
      </c>
      <c r="K766">
        <v>52.66</v>
      </c>
      <c r="L766">
        <v>2</v>
      </c>
      <c r="M766">
        <v>105.32</v>
      </c>
      <c r="N766" t="s">
        <v>19</v>
      </c>
      <c r="O766" t="s">
        <v>61</v>
      </c>
      <c r="P766" t="s">
        <v>105</v>
      </c>
    </row>
    <row r="767" spans="1:16" x14ac:dyDescent="0.25">
      <c r="A767" t="s">
        <v>1240</v>
      </c>
      <c r="B767" s="4">
        <v>45742</v>
      </c>
      <c r="C767" s="3">
        <v>0.8054513888888889</v>
      </c>
      <c r="D767" t="s">
        <v>16</v>
      </c>
      <c r="E767" t="s">
        <v>492</v>
      </c>
      <c r="F767" s="4"/>
      <c r="G767">
        <v>1981</v>
      </c>
      <c r="H767">
        <v>1</v>
      </c>
      <c r="I767">
        <v>26</v>
      </c>
      <c r="J767" t="s">
        <v>199</v>
      </c>
      <c r="K767">
        <v>250.48</v>
      </c>
      <c r="L767">
        <v>2</v>
      </c>
      <c r="M767">
        <v>500.96</v>
      </c>
      <c r="O767" t="s">
        <v>61</v>
      </c>
    </row>
    <row r="768" spans="1:16" x14ac:dyDescent="0.25">
      <c r="A768" t="s">
        <v>1241</v>
      </c>
      <c r="B768" s="1">
        <v>45686</v>
      </c>
      <c r="C768" s="5">
        <v>0.52430555555555558</v>
      </c>
      <c r="D768" t="s">
        <v>16</v>
      </c>
      <c r="E768" t="s">
        <v>411</v>
      </c>
      <c r="F768" s="1"/>
      <c r="G768">
        <v>1970</v>
      </c>
      <c r="H768">
        <v>5</v>
      </c>
      <c r="I768">
        <v>11</v>
      </c>
      <c r="J768" t="s">
        <v>141</v>
      </c>
      <c r="K768">
        <v>-167.27</v>
      </c>
      <c r="L768">
        <v>1</v>
      </c>
      <c r="M768">
        <v>-167.27</v>
      </c>
      <c r="N768" t="s">
        <v>64</v>
      </c>
      <c r="O768" t="s">
        <v>55</v>
      </c>
      <c r="P768" t="s">
        <v>27</v>
      </c>
    </row>
    <row r="769" spans="1:16" x14ac:dyDescent="0.25">
      <c r="A769" t="s">
        <v>1242</v>
      </c>
      <c r="B769" s="4">
        <v>45953</v>
      </c>
      <c r="C769" s="3">
        <v>0.53170138888888885</v>
      </c>
      <c r="D769" t="s">
        <v>16</v>
      </c>
      <c r="E769" t="s">
        <v>389</v>
      </c>
      <c r="G769">
        <v>1972</v>
      </c>
      <c r="H769">
        <v>4</v>
      </c>
      <c r="I769">
        <v>3</v>
      </c>
      <c r="J769" t="s">
        <v>77</v>
      </c>
      <c r="K769">
        <v>53.42</v>
      </c>
      <c r="L769">
        <v>2</v>
      </c>
      <c r="M769">
        <v>106.84</v>
      </c>
      <c r="O769" t="s">
        <v>32</v>
      </c>
      <c r="P769" t="s">
        <v>56</v>
      </c>
    </row>
    <row r="770" spans="1:16" x14ac:dyDescent="0.25">
      <c r="A770" t="s">
        <v>1243</v>
      </c>
      <c r="B770" s="4">
        <v>45675</v>
      </c>
      <c r="C770" s="2">
        <v>0.7895833333333333</v>
      </c>
      <c r="D770" t="s">
        <v>16</v>
      </c>
      <c r="E770" t="s">
        <v>158</v>
      </c>
      <c r="F770" s="1"/>
      <c r="G770">
        <v>2002</v>
      </c>
      <c r="H770">
        <v>9</v>
      </c>
      <c r="I770">
        <v>25</v>
      </c>
      <c r="J770" t="s">
        <v>126</v>
      </c>
      <c r="K770">
        <v>130.30000000000001</v>
      </c>
      <c r="L770">
        <v>2</v>
      </c>
      <c r="M770">
        <v>292.60000000000002</v>
      </c>
      <c r="N770" t="s">
        <v>31</v>
      </c>
      <c r="O770" t="s">
        <v>89</v>
      </c>
      <c r="P770" t="s">
        <v>27</v>
      </c>
    </row>
    <row r="771" spans="1:16" x14ac:dyDescent="0.25">
      <c r="A771" t="s">
        <v>1244</v>
      </c>
      <c r="B771" t="s">
        <v>1245</v>
      </c>
      <c r="C771" s="5">
        <v>0.62430555555555556</v>
      </c>
      <c r="D771" t="s">
        <v>16</v>
      </c>
      <c r="E771" t="s">
        <v>1246</v>
      </c>
      <c r="G771">
        <v>1995</v>
      </c>
      <c r="H771">
        <v>3</v>
      </c>
      <c r="I771">
        <v>27</v>
      </c>
      <c r="J771" t="s">
        <v>164</v>
      </c>
      <c r="K771">
        <v>361.62</v>
      </c>
      <c r="L771">
        <v>1</v>
      </c>
      <c r="M771">
        <v>361.62</v>
      </c>
      <c r="N771" t="s">
        <v>64</v>
      </c>
      <c r="O771" t="s">
        <v>89</v>
      </c>
      <c r="P771" t="s">
        <v>74</v>
      </c>
    </row>
    <row r="772" spans="1:16" x14ac:dyDescent="0.25">
      <c r="A772" t="s">
        <v>1247</v>
      </c>
      <c r="B772" s="4">
        <v>45935</v>
      </c>
      <c r="C772" s="5">
        <v>0.70763888888888893</v>
      </c>
      <c r="D772" t="s">
        <v>16</v>
      </c>
      <c r="E772" t="s">
        <v>358</v>
      </c>
      <c r="G772">
        <v>1991</v>
      </c>
      <c r="H772">
        <v>12</v>
      </c>
      <c r="I772">
        <v>12</v>
      </c>
      <c r="J772" t="s">
        <v>93</v>
      </c>
      <c r="K772">
        <v>228.13</v>
      </c>
      <c r="L772">
        <v>2</v>
      </c>
      <c r="M772">
        <v>456.26</v>
      </c>
      <c r="O772" t="s">
        <v>55</v>
      </c>
    </row>
    <row r="773" spans="1:16" x14ac:dyDescent="0.25">
      <c r="A773" t="s">
        <v>1248</v>
      </c>
      <c r="B773" t="s">
        <v>644</v>
      </c>
      <c r="C773" s="3">
        <v>0.80607638888888888</v>
      </c>
      <c r="D773" t="s">
        <v>16</v>
      </c>
      <c r="E773" t="s">
        <v>123</v>
      </c>
      <c r="F773" s="4"/>
      <c r="G773">
        <v>1982</v>
      </c>
      <c r="H773">
        <v>10</v>
      </c>
      <c r="I773">
        <v>17</v>
      </c>
      <c r="J773" t="s">
        <v>243</v>
      </c>
      <c r="K773">
        <v>152.94</v>
      </c>
      <c r="L773">
        <v>2</v>
      </c>
      <c r="M773">
        <v>305.88</v>
      </c>
      <c r="N773" t="s">
        <v>31</v>
      </c>
      <c r="O773" t="s">
        <v>37</v>
      </c>
      <c r="P773" t="s">
        <v>74</v>
      </c>
    </row>
    <row r="774" spans="1:16" x14ac:dyDescent="0.25">
      <c r="A774" t="s">
        <v>1249</v>
      </c>
      <c r="B774" s="1">
        <v>45898</v>
      </c>
      <c r="C774" s="3">
        <v>0.77254629629629634</v>
      </c>
      <c r="D774" t="s">
        <v>16</v>
      </c>
      <c r="E774" t="s">
        <v>261</v>
      </c>
      <c r="F774" s="4"/>
      <c r="G774">
        <v>1971</v>
      </c>
      <c r="H774">
        <v>11</v>
      </c>
      <c r="I774">
        <v>16</v>
      </c>
      <c r="J774" t="s">
        <v>104</v>
      </c>
      <c r="K774">
        <v>328.28</v>
      </c>
      <c r="L774">
        <v>3</v>
      </c>
      <c r="M774">
        <v>984.84</v>
      </c>
      <c r="N774" t="s">
        <v>31</v>
      </c>
      <c r="O774" t="s">
        <v>26</v>
      </c>
    </row>
    <row r="775" spans="1:16" x14ac:dyDescent="0.25">
      <c r="A775" t="s">
        <v>1250</v>
      </c>
      <c r="B775" s="4">
        <v>45685</v>
      </c>
      <c r="C775" s="5">
        <v>0.86944444444444446</v>
      </c>
      <c r="D775" t="s">
        <v>16</v>
      </c>
      <c r="E775" t="s">
        <v>204</v>
      </c>
      <c r="F775" s="4"/>
      <c r="G775">
        <v>2008</v>
      </c>
      <c r="H775">
        <v>1</v>
      </c>
      <c r="I775">
        <v>28</v>
      </c>
      <c r="J775" t="s">
        <v>60</v>
      </c>
      <c r="K775">
        <v>97.2</v>
      </c>
      <c r="L775">
        <v>2</v>
      </c>
      <c r="M775">
        <v>194.4</v>
      </c>
      <c r="O775" t="s">
        <v>55</v>
      </c>
      <c r="P775" t="s">
        <v>33</v>
      </c>
    </row>
    <row r="776" spans="1:16" x14ac:dyDescent="0.25">
      <c r="A776" t="s">
        <v>1251</v>
      </c>
      <c r="B776" t="s">
        <v>273</v>
      </c>
      <c r="C776" s="2">
        <v>0.72222222222222221</v>
      </c>
      <c r="D776" t="s">
        <v>16</v>
      </c>
      <c r="E776" t="s">
        <v>227</v>
      </c>
      <c r="F776" s="4"/>
      <c r="G776">
        <v>1984</v>
      </c>
      <c r="H776">
        <v>4</v>
      </c>
      <c r="I776">
        <v>11</v>
      </c>
      <c r="J776" t="s">
        <v>85</v>
      </c>
      <c r="K776">
        <v>343.18</v>
      </c>
      <c r="L776">
        <v>2</v>
      </c>
      <c r="M776">
        <v>686.36</v>
      </c>
      <c r="N776" t="s">
        <v>64</v>
      </c>
      <c r="O776" t="s">
        <v>37</v>
      </c>
      <c r="P776" t="s">
        <v>21</v>
      </c>
    </row>
    <row r="777" spans="1:16" x14ac:dyDescent="0.25">
      <c r="A777" t="s">
        <v>1252</v>
      </c>
      <c r="B777" s="4">
        <v>45885</v>
      </c>
      <c r="C777" s="3">
        <v>0.76232638888888893</v>
      </c>
      <c r="D777" t="s">
        <v>16</v>
      </c>
      <c r="E777" t="s">
        <v>136</v>
      </c>
      <c r="F777" s="4"/>
      <c r="G777">
        <v>2004</v>
      </c>
      <c r="H777">
        <v>4</v>
      </c>
      <c r="I777">
        <v>4</v>
      </c>
      <c r="J777" t="s">
        <v>202</v>
      </c>
      <c r="K777">
        <v>150.09</v>
      </c>
      <c r="L777">
        <v>3</v>
      </c>
      <c r="M777">
        <v>450.27</v>
      </c>
      <c r="N777" t="s">
        <v>31</v>
      </c>
      <c r="O777" t="s">
        <v>26</v>
      </c>
      <c r="P777" t="s">
        <v>105</v>
      </c>
    </row>
    <row r="778" spans="1:16" x14ac:dyDescent="0.25">
      <c r="A778" t="s">
        <v>1253</v>
      </c>
      <c r="B778" t="s">
        <v>1254</v>
      </c>
      <c r="C778" s="5">
        <v>0.81111111111111112</v>
      </c>
      <c r="D778" t="s">
        <v>16</v>
      </c>
      <c r="E778" t="s">
        <v>492</v>
      </c>
      <c r="G778">
        <v>2010</v>
      </c>
      <c r="H778">
        <v>5</v>
      </c>
      <c r="I778">
        <v>12</v>
      </c>
      <c r="J778" t="s">
        <v>199</v>
      </c>
      <c r="K778">
        <v>244.35</v>
      </c>
      <c r="L778">
        <v>1</v>
      </c>
      <c r="M778">
        <v>244.35</v>
      </c>
      <c r="N778" t="s">
        <v>64</v>
      </c>
      <c r="O778" t="s">
        <v>61</v>
      </c>
      <c r="P778" t="s">
        <v>33</v>
      </c>
    </row>
    <row r="779" spans="1:16" x14ac:dyDescent="0.25">
      <c r="A779" t="s">
        <v>1255</v>
      </c>
      <c r="B779" s="4">
        <v>45872</v>
      </c>
      <c r="C779" s="2">
        <v>0.96319444444444446</v>
      </c>
      <c r="D779" t="s">
        <v>16</v>
      </c>
      <c r="E779" t="s">
        <v>163</v>
      </c>
      <c r="F779" s="4"/>
      <c r="G779">
        <v>2008</v>
      </c>
      <c r="H779">
        <v>12</v>
      </c>
      <c r="I779">
        <v>22</v>
      </c>
      <c r="J779" t="s">
        <v>126</v>
      </c>
      <c r="K779">
        <v>174.3</v>
      </c>
      <c r="L779">
        <v>1</v>
      </c>
      <c r="M779">
        <v>174.3</v>
      </c>
      <c r="N779" t="s">
        <v>31</v>
      </c>
      <c r="O779" t="s">
        <v>32</v>
      </c>
      <c r="P779" t="s">
        <v>21</v>
      </c>
    </row>
    <row r="780" spans="1:16" x14ac:dyDescent="0.25">
      <c r="A780" t="s">
        <v>1256</v>
      </c>
      <c r="B780" s="1">
        <v>45898</v>
      </c>
      <c r="C780" s="3">
        <v>0.7608449074074074</v>
      </c>
      <c r="D780" t="s">
        <v>16</v>
      </c>
      <c r="E780" t="s">
        <v>594</v>
      </c>
      <c r="F780" s="4"/>
      <c r="G780">
        <v>1989</v>
      </c>
      <c r="H780">
        <v>5</v>
      </c>
      <c r="I780">
        <v>26</v>
      </c>
      <c r="J780" t="s">
        <v>40</v>
      </c>
      <c r="K780">
        <v>216.16</v>
      </c>
      <c r="L780">
        <v>3</v>
      </c>
      <c r="M780">
        <v>648.48</v>
      </c>
      <c r="N780" t="s">
        <v>54</v>
      </c>
      <c r="O780" t="s">
        <v>32</v>
      </c>
      <c r="P780" t="s">
        <v>105</v>
      </c>
    </row>
    <row r="781" spans="1:16" x14ac:dyDescent="0.25">
      <c r="A781" t="s">
        <v>1257</v>
      </c>
      <c r="B781" s="4">
        <v>45699</v>
      </c>
      <c r="C781" s="3">
        <v>0.77923611111111113</v>
      </c>
      <c r="D781" t="s">
        <v>16</v>
      </c>
      <c r="E781" t="s">
        <v>138</v>
      </c>
      <c r="F781" s="4"/>
      <c r="G781">
        <v>1988</v>
      </c>
      <c r="H781">
        <v>2</v>
      </c>
      <c r="I781">
        <v>8</v>
      </c>
      <c r="J781" t="s">
        <v>126</v>
      </c>
      <c r="K781">
        <v>123.31</v>
      </c>
      <c r="L781">
        <v>1</v>
      </c>
      <c r="M781">
        <v>123.31</v>
      </c>
      <c r="N781" t="s">
        <v>67</v>
      </c>
      <c r="O781" t="s">
        <v>47</v>
      </c>
      <c r="P781" t="s">
        <v>105</v>
      </c>
    </row>
    <row r="782" spans="1:16" x14ac:dyDescent="0.25">
      <c r="A782" t="s">
        <v>1258</v>
      </c>
      <c r="B782" s="1">
        <v>45694</v>
      </c>
      <c r="C782" s="2">
        <v>0.87569444444444444</v>
      </c>
      <c r="D782" t="s">
        <v>16</v>
      </c>
      <c r="E782" t="s">
        <v>79</v>
      </c>
      <c r="F782" s="1"/>
      <c r="G782">
        <v>1977</v>
      </c>
      <c r="H782">
        <v>9</v>
      </c>
      <c r="I782">
        <v>7</v>
      </c>
      <c r="J782" t="s">
        <v>73</v>
      </c>
      <c r="K782">
        <v>44.71</v>
      </c>
      <c r="L782">
        <v>1</v>
      </c>
      <c r="M782">
        <v>44.71</v>
      </c>
      <c r="N782" t="s">
        <v>41</v>
      </c>
      <c r="O782" t="s">
        <v>37</v>
      </c>
      <c r="P782" t="s">
        <v>33</v>
      </c>
    </row>
    <row r="783" spans="1:16" x14ac:dyDescent="0.25">
      <c r="A783" t="s">
        <v>1259</v>
      </c>
      <c r="B783" s="4">
        <v>45754</v>
      </c>
      <c r="C783" s="2">
        <v>0.49791666666666667</v>
      </c>
      <c r="D783" t="s">
        <v>16</v>
      </c>
      <c r="E783" t="s">
        <v>187</v>
      </c>
      <c r="G783">
        <v>2001</v>
      </c>
      <c r="H783">
        <v>6</v>
      </c>
      <c r="I783">
        <v>20</v>
      </c>
      <c r="J783" t="s">
        <v>93</v>
      </c>
      <c r="K783">
        <v>207.03</v>
      </c>
      <c r="L783">
        <v>2</v>
      </c>
      <c r="M783">
        <v>402.06</v>
      </c>
      <c r="N783" t="s">
        <v>64</v>
      </c>
      <c r="O783" t="s">
        <v>20</v>
      </c>
      <c r="P783" t="s">
        <v>48</v>
      </c>
    </row>
    <row r="784" spans="1:16" x14ac:dyDescent="0.25">
      <c r="A784" t="s">
        <v>1260</v>
      </c>
      <c r="B784" t="s">
        <v>1261</v>
      </c>
      <c r="C784" s="2">
        <v>0.9604166666666667</v>
      </c>
      <c r="D784" t="s">
        <v>16</v>
      </c>
      <c r="E784" t="s">
        <v>95</v>
      </c>
      <c r="G784">
        <v>1983</v>
      </c>
      <c r="H784">
        <v>2</v>
      </c>
      <c r="I784">
        <v>19</v>
      </c>
      <c r="J784" t="s">
        <v>40</v>
      </c>
      <c r="K784">
        <v>202.53</v>
      </c>
      <c r="L784">
        <v>2</v>
      </c>
      <c r="M784" t="s">
        <v>1262</v>
      </c>
      <c r="N784" t="s">
        <v>64</v>
      </c>
      <c r="O784" t="s">
        <v>55</v>
      </c>
      <c r="P784" t="s">
        <v>27</v>
      </c>
    </row>
    <row r="785" spans="1:16" x14ac:dyDescent="0.25">
      <c r="A785" t="s">
        <v>1263</v>
      </c>
      <c r="B785" s="4">
        <v>45788</v>
      </c>
      <c r="C785" s="3">
        <v>0.99988425925925928</v>
      </c>
      <c r="D785" t="s">
        <v>16</v>
      </c>
      <c r="E785" t="s">
        <v>299</v>
      </c>
      <c r="G785">
        <v>1991</v>
      </c>
      <c r="H785">
        <v>12</v>
      </c>
      <c r="I785">
        <v>12</v>
      </c>
      <c r="J785" t="s">
        <v>116</v>
      </c>
      <c r="K785">
        <v>91.85</v>
      </c>
      <c r="L785">
        <v>2</v>
      </c>
      <c r="M785">
        <v>183.7</v>
      </c>
      <c r="N785" t="s">
        <v>41</v>
      </c>
      <c r="O785" t="s">
        <v>32</v>
      </c>
      <c r="P785" t="s">
        <v>21</v>
      </c>
    </row>
    <row r="786" spans="1:16" x14ac:dyDescent="0.25">
      <c r="A786" t="s">
        <v>1264</v>
      </c>
      <c r="B786" t="s">
        <v>1265</v>
      </c>
      <c r="C786" s="2">
        <v>0.7729166666666667</v>
      </c>
      <c r="D786" t="s">
        <v>16</v>
      </c>
      <c r="E786" t="s">
        <v>1081</v>
      </c>
      <c r="F786" s="1"/>
      <c r="G786">
        <v>1970</v>
      </c>
      <c r="H786">
        <v>5</v>
      </c>
      <c r="I786">
        <v>1</v>
      </c>
      <c r="J786" t="s">
        <v>104</v>
      </c>
      <c r="K786">
        <v>277.66000000000003</v>
      </c>
      <c r="L786">
        <v>2</v>
      </c>
      <c r="M786">
        <v>555.32000000000005</v>
      </c>
      <c r="N786" t="s">
        <v>67</v>
      </c>
      <c r="O786" t="s">
        <v>26</v>
      </c>
      <c r="P786" t="s">
        <v>56</v>
      </c>
    </row>
    <row r="787" spans="1:16" x14ac:dyDescent="0.25">
      <c r="A787" t="s">
        <v>1266</v>
      </c>
      <c r="B787" s="1">
        <v>45664</v>
      </c>
      <c r="C787" s="2">
        <v>0.56041666666666667</v>
      </c>
      <c r="D787" t="s">
        <v>16</v>
      </c>
      <c r="E787" t="s">
        <v>194</v>
      </c>
      <c r="F787" s="1"/>
      <c r="G787">
        <v>1970</v>
      </c>
      <c r="H787">
        <v>8</v>
      </c>
      <c r="I787">
        <v>26</v>
      </c>
      <c r="J787" t="s">
        <v>202</v>
      </c>
      <c r="K787">
        <v>106</v>
      </c>
      <c r="L787">
        <v>1</v>
      </c>
      <c r="M787">
        <v>106</v>
      </c>
      <c r="N787" t="s">
        <v>67</v>
      </c>
      <c r="O787" t="s">
        <v>47</v>
      </c>
      <c r="P787" t="s">
        <v>21</v>
      </c>
    </row>
    <row r="788" spans="1:16" x14ac:dyDescent="0.25">
      <c r="A788" t="s">
        <v>1267</v>
      </c>
      <c r="B788" s="4">
        <v>45807</v>
      </c>
      <c r="C788" s="5">
        <v>0.90763888888888888</v>
      </c>
      <c r="D788" t="s">
        <v>16</v>
      </c>
      <c r="E788" t="s">
        <v>1268</v>
      </c>
      <c r="F788" s="4"/>
      <c r="G788">
        <v>1981</v>
      </c>
      <c r="H788">
        <v>9</v>
      </c>
      <c r="I788">
        <v>14</v>
      </c>
      <c r="J788" t="s">
        <v>36</v>
      </c>
      <c r="K788">
        <v>339.44</v>
      </c>
      <c r="L788">
        <v>2</v>
      </c>
      <c r="M788">
        <v>668.88</v>
      </c>
      <c r="N788" t="s">
        <v>64</v>
      </c>
      <c r="O788" t="s">
        <v>37</v>
      </c>
      <c r="P788" t="s">
        <v>105</v>
      </c>
    </row>
    <row r="789" spans="1:16" x14ac:dyDescent="0.25">
      <c r="A789" t="s">
        <v>1269</v>
      </c>
      <c r="B789" t="s">
        <v>847</v>
      </c>
      <c r="C789" s="5">
        <v>0.70625000000000004</v>
      </c>
      <c r="D789" t="s">
        <v>16</v>
      </c>
      <c r="E789" t="s">
        <v>29</v>
      </c>
      <c r="F789" s="4"/>
      <c r="G789">
        <v>1978</v>
      </c>
      <c r="H789">
        <v>5</v>
      </c>
      <c r="I789">
        <v>2</v>
      </c>
      <c r="J789" t="s">
        <v>36</v>
      </c>
      <c r="K789">
        <v>240.13</v>
      </c>
      <c r="L789">
        <v>1</v>
      </c>
      <c r="M789">
        <v>240.13</v>
      </c>
      <c r="N789" t="s">
        <v>25</v>
      </c>
      <c r="O789" t="s">
        <v>47</v>
      </c>
      <c r="P789" t="s">
        <v>33</v>
      </c>
    </row>
    <row r="790" spans="1:16" x14ac:dyDescent="0.25">
      <c r="A790" t="s">
        <v>1270</v>
      </c>
      <c r="B790" s="4">
        <v>45911</v>
      </c>
      <c r="C790" s="5">
        <v>0.84097222222222223</v>
      </c>
      <c r="D790" t="s">
        <v>16</v>
      </c>
      <c r="E790" t="s">
        <v>338</v>
      </c>
      <c r="G790">
        <v>1983</v>
      </c>
      <c r="H790">
        <v>3</v>
      </c>
      <c r="I790">
        <v>8</v>
      </c>
      <c r="J790" t="s">
        <v>129</v>
      </c>
      <c r="K790">
        <v>154.1</v>
      </c>
      <c r="L790">
        <v>1</v>
      </c>
      <c r="M790">
        <v>154.1</v>
      </c>
      <c r="N790" t="s">
        <v>31</v>
      </c>
      <c r="O790" t="s">
        <v>20</v>
      </c>
      <c r="P790" t="s">
        <v>33</v>
      </c>
    </row>
    <row r="791" spans="1:16" x14ac:dyDescent="0.25">
      <c r="A791" t="s">
        <v>1271</v>
      </c>
      <c r="B791" s="4">
        <v>45754</v>
      </c>
      <c r="C791" s="3">
        <v>0.91084490740740742</v>
      </c>
      <c r="D791" t="s">
        <v>16</v>
      </c>
      <c r="E791" t="s">
        <v>84</v>
      </c>
      <c r="G791">
        <v>2000</v>
      </c>
      <c r="H791">
        <v>11</v>
      </c>
      <c r="I791">
        <v>28</v>
      </c>
      <c r="J791" t="s">
        <v>178</v>
      </c>
      <c r="K791">
        <v>302.73</v>
      </c>
      <c r="L791">
        <v>2</v>
      </c>
      <c r="M791">
        <v>605.46</v>
      </c>
      <c r="N791" t="s">
        <v>19</v>
      </c>
      <c r="O791" t="s">
        <v>89</v>
      </c>
    </row>
    <row r="792" spans="1:16" x14ac:dyDescent="0.25">
      <c r="A792" t="s">
        <v>1272</v>
      </c>
      <c r="B792" s="1">
        <v>45816</v>
      </c>
      <c r="C792" s="2">
        <v>0.92708333333333337</v>
      </c>
      <c r="D792" t="s">
        <v>16</v>
      </c>
      <c r="E792" t="s">
        <v>140</v>
      </c>
      <c r="G792">
        <v>1989</v>
      </c>
      <c r="H792">
        <v>2</v>
      </c>
      <c r="I792">
        <v>9</v>
      </c>
      <c r="J792" t="s">
        <v>178</v>
      </c>
      <c r="K792">
        <v>261.07</v>
      </c>
      <c r="L792">
        <v>1</v>
      </c>
      <c r="M792">
        <v>261.07</v>
      </c>
      <c r="N792" t="s">
        <v>31</v>
      </c>
      <c r="O792" t="s">
        <v>37</v>
      </c>
    </row>
    <row r="793" spans="1:16" x14ac:dyDescent="0.25">
      <c r="A793" t="s">
        <v>1273</v>
      </c>
      <c r="B793" s="4">
        <v>45790</v>
      </c>
      <c r="C793" s="2">
        <v>0.59166666666666667</v>
      </c>
      <c r="D793" t="s">
        <v>16</v>
      </c>
      <c r="E793" t="s">
        <v>267</v>
      </c>
      <c r="F793" s="1"/>
      <c r="G793">
        <v>1976</v>
      </c>
      <c r="H793">
        <v>6</v>
      </c>
      <c r="I793">
        <v>16</v>
      </c>
      <c r="J793" t="s">
        <v>30</v>
      </c>
      <c r="K793">
        <v>292.67</v>
      </c>
      <c r="L793">
        <v>3</v>
      </c>
      <c r="M793">
        <v>878.01</v>
      </c>
      <c r="N793" t="s">
        <v>54</v>
      </c>
      <c r="O793" t="s">
        <v>20</v>
      </c>
      <c r="P793" t="s">
        <v>21</v>
      </c>
    </row>
    <row r="794" spans="1:16" x14ac:dyDescent="0.25">
      <c r="A794" t="s">
        <v>1274</v>
      </c>
      <c r="B794" s="4">
        <v>45818</v>
      </c>
      <c r="C794" s="2">
        <v>0.60833333333333328</v>
      </c>
      <c r="D794" t="s">
        <v>16</v>
      </c>
      <c r="E794" t="s">
        <v>109</v>
      </c>
      <c r="F794" s="4"/>
      <c r="G794">
        <v>2004</v>
      </c>
      <c r="H794">
        <v>11</v>
      </c>
      <c r="I794">
        <v>3</v>
      </c>
      <c r="J794" t="s">
        <v>104</v>
      </c>
      <c r="K794">
        <v>263.24</v>
      </c>
      <c r="L794">
        <v>1</v>
      </c>
      <c r="M794">
        <v>263.24</v>
      </c>
      <c r="O794" t="s">
        <v>37</v>
      </c>
      <c r="P794" t="s">
        <v>105</v>
      </c>
    </row>
    <row r="795" spans="1:16" x14ac:dyDescent="0.25">
      <c r="A795" t="s">
        <v>1275</v>
      </c>
      <c r="B795" t="s">
        <v>847</v>
      </c>
      <c r="C795" s="2">
        <v>0.97916666666666663</v>
      </c>
      <c r="D795" t="s">
        <v>16</v>
      </c>
      <c r="E795" t="s">
        <v>512</v>
      </c>
      <c r="F795" s="4"/>
      <c r="G795">
        <v>1987</v>
      </c>
      <c r="H795">
        <v>10</v>
      </c>
      <c r="I795">
        <v>7</v>
      </c>
      <c r="J795" t="s">
        <v>60</v>
      </c>
      <c r="K795">
        <v>94.4</v>
      </c>
      <c r="L795">
        <v>1</v>
      </c>
      <c r="M795">
        <v>94.4</v>
      </c>
      <c r="N795" t="s">
        <v>64</v>
      </c>
      <c r="O795" t="s">
        <v>20</v>
      </c>
      <c r="P795" t="s">
        <v>33</v>
      </c>
    </row>
    <row r="796" spans="1:16" x14ac:dyDescent="0.25">
      <c r="A796" t="s">
        <v>1276</v>
      </c>
      <c r="B796" t="s">
        <v>100</v>
      </c>
      <c r="C796" s="2">
        <v>0.53263888888888888</v>
      </c>
      <c r="D796" t="s">
        <v>16</v>
      </c>
      <c r="E796" t="s">
        <v>1010</v>
      </c>
      <c r="F796" s="1"/>
      <c r="G796">
        <v>2006</v>
      </c>
      <c r="H796">
        <v>5</v>
      </c>
      <c r="I796">
        <v>17</v>
      </c>
      <c r="J796" t="s">
        <v>126</v>
      </c>
      <c r="K796">
        <v>131</v>
      </c>
      <c r="L796">
        <v>3</v>
      </c>
      <c r="M796">
        <v>393</v>
      </c>
      <c r="N796" t="s">
        <v>19</v>
      </c>
      <c r="O796" t="s">
        <v>55</v>
      </c>
      <c r="P796" t="s">
        <v>21</v>
      </c>
    </row>
    <row r="797" spans="1:16" x14ac:dyDescent="0.25">
      <c r="A797" t="s">
        <v>1277</v>
      </c>
      <c r="B797" s="1">
        <v>45816</v>
      </c>
      <c r="C797" s="5">
        <v>0.9506944444444444</v>
      </c>
      <c r="D797" t="s">
        <v>16</v>
      </c>
      <c r="E797" t="s">
        <v>622</v>
      </c>
      <c r="G797">
        <v>2008</v>
      </c>
      <c r="H797">
        <v>5</v>
      </c>
      <c r="I797">
        <v>24</v>
      </c>
      <c r="J797" t="s">
        <v>110</v>
      </c>
      <c r="K797">
        <v>100.77</v>
      </c>
      <c r="L797">
        <v>1</v>
      </c>
      <c r="M797">
        <v>100.77</v>
      </c>
      <c r="N797" t="s">
        <v>25</v>
      </c>
      <c r="O797" t="s">
        <v>26</v>
      </c>
      <c r="P797" t="s">
        <v>105</v>
      </c>
    </row>
    <row r="798" spans="1:16" x14ac:dyDescent="0.25">
      <c r="A798" t="s">
        <v>1278</v>
      </c>
      <c r="B798" t="s">
        <v>1279</v>
      </c>
      <c r="C798" s="5">
        <v>0.80069444444444449</v>
      </c>
      <c r="D798" t="s">
        <v>16</v>
      </c>
      <c r="E798" t="s">
        <v>158</v>
      </c>
      <c r="J798" t="s">
        <v>141</v>
      </c>
      <c r="K798">
        <v>147.37</v>
      </c>
      <c r="L798">
        <v>2</v>
      </c>
      <c r="M798">
        <v>294.74</v>
      </c>
      <c r="N798" t="s">
        <v>54</v>
      </c>
      <c r="O798" t="s">
        <v>26</v>
      </c>
      <c r="P798" t="s">
        <v>105</v>
      </c>
    </row>
    <row r="799" spans="1:16" x14ac:dyDescent="0.25">
      <c r="A799" t="s">
        <v>1280</v>
      </c>
      <c r="B799" s="4">
        <v>45743</v>
      </c>
      <c r="C799" s="3">
        <v>0.99250000000000005</v>
      </c>
      <c r="D799" t="s">
        <v>16</v>
      </c>
      <c r="E799" t="s">
        <v>218</v>
      </c>
      <c r="F799" s="4"/>
      <c r="G799">
        <v>1979</v>
      </c>
      <c r="H799">
        <v>1</v>
      </c>
      <c r="I799">
        <v>7</v>
      </c>
      <c r="J799" t="s">
        <v>116</v>
      </c>
      <c r="K799">
        <v>54.78</v>
      </c>
      <c r="L799">
        <v>1</v>
      </c>
      <c r="M799">
        <v>54.78</v>
      </c>
      <c r="N799" t="s">
        <v>41</v>
      </c>
      <c r="O799" t="s">
        <v>26</v>
      </c>
      <c r="P799" t="s">
        <v>48</v>
      </c>
    </row>
    <row r="800" spans="1:16" x14ac:dyDescent="0.25">
      <c r="A800" t="s">
        <v>1281</v>
      </c>
      <c r="B800" s="1">
        <v>45625</v>
      </c>
      <c r="C800" s="5">
        <v>0.73750000000000004</v>
      </c>
      <c r="D800" t="s">
        <v>16</v>
      </c>
      <c r="E800" t="s">
        <v>397</v>
      </c>
      <c r="F800" s="4"/>
      <c r="G800">
        <v>1988</v>
      </c>
      <c r="H800">
        <v>2</v>
      </c>
      <c r="I800">
        <v>4</v>
      </c>
      <c r="J800" t="s">
        <v>116</v>
      </c>
      <c r="K800">
        <v>149.83000000000001</v>
      </c>
      <c r="L800">
        <v>2</v>
      </c>
      <c r="M800">
        <v>299.66000000000003</v>
      </c>
      <c r="N800" t="s">
        <v>19</v>
      </c>
      <c r="O800" t="s">
        <v>47</v>
      </c>
    </row>
    <row r="801" spans="1:16" x14ac:dyDescent="0.25">
      <c r="A801" t="s">
        <v>1282</v>
      </c>
      <c r="B801" t="s">
        <v>1283</v>
      </c>
      <c r="C801" s="2">
        <v>0.61041666666666672</v>
      </c>
      <c r="D801" t="s">
        <v>16</v>
      </c>
      <c r="E801" t="s">
        <v>882</v>
      </c>
      <c r="F801" s="4"/>
      <c r="G801">
        <v>1980</v>
      </c>
      <c r="H801">
        <v>4</v>
      </c>
      <c r="I801">
        <v>21</v>
      </c>
      <c r="J801" t="s">
        <v>164</v>
      </c>
      <c r="K801">
        <v>353.61</v>
      </c>
      <c r="L801">
        <v>2</v>
      </c>
      <c r="M801">
        <v>707.22</v>
      </c>
      <c r="N801" t="s">
        <v>64</v>
      </c>
      <c r="O801" t="s">
        <v>37</v>
      </c>
      <c r="P801" t="s">
        <v>56</v>
      </c>
    </row>
    <row r="802" spans="1:16" x14ac:dyDescent="0.25">
      <c r="A802" t="s">
        <v>1284</v>
      </c>
      <c r="B802" t="s">
        <v>1285</v>
      </c>
      <c r="C802" s="5">
        <v>0.8881944444444444</v>
      </c>
      <c r="D802" t="s">
        <v>16</v>
      </c>
      <c r="E802" t="s">
        <v>582</v>
      </c>
      <c r="G802">
        <v>1974</v>
      </c>
      <c r="H802">
        <v>12</v>
      </c>
      <c r="I802">
        <v>15</v>
      </c>
      <c r="J802" t="s">
        <v>73</v>
      </c>
      <c r="K802">
        <v>43.81</v>
      </c>
      <c r="L802">
        <v>3</v>
      </c>
      <c r="M802">
        <v>131.43</v>
      </c>
      <c r="N802" t="s">
        <v>64</v>
      </c>
      <c r="O802" t="s">
        <v>20</v>
      </c>
    </row>
    <row r="803" spans="1:16" x14ac:dyDescent="0.25">
      <c r="A803" t="s">
        <v>1286</v>
      </c>
      <c r="B803" t="s">
        <v>621</v>
      </c>
      <c r="C803" s="2">
        <v>0.55763888888888891</v>
      </c>
      <c r="D803" t="s">
        <v>16</v>
      </c>
      <c r="E803" t="s">
        <v>389</v>
      </c>
      <c r="F803" s="1"/>
      <c r="G803">
        <v>2010</v>
      </c>
      <c r="H803">
        <v>12</v>
      </c>
      <c r="I803">
        <v>3</v>
      </c>
      <c r="J803" t="s">
        <v>40</v>
      </c>
      <c r="K803">
        <v>-155.19999999999999</v>
      </c>
      <c r="L803">
        <v>2</v>
      </c>
      <c r="M803">
        <v>-310.39999999999998</v>
      </c>
      <c r="N803" t="s">
        <v>25</v>
      </c>
      <c r="O803" t="s">
        <v>26</v>
      </c>
      <c r="P803" t="s">
        <v>33</v>
      </c>
    </row>
    <row r="804" spans="1:16" x14ac:dyDescent="0.25">
      <c r="A804" t="s">
        <v>1287</v>
      </c>
      <c r="B804" t="s">
        <v>949</v>
      </c>
      <c r="C804" s="5">
        <v>0.77847222222222223</v>
      </c>
      <c r="D804" t="s">
        <v>16</v>
      </c>
      <c r="E804" t="s">
        <v>136</v>
      </c>
      <c r="F804" s="4"/>
      <c r="G804">
        <v>1976</v>
      </c>
      <c r="H804">
        <v>1</v>
      </c>
      <c r="I804">
        <v>1</v>
      </c>
      <c r="J804" t="s">
        <v>36</v>
      </c>
      <c r="K804">
        <v>237</v>
      </c>
      <c r="L804">
        <v>3</v>
      </c>
      <c r="M804">
        <v>711</v>
      </c>
      <c r="N804" t="s">
        <v>41</v>
      </c>
      <c r="O804" t="s">
        <v>37</v>
      </c>
      <c r="P804" t="s">
        <v>33</v>
      </c>
    </row>
    <row r="805" spans="1:16" x14ac:dyDescent="0.25">
      <c r="A805" t="s">
        <v>1288</v>
      </c>
      <c r="B805" s="4">
        <v>45690</v>
      </c>
      <c r="C805" s="3">
        <v>0.52440972222222226</v>
      </c>
      <c r="D805" t="s">
        <v>16</v>
      </c>
      <c r="E805" t="s">
        <v>512</v>
      </c>
      <c r="G805">
        <v>1979</v>
      </c>
      <c r="H805">
        <v>9</v>
      </c>
      <c r="I805">
        <v>7</v>
      </c>
      <c r="J805" t="s">
        <v>164</v>
      </c>
      <c r="K805">
        <v>239.07</v>
      </c>
      <c r="L805">
        <v>1</v>
      </c>
      <c r="M805">
        <v>239.07</v>
      </c>
      <c r="N805" t="s">
        <v>54</v>
      </c>
      <c r="O805" t="s">
        <v>32</v>
      </c>
      <c r="P805" t="s">
        <v>33</v>
      </c>
    </row>
    <row r="806" spans="1:16" x14ac:dyDescent="0.25">
      <c r="A806" t="s">
        <v>1289</v>
      </c>
      <c r="B806" t="s">
        <v>732</v>
      </c>
      <c r="C806" s="2">
        <v>0.50694444444444442</v>
      </c>
      <c r="D806" t="s">
        <v>16</v>
      </c>
      <c r="E806" t="s">
        <v>169</v>
      </c>
      <c r="F806" s="4"/>
      <c r="G806">
        <v>1997</v>
      </c>
      <c r="H806">
        <v>5</v>
      </c>
      <c r="I806">
        <v>4</v>
      </c>
      <c r="J806" t="s">
        <v>77</v>
      </c>
      <c r="K806">
        <v>101.9</v>
      </c>
      <c r="L806">
        <v>3</v>
      </c>
      <c r="M806">
        <v>305.7</v>
      </c>
      <c r="N806" t="s">
        <v>64</v>
      </c>
      <c r="O806" t="s">
        <v>47</v>
      </c>
      <c r="P806" t="s">
        <v>48</v>
      </c>
    </row>
    <row r="807" spans="1:16" x14ac:dyDescent="0.25">
      <c r="A807" t="s">
        <v>1290</v>
      </c>
      <c r="B807" s="4">
        <v>45656</v>
      </c>
      <c r="C807" s="5">
        <v>0.95</v>
      </c>
      <c r="D807" t="s">
        <v>16</v>
      </c>
      <c r="E807" t="s">
        <v>225</v>
      </c>
      <c r="F807" s="4"/>
      <c r="G807">
        <v>1999</v>
      </c>
      <c r="H807">
        <v>5</v>
      </c>
      <c r="I807">
        <v>24</v>
      </c>
      <c r="J807" t="s">
        <v>199</v>
      </c>
      <c r="K807">
        <v>196.7</v>
      </c>
      <c r="L807">
        <v>1</v>
      </c>
      <c r="M807">
        <v>196.7</v>
      </c>
      <c r="N807" t="s">
        <v>19</v>
      </c>
      <c r="O807" t="s">
        <v>37</v>
      </c>
      <c r="P807" t="s">
        <v>21</v>
      </c>
    </row>
    <row r="808" spans="1:16" x14ac:dyDescent="0.25">
      <c r="A808" t="s">
        <v>1291</v>
      </c>
      <c r="B808" t="s">
        <v>1292</v>
      </c>
      <c r="C808" s="5">
        <v>0.62430555555555556</v>
      </c>
      <c r="D808" t="s">
        <v>16</v>
      </c>
      <c r="E808" t="s">
        <v>1293</v>
      </c>
      <c r="G808">
        <v>1991</v>
      </c>
      <c r="H808">
        <v>9</v>
      </c>
      <c r="I808">
        <v>11</v>
      </c>
      <c r="J808" t="s">
        <v>126</v>
      </c>
      <c r="K808" t="s">
        <v>1294</v>
      </c>
      <c r="L808">
        <v>3</v>
      </c>
      <c r="M808">
        <v>245.82</v>
      </c>
      <c r="N808" t="s">
        <v>64</v>
      </c>
      <c r="O808" t="s">
        <v>37</v>
      </c>
    </row>
    <row r="809" spans="1:16" x14ac:dyDescent="0.25">
      <c r="A809" t="s">
        <v>1295</v>
      </c>
      <c r="B809" t="s">
        <v>1296</v>
      </c>
      <c r="C809" s="2">
        <v>0.43333333333333335</v>
      </c>
      <c r="D809" t="s">
        <v>16</v>
      </c>
      <c r="E809" t="s">
        <v>201</v>
      </c>
      <c r="F809" s="4"/>
      <c r="G809">
        <v>1984</v>
      </c>
      <c r="H809">
        <v>8</v>
      </c>
      <c r="I809">
        <v>25</v>
      </c>
      <c r="J809" t="s">
        <v>243</v>
      </c>
      <c r="K809">
        <v>132.86000000000001</v>
      </c>
      <c r="L809">
        <v>2</v>
      </c>
      <c r="M809" t="s">
        <v>1297</v>
      </c>
      <c r="N809" t="s">
        <v>25</v>
      </c>
      <c r="O809" t="s">
        <v>47</v>
      </c>
    </row>
    <row r="810" spans="1:16" x14ac:dyDescent="0.25">
      <c r="A810" t="s">
        <v>1298</v>
      </c>
      <c r="B810" s="4">
        <v>45821</v>
      </c>
      <c r="C810" s="3">
        <v>0.86104166666666671</v>
      </c>
      <c r="D810" t="s">
        <v>16</v>
      </c>
      <c r="E810" t="s">
        <v>299</v>
      </c>
      <c r="F810" s="4"/>
      <c r="G810">
        <v>2001</v>
      </c>
      <c r="H810">
        <v>3</v>
      </c>
      <c r="I810">
        <v>11</v>
      </c>
      <c r="J810" t="s">
        <v>259</v>
      </c>
      <c r="L810">
        <v>1</v>
      </c>
      <c r="N810" t="s">
        <v>25</v>
      </c>
      <c r="O810" t="s">
        <v>26</v>
      </c>
      <c r="P810" t="s">
        <v>56</v>
      </c>
    </row>
    <row r="811" spans="1:16" x14ac:dyDescent="0.25">
      <c r="A811" t="s">
        <v>1299</v>
      </c>
      <c r="B811" t="s">
        <v>849</v>
      </c>
      <c r="C811" s="2">
        <v>0.79583333333333328</v>
      </c>
      <c r="D811" t="s">
        <v>16</v>
      </c>
      <c r="E811" t="s">
        <v>652</v>
      </c>
      <c r="J811" t="s">
        <v>110</v>
      </c>
      <c r="K811">
        <v>98.23</v>
      </c>
      <c r="L811">
        <v>3</v>
      </c>
      <c r="M811">
        <v>294.69</v>
      </c>
      <c r="N811" t="s">
        <v>67</v>
      </c>
      <c r="O811" t="s">
        <v>26</v>
      </c>
      <c r="P811" t="s">
        <v>56</v>
      </c>
    </row>
    <row r="812" spans="1:16" x14ac:dyDescent="0.25">
      <c r="A812" t="s">
        <v>1300</v>
      </c>
      <c r="B812" s="4">
        <v>45944</v>
      </c>
      <c r="C812" s="5">
        <v>0.76666666666666672</v>
      </c>
      <c r="D812" t="s">
        <v>16</v>
      </c>
      <c r="E812" t="s">
        <v>136</v>
      </c>
      <c r="F812" s="4"/>
      <c r="G812">
        <v>1997</v>
      </c>
      <c r="H812">
        <v>7</v>
      </c>
      <c r="I812">
        <v>6</v>
      </c>
      <c r="J812" t="s">
        <v>116</v>
      </c>
      <c r="L812">
        <v>1</v>
      </c>
      <c r="N812" t="s">
        <v>19</v>
      </c>
      <c r="O812" t="s">
        <v>32</v>
      </c>
      <c r="P812" t="s">
        <v>33</v>
      </c>
    </row>
    <row r="813" spans="1:16" x14ac:dyDescent="0.25">
      <c r="A813" t="s">
        <v>1301</v>
      </c>
      <c r="B813" t="s">
        <v>1302</v>
      </c>
      <c r="C813" s="3">
        <v>0.69320601851851849</v>
      </c>
      <c r="D813" t="s">
        <v>16</v>
      </c>
      <c r="E813" t="s">
        <v>201</v>
      </c>
      <c r="G813">
        <v>1992</v>
      </c>
      <c r="H813">
        <v>1</v>
      </c>
      <c r="I813">
        <v>7</v>
      </c>
      <c r="J813" t="s">
        <v>199</v>
      </c>
      <c r="K813" t="s">
        <v>1303</v>
      </c>
      <c r="L813">
        <v>1</v>
      </c>
      <c r="M813">
        <v>178.65</v>
      </c>
      <c r="N813" t="s">
        <v>67</v>
      </c>
      <c r="O813" t="s">
        <v>32</v>
      </c>
      <c r="P813" t="s">
        <v>33</v>
      </c>
    </row>
    <row r="814" spans="1:16" x14ac:dyDescent="0.25">
      <c r="A814" t="s">
        <v>1304</v>
      </c>
      <c r="B814" s="4">
        <v>45867</v>
      </c>
      <c r="C814" s="5">
        <v>0.79374999999999996</v>
      </c>
      <c r="D814" t="s">
        <v>16</v>
      </c>
      <c r="E814" t="s">
        <v>346</v>
      </c>
      <c r="G814">
        <v>1991</v>
      </c>
      <c r="H814">
        <v>7</v>
      </c>
      <c r="I814">
        <v>4</v>
      </c>
      <c r="J814" t="s">
        <v>126</v>
      </c>
      <c r="K814" t="s">
        <v>1305</v>
      </c>
      <c r="L814">
        <v>1</v>
      </c>
      <c r="M814">
        <v>74.56</v>
      </c>
      <c r="N814" t="s">
        <v>64</v>
      </c>
      <c r="O814" t="s">
        <v>47</v>
      </c>
      <c r="P814" t="s">
        <v>27</v>
      </c>
    </row>
    <row r="815" spans="1:16" x14ac:dyDescent="0.25">
      <c r="A815" t="s">
        <v>1306</v>
      </c>
      <c r="B815" t="s">
        <v>1307</v>
      </c>
      <c r="C815" s="3">
        <v>0.86144675925925929</v>
      </c>
      <c r="D815" t="s">
        <v>16</v>
      </c>
      <c r="E815" t="s">
        <v>23</v>
      </c>
      <c r="G815">
        <v>1998</v>
      </c>
      <c r="H815">
        <v>12</v>
      </c>
      <c r="I815">
        <v>10</v>
      </c>
      <c r="J815" t="s">
        <v>85</v>
      </c>
      <c r="K815">
        <v>249.48</v>
      </c>
      <c r="L815">
        <v>2</v>
      </c>
      <c r="M815">
        <v>498.96</v>
      </c>
      <c r="N815" t="s">
        <v>64</v>
      </c>
      <c r="O815" t="s">
        <v>37</v>
      </c>
    </row>
    <row r="816" spans="1:16" x14ac:dyDescent="0.25">
      <c r="A816" t="s">
        <v>1308</v>
      </c>
      <c r="B816" t="s">
        <v>1181</v>
      </c>
      <c r="C816" s="2">
        <v>0.46388888888888891</v>
      </c>
      <c r="D816" t="s">
        <v>16</v>
      </c>
      <c r="E816" t="s">
        <v>397</v>
      </c>
      <c r="F816" s="4"/>
      <c r="G816">
        <v>1990</v>
      </c>
      <c r="H816">
        <v>8</v>
      </c>
      <c r="I816">
        <v>18</v>
      </c>
      <c r="J816" t="s">
        <v>93</v>
      </c>
      <c r="K816">
        <v>173.9</v>
      </c>
      <c r="L816">
        <v>2</v>
      </c>
      <c r="M816">
        <v>347.8</v>
      </c>
      <c r="N816" t="s">
        <v>67</v>
      </c>
      <c r="O816" t="s">
        <v>37</v>
      </c>
      <c r="P816" t="s">
        <v>27</v>
      </c>
    </row>
    <row r="817" spans="1:16" x14ac:dyDescent="0.25">
      <c r="A817" t="s">
        <v>1309</v>
      </c>
      <c r="B817" s="4">
        <v>45718</v>
      </c>
      <c r="C817" s="5">
        <v>0.76527777777777772</v>
      </c>
      <c r="D817" t="s">
        <v>16</v>
      </c>
      <c r="E817" t="s">
        <v>229</v>
      </c>
      <c r="F817" s="4"/>
      <c r="G817">
        <v>1988</v>
      </c>
      <c r="H817">
        <v>11</v>
      </c>
      <c r="I817">
        <v>17</v>
      </c>
      <c r="J817" t="s">
        <v>77</v>
      </c>
      <c r="K817" t="s">
        <v>1310</v>
      </c>
      <c r="L817">
        <v>2</v>
      </c>
      <c r="M817">
        <v>338.74</v>
      </c>
      <c r="N817" t="s">
        <v>41</v>
      </c>
      <c r="O817" t="s">
        <v>47</v>
      </c>
      <c r="P817" t="s">
        <v>21</v>
      </c>
    </row>
    <row r="818" spans="1:16" x14ac:dyDescent="0.25">
      <c r="A818" t="s">
        <v>1311</v>
      </c>
      <c r="B818" t="s">
        <v>1312</v>
      </c>
      <c r="C818" s="2">
        <v>0.65138888888888891</v>
      </c>
      <c r="D818" t="s">
        <v>16</v>
      </c>
      <c r="E818" t="s">
        <v>338</v>
      </c>
      <c r="F818" s="1"/>
      <c r="G818">
        <v>2000</v>
      </c>
      <c r="H818">
        <v>9</v>
      </c>
      <c r="I818">
        <v>23</v>
      </c>
      <c r="J818" t="s">
        <v>73</v>
      </c>
      <c r="K818">
        <v>42.85</v>
      </c>
      <c r="L818">
        <v>2</v>
      </c>
      <c r="M818">
        <v>85.7</v>
      </c>
      <c r="N818" t="s">
        <v>31</v>
      </c>
      <c r="O818" t="s">
        <v>32</v>
      </c>
      <c r="P818" t="s">
        <v>27</v>
      </c>
    </row>
    <row r="819" spans="1:16" x14ac:dyDescent="0.25">
      <c r="A819" t="s">
        <v>1313</v>
      </c>
      <c r="B819" s="1">
        <v>45975</v>
      </c>
      <c r="C819" s="5">
        <v>0.51875000000000004</v>
      </c>
      <c r="D819" t="s">
        <v>16</v>
      </c>
      <c r="E819" t="s">
        <v>147</v>
      </c>
      <c r="G819">
        <v>1987</v>
      </c>
      <c r="H819">
        <v>6</v>
      </c>
      <c r="I819">
        <v>12</v>
      </c>
      <c r="J819" t="s">
        <v>36</v>
      </c>
      <c r="K819">
        <v>243.11</v>
      </c>
      <c r="L819">
        <v>2</v>
      </c>
      <c r="M819">
        <v>486.22</v>
      </c>
      <c r="N819" t="s">
        <v>25</v>
      </c>
      <c r="O819" t="s">
        <v>32</v>
      </c>
      <c r="P819" t="s">
        <v>21</v>
      </c>
    </row>
    <row r="820" spans="1:16" x14ac:dyDescent="0.25">
      <c r="A820" t="s">
        <v>1314</v>
      </c>
      <c r="B820" s="4">
        <v>45628</v>
      </c>
      <c r="C820" s="2">
        <v>0.625</v>
      </c>
      <c r="D820" t="s">
        <v>16</v>
      </c>
      <c r="E820" t="s">
        <v>770</v>
      </c>
      <c r="F820" s="1"/>
      <c r="G820">
        <v>1991</v>
      </c>
      <c r="H820">
        <v>2</v>
      </c>
      <c r="I820">
        <v>5</v>
      </c>
      <c r="J820" t="s">
        <v>73</v>
      </c>
      <c r="K820">
        <v>50.22</v>
      </c>
      <c r="L820">
        <v>1</v>
      </c>
      <c r="M820">
        <v>50.22</v>
      </c>
      <c r="N820" t="s">
        <v>41</v>
      </c>
      <c r="O820" t="s">
        <v>26</v>
      </c>
      <c r="P820" t="s">
        <v>27</v>
      </c>
    </row>
    <row r="821" spans="1:16" x14ac:dyDescent="0.25">
      <c r="A821" t="s">
        <v>1315</v>
      </c>
      <c r="B821" t="s">
        <v>1106</v>
      </c>
      <c r="C821" s="3">
        <v>0.99354166666666666</v>
      </c>
      <c r="D821" t="s">
        <v>16</v>
      </c>
      <c r="E821" t="s">
        <v>582</v>
      </c>
      <c r="F821" s="4"/>
      <c r="G821">
        <v>2001</v>
      </c>
      <c r="H821">
        <v>8</v>
      </c>
      <c r="I821">
        <v>18</v>
      </c>
      <c r="J821" t="s">
        <v>141</v>
      </c>
      <c r="K821">
        <v>162.63999999999999</v>
      </c>
      <c r="L821">
        <v>2</v>
      </c>
      <c r="M821">
        <v>325.27999999999997</v>
      </c>
      <c r="N821" t="s">
        <v>54</v>
      </c>
      <c r="O821" t="s">
        <v>47</v>
      </c>
      <c r="P821" t="s">
        <v>33</v>
      </c>
    </row>
    <row r="822" spans="1:16" x14ac:dyDescent="0.25">
      <c r="A822" t="s">
        <v>1316</v>
      </c>
      <c r="B822" s="4">
        <v>45949</v>
      </c>
      <c r="C822" s="2">
        <v>0.47083333333333333</v>
      </c>
      <c r="D822" t="s">
        <v>16</v>
      </c>
      <c r="E822" t="s">
        <v>128</v>
      </c>
      <c r="F822" s="1"/>
      <c r="G822">
        <v>1979</v>
      </c>
      <c r="H822">
        <v>12</v>
      </c>
      <c r="I822">
        <v>2</v>
      </c>
      <c r="J822" t="s">
        <v>116</v>
      </c>
      <c r="K822">
        <v>295.08</v>
      </c>
      <c r="L822">
        <v>3</v>
      </c>
      <c r="M822" t="s">
        <v>1317</v>
      </c>
      <c r="N822" t="s">
        <v>19</v>
      </c>
      <c r="O822" t="s">
        <v>37</v>
      </c>
      <c r="P822" t="s">
        <v>27</v>
      </c>
    </row>
    <row r="823" spans="1:16" x14ac:dyDescent="0.25">
      <c r="A823" t="s">
        <v>1318</v>
      </c>
      <c r="B823" s="4">
        <v>45630</v>
      </c>
      <c r="C823" s="3">
        <v>0.90524305555555551</v>
      </c>
      <c r="D823" t="s">
        <v>16</v>
      </c>
      <c r="E823" t="s">
        <v>548</v>
      </c>
      <c r="F823" s="1"/>
      <c r="G823">
        <v>2004</v>
      </c>
      <c r="H823">
        <v>4</v>
      </c>
      <c r="I823">
        <v>7</v>
      </c>
      <c r="J823" t="s">
        <v>199</v>
      </c>
      <c r="K823">
        <v>247.23</v>
      </c>
      <c r="L823">
        <v>1</v>
      </c>
      <c r="M823">
        <v>247.23</v>
      </c>
      <c r="N823" t="s">
        <v>64</v>
      </c>
      <c r="O823" t="s">
        <v>89</v>
      </c>
      <c r="P823" t="s">
        <v>48</v>
      </c>
    </row>
    <row r="824" spans="1:16" x14ac:dyDescent="0.25">
      <c r="A824" t="s">
        <v>1319</v>
      </c>
      <c r="B824" s="4">
        <v>45839</v>
      </c>
      <c r="C824" s="3">
        <v>0.44123842592592594</v>
      </c>
      <c r="D824" t="s">
        <v>16</v>
      </c>
      <c r="E824" t="s">
        <v>118</v>
      </c>
      <c r="F824" s="4"/>
      <c r="G824">
        <v>1982</v>
      </c>
      <c r="H824">
        <v>3</v>
      </c>
      <c r="I824">
        <v>9</v>
      </c>
      <c r="J824" t="s">
        <v>40</v>
      </c>
      <c r="L824">
        <v>2</v>
      </c>
      <c r="N824" t="s">
        <v>19</v>
      </c>
      <c r="O824" t="s">
        <v>61</v>
      </c>
      <c r="P824" t="s">
        <v>56</v>
      </c>
    </row>
    <row r="825" spans="1:16" x14ac:dyDescent="0.25">
      <c r="A825" t="s">
        <v>1320</v>
      </c>
      <c r="B825" s="4">
        <v>45888</v>
      </c>
      <c r="C825" s="5">
        <v>0.78888888888888886</v>
      </c>
      <c r="D825" t="s">
        <v>16</v>
      </c>
      <c r="E825" t="s">
        <v>237</v>
      </c>
      <c r="G825">
        <v>1972</v>
      </c>
      <c r="H825">
        <v>5</v>
      </c>
      <c r="I825">
        <v>9</v>
      </c>
      <c r="J825" t="s">
        <v>53</v>
      </c>
      <c r="K825">
        <v>98.32</v>
      </c>
      <c r="L825">
        <v>2</v>
      </c>
      <c r="M825">
        <v>196.64</v>
      </c>
      <c r="N825" t="s">
        <v>25</v>
      </c>
      <c r="O825" t="s">
        <v>61</v>
      </c>
      <c r="P825" t="s">
        <v>56</v>
      </c>
    </row>
    <row r="826" spans="1:16" x14ac:dyDescent="0.25">
      <c r="A826" t="s">
        <v>1321</v>
      </c>
      <c r="B826" s="4">
        <v>45797</v>
      </c>
      <c r="C826" s="5">
        <v>0.44374999999999998</v>
      </c>
      <c r="D826" t="s">
        <v>16</v>
      </c>
      <c r="E826" t="s">
        <v>622</v>
      </c>
      <c r="F826" s="4"/>
      <c r="G826">
        <v>1988</v>
      </c>
      <c r="H826">
        <v>8</v>
      </c>
      <c r="I826">
        <v>4</v>
      </c>
      <c r="J826" t="s">
        <v>93</v>
      </c>
      <c r="K826">
        <v>228.53</v>
      </c>
      <c r="L826">
        <v>1</v>
      </c>
      <c r="M826">
        <v>228.53</v>
      </c>
      <c r="N826" t="s">
        <v>19</v>
      </c>
      <c r="O826" t="s">
        <v>26</v>
      </c>
      <c r="P826" t="s">
        <v>56</v>
      </c>
    </row>
    <row r="827" spans="1:16" x14ac:dyDescent="0.25">
      <c r="A827" t="s">
        <v>1322</v>
      </c>
      <c r="B827" t="s">
        <v>263</v>
      </c>
      <c r="C827" s="5">
        <v>0.93958333333333333</v>
      </c>
      <c r="D827" t="s">
        <v>16</v>
      </c>
      <c r="E827" t="s">
        <v>712</v>
      </c>
      <c r="F827" s="1"/>
      <c r="G827">
        <v>1994</v>
      </c>
      <c r="H827">
        <v>8</v>
      </c>
      <c r="I827">
        <v>12</v>
      </c>
      <c r="J827" t="s">
        <v>164</v>
      </c>
      <c r="K827" t="s">
        <v>1323</v>
      </c>
      <c r="L827">
        <v>3</v>
      </c>
      <c r="M827">
        <v>887.82</v>
      </c>
      <c r="N827" t="s">
        <v>64</v>
      </c>
      <c r="O827" t="s">
        <v>26</v>
      </c>
      <c r="P827" t="s">
        <v>56</v>
      </c>
    </row>
    <row r="828" spans="1:16" x14ac:dyDescent="0.25">
      <c r="A828" t="s">
        <v>1324</v>
      </c>
      <c r="B828" s="4">
        <v>45833</v>
      </c>
      <c r="C828" s="3">
        <v>0.7661458333333333</v>
      </c>
      <c r="D828" t="s">
        <v>16</v>
      </c>
      <c r="E828" t="s">
        <v>628</v>
      </c>
      <c r="F828" s="1"/>
      <c r="G828">
        <v>2002</v>
      </c>
      <c r="H828">
        <v>3</v>
      </c>
      <c r="I828">
        <v>10</v>
      </c>
      <c r="J828" t="s">
        <v>129</v>
      </c>
      <c r="K828">
        <v>188.76</v>
      </c>
      <c r="L828">
        <v>1</v>
      </c>
      <c r="M828">
        <v>237.76</v>
      </c>
      <c r="N828" t="s">
        <v>41</v>
      </c>
      <c r="O828" t="s">
        <v>32</v>
      </c>
      <c r="P828" t="s">
        <v>33</v>
      </c>
    </row>
    <row r="829" spans="1:16" x14ac:dyDescent="0.25">
      <c r="A829" t="s">
        <v>1325</v>
      </c>
      <c r="B829" t="s">
        <v>1326</v>
      </c>
      <c r="C829" s="3">
        <v>0.5213888888888889</v>
      </c>
      <c r="D829" t="s">
        <v>16</v>
      </c>
      <c r="E829" t="s">
        <v>107</v>
      </c>
      <c r="F829" s="4"/>
      <c r="G829">
        <v>1986</v>
      </c>
      <c r="H829">
        <v>6</v>
      </c>
      <c r="I829">
        <v>3</v>
      </c>
      <c r="J829" t="s">
        <v>145</v>
      </c>
      <c r="L829">
        <v>1</v>
      </c>
      <c r="O829" t="s">
        <v>37</v>
      </c>
      <c r="P829" t="s">
        <v>105</v>
      </c>
    </row>
    <row r="830" spans="1:16" x14ac:dyDescent="0.25">
      <c r="A830" t="s">
        <v>1327</v>
      </c>
      <c r="B830" s="4">
        <v>45944</v>
      </c>
      <c r="C830" s="5">
        <v>0.78819444444444442</v>
      </c>
      <c r="D830" t="s">
        <v>16</v>
      </c>
      <c r="E830" t="s">
        <v>98</v>
      </c>
      <c r="F830" s="1"/>
      <c r="G830">
        <v>1977</v>
      </c>
      <c r="H830">
        <v>2</v>
      </c>
      <c r="I830">
        <v>25</v>
      </c>
      <c r="J830" t="s">
        <v>30</v>
      </c>
      <c r="K830">
        <v>-207.13</v>
      </c>
      <c r="L830">
        <v>1</v>
      </c>
      <c r="M830">
        <v>-207.13</v>
      </c>
      <c r="N830" t="s">
        <v>25</v>
      </c>
      <c r="O830" t="s">
        <v>37</v>
      </c>
      <c r="P830" t="s">
        <v>33</v>
      </c>
    </row>
    <row r="831" spans="1:16" x14ac:dyDescent="0.25">
      <c r="A831" t="s">
        <v>1328</v>
      </c>
      <c r="B831" t="s">
        <v>1329</v>
      </c>
      <c r="C831" s="5">
        <v>0.5805555555555556</v>
      </c>
      <c r="D831" t="s">
        <v>16</v>
      </c>
      <c r="E831" t="s">
        <v>451</v>
      </c>
      <c r="F831" s="4"/>
      <c r="G831">
        <v>1998</v>
      </c>
      <c r="H831">
        <v>8</v>
      </c>
      <c r="I831">
        <v>4</v>
      </c>
      <c r="J831" t="s">
        <v>36</v>
      </c>
      <c r="K831">
        <v>142.94999999999999</v>
      </c>
      <c r="L831">
        <v>2</v>
      </c>
      <c r="M831">
        <v>285.89999999999998</v>
      </c>
      <c r="N831" t="s">
        <v>31</v>
      </c>
      <c r="O831" t="s">
        <v>47</v>
      </c>
      <c r="P831" t="s">
        <v>33</v>
      </c>
    </row>
    <row r="832" spans="1:16" x14ac:dyDescent="0.25">
      <c r="A832" t="s">
        <v>1330</v>
      </c>
      <c r="B832" s="4">
        <v>45764</v>
      </c>
      <c r="C832" s="3">
        <v>0.44427083333333334</v>
      </c>
      <c r="D832" t="s">
        <v>16</v>
      </c>
      <c r="E832" t="s">
        <v>35</v>
      </c>
      <c r="F832" s="4"/>
      <c r="G832">
        <v>1978</v>
      </c>
      <c r="H832">
        <v>11</v>
      </c>
      <c r="I832">
        <v>13</v>
      </c>
      <c r="J832" t="s">
        <v>93</v>
      </c>
      <c r="K832">
        <v>224.21</v>
      </c>
      <c r="L832">
        <v>0</v>
      </c>
      <c r="M832">
        <v>38</v>
      </c>
      <c r="N832" t="s">
        <v>67</v>
      </c>
      <c r="O832" t="s">
        <v>20</v>
      </c>
      <c r="P832" t="s">
        <v>105</v>
      </c>
    </row>
    <row r="833" spans="1:16" x14ac:dyDescent="0.25">
      <c r="A833" t="s">
        <v>1331</v>
      </c>
      <c r="B833" s="4">
        <v>45675</v>
      </c>
      <c r="C833" s="5">
        <v>0.49861111111111112</v>
      </c>
      <c r="D833" t="s">
        <v>16</v>
      </c>
      <c r="E833" t="s">
        <v>1332</v>
      </c>
      <c r="F833" s="4"/>
      <c r="G833">
        <v>1979</v>
      </c>
      <c r="H833">
        <v>7</v>
      </c>
      <c r="I833">
        <v>1</v>
      </c>
      <c r="J833" t="s">
        <v>36</v>
      </c>
      <c r="K833">
        <v>224.8</v>
      </c>
      <c r="L833">
        <v>3</v>
      </c>
      <c r="M833">
        <v>674.4</v>
      </c>
      <c r="O833" t="s">
        <v>26</v>
      </c>
      <c r="P833" t="s">
        <v>27</v>
      </c>
    </row>
    <row r="834" spans="1:16" x14ac:dyDescent="0.25">
      <c r="A834" t="s">
        <v>1333</v>
      </c>
      <c r="B834" t="s">
        <v>1334</v>
      </c>
      <c r="C834" s="3">
        <v>0.7333912037037037</v>
      </c>
      <c r="D834" t="s">
        <v>16</v>
      </c>
      <c r="E834" t="s">
        <v>95</v>
      </c>
      <c r="F834" s="4"/>
      <c r="G834">
        <v>1996</v>
      </c>
      <c r="H834">
        <v>11</v>
      </c>
      <c r="I834">
        <v>13</v>
      </c>
      <c r="J834" t="s">
        <v>164</v>
      </c>
      <c r="K834">
        <v>356.51</v>
      </c>
      <c r="L834">
        <v>1</v>
      </c>
      <c r="M834">
        <v>356.51</v>
      </c>
      <c r="N834" t="s">
        <v>25</v>
      </c>
      <c r="O834" t="s">
        <v>37</v>
      </c>
    </row>
    <row r="835" spans="1:16" x14ac:dyDescent="0.25">
      <c r="A835" t="s">
        <v>1335</v>
      </c>
      <c r="B835" s="4">
        <v>45959</v>
      </c>
      <c r="C835" s="2">
        <v>0.45208333333333334</v>
      </c>
      <c r="D835" t="s">
        <v>16</v>
      </c>
      <c r="E835" t="s">
        <v>1336</v>
      </c>
      <c r="G835">
        <v>1991</v>
      </c>
      <c r="H835">
        <v>12</v>
      </c>
      <c r="I835">
        <v>12</v>
      </c>
      <c r="J835" t="s">
        <v>164</v>
      </c>
      <c r="K835">
        <v>310.60000000000002</v>
      </c>
      <c r="L835">
        <v>1</v>
      </c>
      <c r="M835">
        <v>310.60000000000002</v>
      </c>
      <c r="N835" t="s">
        <v>67</v>
      </c>
      <c r="O835" t="s">
        <v>47</v>
      </c>
      <c r="P835" t="s">
        <v>56</v>
      </c>
    </row>
    <row r="836" spans="1:16" x14ac:dyDescent="0.25">
      <c r="A836" t="s">
        <v>1337</v>
      </c>
      <c r="B836" s="4">
        <v>45832</v>
      </c>
      <c r="C836" s="5">
        <v>0.69305555555555554</v>
      </c>
      <c r="D836" t="s">
        <v>16</v>
      </c>
      <c r="E836" t="s">
        <v>405</v>
      </c>
      <c r="F836" s="4"/>
      <c r="G836">
        <v>1972</v>
      </c>
      <c r="H836">
        <v>10</v>
      </c>
      <c r="I836">
        <v>2</v>
      </c>
      <c r="J836" t="s">
        <v>259</v>
      </c>
      <c r="K836">
        <v>234.86</v>
      </c>
      <c r="L836">
        <v>2</v>
      </c>
      <c r="M836">
        <v>469.72</v>
      </c>
      <c r="N836" t="s">
        <v>64</v>
      </c>
      <c r="O836" t="s">
        <v>37</v>
      </c>
      <c r="P836" t="s">
        <v>105</v>
      </c>
    </row>
    <row r="837" spans="1:16" x14ac:dyDescent="0.25">
      <c r="A837" t="s">
        <v>1338</v>
      </c>
      <c r="B837" s="4">
        <v>45935</v>
      </c>
      <c r="C837" s="2">
        <v>0.61458333333333337</v>
      </c>
      <c r="D837" t="s">
        <v>16</v>
      </c>
      <c r="E837" t="s">
        <v>187</v>
      </c>
      <c r="F837" s="4"/>
      <c r="G837">
        <v>1996</v>
      </c>
      <c r="H837">
        <v>7</v>
      </c>
      <c r="I837">
        <v>6</v>
      </c>
      <c r="J837" t="s">
        <v>93</v>
      </c>
      <c r="K837">
        <v>210.32</v>
      </c>
      <c r="L837">
        <v>2</v>
      </c>
      <c r="M837">
        <v>420.64</v>
      </c>
      <c r="N837" t="s">
        <v>64</v>
      </c>
      <c r="O837" t="s">
        <v>47</v>
      </c>
      <c r="P837" t="s">
        <v>21</v>
      </c>
    </row>
    <row r="838" spans="1:16" x14ac:dyDescent="0.25">
      <c r="A838" t="s">
        <v>1339</v>
      </c>
      <c r="B838" s="1">
        <v>45662</v>
      </c>
      <c r="C838" s="2">
        <v>0.85763888888888884</v>
      </c>
      <c r="D838" t="s">
        <v>16</v>
      </c>
      <c r="E838" t="s">
        <v>292</v>
      </c>
      <c r="F838" s="4"/>
      <c r="G838">
        <v>2001</v>
      </c>
      <c r="H838">
        <v>4</v>
      </c>
      <c r="I838">
        <v>20</v>
      </c>
      <c r="J838" t="s">
        <v>259</v>
      </c>
      <c r="K838">
        <v>164.89</v>
      </c>
      <c r="L838">
        <v>1</v>
      </c>
      <c r="M838">
        <v>164.89</v>
      </c>
      <c r="O838" t="s">
        <v>26</v>
      </c>
    </row>
    <row r="839" spans="1:16" x14ac:dyDescent="0.25">
      <c r="A839" t="s">
        <v>1340</v>
      </c>
      <c r="B839" s="4">
        <v>45870</v>
      </c>
      <c r="C839" s="5">
        <v>0.85624999999999996</v>
      </c>
      <c r="D839" t="s">
        <v>16</v>
      </c>
      <c r="E839" t="s">
        <v>95</v>
      </c>
      <c r="F839" s="1"/>
      <c r="G839">
        <v>1992</v>
      </c>
      <c r="H839">
        <v>1</v>
      </c>
      <c r="I839">
        <v>3</v>
      </c>
      <c r="J839" t="s">
        <v>53</v>
      </c>
      <c r="K839">
        <v>88.74</v>
      </c>
      <c r="L839">
        <v>1</v>
      </c>
      <c r="M839">
        <v>88.74</v>
      </c>
      <c r="N839" t="s">
        <v>31</v>
      </c>
      <c r="O839" t="s">
        <v>32</v>
      </c>
      <c r="P839" t="s">
        <v>27</v>
      </c>
    </row>
    <row r="840" spans="1:16" x14ac:dyDescent="0.25">
      <c r="A840" t="s">
        <v>1341</v>
      </c>
      <c r="B840" s="4">
        <v>45712</v>
      </c>
      <c r="C840" s="2">
        <v>0.72083333333333333</v>
      </c>
      <c r="D840" t="s">
        <v>16</v>
      </c>
      <c r="E840" t="s">
        <v>411</v>
      </c>
      <c r="F840" s="1"/>
      <c r="G840">
        <v>1990</v>
      </c>
      <c r="H840">
        <v>6</v>
      </c>
      <c r="I840">
        <v>20</v>
      </c>
      <c r="J840" t="s">
        <v>53</v>
      </c>
      <c r="K840">
        <v>94.34</v>
      </c>
      <c r="L840">
        <v>1</v>
      </c>
      <c r="M840">
        <v>94.34</v>
      </c>
      <c r="N840" t="s">
        <v>25</v>
      </c>
      <c r="O840" t="s">
        <v>26</v>
      </c>
    </row>
    <row r="841" spans="1:16" x14ac:dyDescent="0.25">
      <c r="A841" t="s">
        <v>1342</v>
      </c>
      <c r="B841" t="s">
        <v>1334</v>
      </c>
      <c r="C841" s="2">
        <v>0.64583333333333337</v>
      </c>
      <c r="D841" t="s">
        <v>16</v>
      </c>
      <c r="E841" t="s">
        <v>1343</v>
      </c>
      <c r="F841" s="4"/>
      <c r="G841">
        <v>2007</v>
      </c>
      <c r="H841">
        <v>6</v>
      </c>
      <c r="I841">
        <v>28</v>
      </c>
      <c r="J841" t="s">
        <v>141</v>
      </c>
      <c r="K841" t="s">
        <v>1344</v>
      </c>
      <c r="L841">
        <v>1</v>
      </c>
      <c r="M841">
        <v>166.53</v>
      </c>
      <c r="N841" t="s">
        <v>25</v>
      </c>
      <c r="O841" t="s">
        <v>37</v>
      </c>
    </row>
    <row r="842" spans="1:16" x14ac:dyDescent="0.25">
      <c r="A842" t="s">
        <v>1345</v>
      </c>
      <c r="B842" t="s">
        <v>175</v>
      </c>
      <c r="C842" s="5">
        <v>0.65277777777777779</v>
      </c>
      <c r="D842" t="s">
        <v>16</v>
      </c>
      <c r="E842" t="s">
        <v>109</v>
      </c>
      <c r="F842" s="4"/>
      <c r="G842">
        <v>2007</v>
      </c>
      <c r="H842">
        <v>4</v>
      </c>
      <c r="I842">
        <v>1</v>
      </c>
      <c r="J842" t="s">
        <v>202</v>
      </c>
      <c r="K842">
        <v>109.57</v>
      </c>
      <c r="L842">
        <v>3</v>
      </c>
      <c r="M842">
        <v>328.71</v>
      </c>
      <c r="N842" t="s">
        <v>41</v>
      </c>
      <c r="O842" t="s">
        <v>47</v>
      </c>
      <c r="P842" t="s">
        <v>33</v>
      </c>
    </row>
    <row r="843" spans="1:16" x14ac:dyDescent="0.25">
      <c r="A843" t="s">
        <v>1346</v>
      </c>
      <c r="B843" s="4">
        <v>45825</v>
      </c>
      <c r="C843" s="3">
        <v>0.85765046296296299</v>
      </c>
      <c r="D843" t="s">
        <v>16</v>
      </c>
      <c r="E843" t="s">
        <v>1347</v>
      </c>
      <c r="F843" s="1"/>
      <c r="G843">
        <v>2010</v>
      </c>
      <c r="H843">
        <v>4</v>
      </c>
      <c r="I843">
        <v>1</v>
      </c>
      <c r="J843" t="s">
        <v>93</v>
      </c>
      <c r="K843">
        <v>175.06</v>
      </c>
      <c r="L843">
        <v>1</v>
      </c>
      <c r="M843">
        <v>175.06</v>
      </c>
      <c r="N843" t="s">
        <v>19</v>
      </c>
      <c r="O843" t="s">
        <v>89</v>
      </c>
      <c r="P843" t="s">
        <v>48</v>
      </c>
    </row>
    <row r="844" spans="1:16" x14ac:dyDescent="0.25">
      <c r="A844" t="s">
        <v>1348</v>
      </c>
      <c r="B844" s="1">
        <v>45817</v>
      </c>
      <c r="C844" s="3">
        <v>0.69709490740740743</v>
      </c>
      <c r="D844" t="s">
        <v>16</v>
      </c>
      <c r="E844" t="s">
        <v>136</v>
      </c>
      <c r="F844" s="4"/>
      <c r="G844">
        <v>2001</v>
      </c>
      <c r="H844">
        <v>4</v>
      </c>
      <c r="I844">
        <v>12</v>
      </c>
      <c r="J844" t="s">
        <v>110</v>
      </c>
      <c r="K844">
        <v>109.04</v>
      </c>
      <c r="L844">
        <v>1</v>
      </c>
      <c r="M844">
        <v>109.04</v>
      </c>
      <c r="N844" t="s">
        <v>67</v>
      </c>
      <c r="O844" t="s">
        <v>89</v>
      </c>
    </row>
    <row r="845" spans="1:16" x14ac:dyDescent="0.25">
      <c r="A845" t="s">
        <v>1349</v>
      </c>
      <c r="B845" s="1">
        <v>45734</v>
      </c>
      <c r="C845" s="2">
        <v>0.85763888888888884</v>
      </c>
      <c r="D845" t="s">
        <v>16</v>
      </c>
      <c r="E845" t="s">
        <v>328</v>
      </c>
      <c r="F845" s="1"/>
      <c r="G845">
        <v>1995</v>
      </c>
      <c r="H845">
        <v>5</v>
      </c>
      <c r="I845">
        <v>17</v>
      </c>
      <c r="J845" t="s">
        <v>40</v>
      </c>
      <c r="K845" t="s">
        <v>1350</v>
      </c>
      <c r="L845">
        <v>1</v>
      </c>
      <c r="M845">
        <v>197.58</v>
      </c>
      <c r="N845" t="s">
        <v>31</v>
      </c>
      <c r="O845" t="s">
        <v>47</v>
      </c>
      <c r="P845" t="s">
        <v>48</v>
      </c>
    </row>
    <row r="846" spans="1:16" x14ac:dyDescent="0.25">
      <c r="A846" t="s">
        <v>1351</v>
      </c>
      <c r="B846" t="s">
        <v>1222</v>
      </c>
      <c r="C846" s="2">
        <v>0.82222222222222219</v>
      </c>
      <c r="D846" t="s">
        <v>16</v>
      </c>
      <c r="E846" t="s">
        <v>1352</v>
      </c>
      <c r="G846">
        <v>1989</v>
      </c>
      <c r="H846">
        <v>6</v>
      </c>
      <c r="I846">
        <v>26</v>
      </c>
      <c r="J846" t="s">
        <v>53</v>
      </c>
      <c r="K846">
        <v>-101.86</v>
      </c>
      <c r="L846">
        <v>3</v>
      </c>
      <c r="M846">
        <v>-305.58</v>
      </c>
      <c r="O846" t="s">
        <v>61</v>
      </c>
      <c r="P846" t="s">
        <v>33</v>
      </c>
    </row>
    <row r="847" spans="1:16" x14ac:dyDescent="0.25">
      <c r="A847" t="s">
        <v>1353</v>
      </c>
      <c r="B847" s="1">
        <v>45867</v>
      </c>
      <c r="C847" s="3">
        <v>0.61168981481481477</v>
      </c>
      <c r="D847" t="s">
        <v>16</v>
      </c>
      <c r="E847" t="s">
        <v>346</v>
      </c>
      <c r="F847" s="4"/>
      <c r="G847">
        <v>1974</v>
      </c>
      <c r="H847">
        <v>7</v>
      </c>
      <c r="I847">
        <v>5</v>
      </c>
      <c r="J847" t="s">
        <v>126</v>
      </c>
      <c r="K847">
        <v>207.06</v>
      </c>
      <c r="L847">
        <v>1</v>
      </c>
      <c r="M847">
        <v>207.06</v>
      </c>
      <c r="O847" t="s">
        <v>89</v>
      </c>
      <c r="P847" t="s">
        <v>33</v>
      </c>
    </row>
    <row r="848" spans="1:16" x14ac:dyDescent="0.25">
      <c r="A848" t="s">
        <v>1354</v>
      </c>
      <c r="B848" s="1">
        <v>45731</v>
      </c>
      <c r="C848" s="2">
        <v>0.54513888888888884</v>
      </c>
      <c r="D848" t="s">
        <v>16</v>
      </c>
      <c r="E848" t="s">
        <v>295</v>
      </c>
      <c r="F848" s="1"/>
      <c r="G848">
        <v>1992</v>
      </c>
      <c r="H848">
        <v>10</v>
      </c>
      <c r="I848">
        <v>1</v>
      </c>
      <c r="J848" t="s">
        <v>110</v>
      </c>
      <c r="K848">
        <v>97.45</v>
      </c>
      <c r="L848">
        <v>3</v>
      </c>
      <c r="M848">
        <v>292.35000000000002</v>
      </c>
      <c r="N848" t="s">
        <v>67</v>
      </c>
      <c r="O848" t="s">
        <v>32</v>
      </c>
      <c r="P848" t="s">
        <v>56</v>
      </c>
    </row>
    <row r="849" spans="1:16" x14ac:dyDescent="0.25">
      <c r="A849" t="s">
        <v>1355</v>
      </c>
      <c r="B849" s="4">
        <v>45766</v>
      </c>
      <c r="C849" s="3">
        <v>0.61166666666666669</v>
      </c>
      <c r="D849" t="s">
        <v>16</v>
      </c>
      <c r="E849" t="s">
        <v>334</v>
      </c>
      <c r="G849">
        <v>2007</v>
      </c>
      <c r="H849">
        <v>4</v>
      </c>
      <c r="I849">
        <v>11</v>
      </c>
      <c r="J849" t="s">
        <v>129</v>
      </c>
      <c r="K849">
        <v>204.46</v>
      </c>
      <c r="L849">
        <v>1</v>
      </c>
      <c r="M849">
        <v>204.46</v>
      </c>
      <c r="O849" t="s">
        <v>89</v>
      </c>
      <c r="P849" t="s">
        <v>74</v>
      </c>
    </row>
    <row r="850" spans="1:16" x14ac:dyDescent="0.25">
      <c r="A850" t="s">
        <v>1356</v>
      </c>
      <c r="B850" s="4">
        <v>45665</v>
      </c>
      <c r="C850" s="3">
        <v>0.96229166666666666</v>
      </c>
      <c r="D850" t="s">
        <v>16</v>
      </c>
      <c r="E850" t="s">
        <v>163</v>
      </c>
      <c r="F850" s="4"/>
      <c r="G850">
        <v>1980</v>
      </c>
      <c r="H850">
        <v>7</v>
      </c>
      <c r="I850">
        <v>9</v>
      </c>
      <c r="J850" t="s">
        <v>145</v>
      </c>
      <c r="K850">
        <v>-110.48</v>
      </c>
      <c r="L850">
        <v>3</v>
      </c>
      <c r="M850">
        <v>-331.44</v>
      </c>
      <c r="N850" t="s">
        <v>31</v>
      </c>
      <c r="O850" t="s">
        <v>47</v>
      </c>
      <c r="P850" t="s">
        <v>105</v>
      </c>
    </row>
    <row r="851" spans="1:16" x14ac:dyDescent="0.25">
      <c r="A851" t="s">
        <v>1357</v>
      </c>
      <c r="B851" s="1">
        <v>45737</v>
      </c>
      <c r="C851" s="3">
        <v>0.4776273148148148</v>
      </c>
      <c r="D851" t="s">
        <v>16</v>
      </c>
      <c r="E851" t="s">
        <v>351</v>
      </c>
      <c r="F851" s="1"/>
      <c r="G851">
        <v>2009</v>
      </c>
      <c r="H851">
        <v>10</v>
      </c>
      <c r="I851">
        <v>18</v>
      </c>
      <c r="J851" t="s">
        <v>243</v>
      </c>
      <c r="K851">
        <v>121.65</v>
      </c>
      <c r="L851">
        <v>3</v>
      </c>
      <c r="M851">
        <v>364.95</v>
      </c>
      <c r="N851" t="s">
        <v>54</v>
      </c>
      <c r="O851" t="s">
        <v>89</v>
      </c>
    </row>
    <row r="852" spans="1:16" x14ac:dyDescent="0.25">
      <c r="A852" t="s">
        <v>1358</v>
      </c>
      <c r="B852" s="4">
        <v>45793</v>
      </c>
      <c r="C852" s="5">
        <v>0.84583333333333333</v>
      </c>
      <c r="D852" t="s">
        <v>16</v>
      </c>
      <c r="E852" t="s">
        <v>582</v>
      </c>
      <c r="F852" s="4"/>
      <c r="G852">
        <v>1995</v>
      </c>
      <c r="H852">
        <v>5</v>
      </c>
      <c r="I852">
        <v>12</v>
      </c>
      <c r="J852" t="s">
        <v>104</v>
      </c>
      <c r="K852">
        <v>245.56</v>
      </c>
      <c r="L852">
        <v>1</v>
      </c>
      <c r="M852">
        <v>245.56</v>
      </c>
      <c r="N852" t="s">
        <v>54</v>
      </c>
      <c r="O852" t="s">
        <v>89</v>
      </c>
      <c r="P852" t="s">
        <v>48</v>
      </c>
    </row>
    <row r="853" spans="1:16" x14ac:dyDescent="0.25">
      <c r="A853" t="s">
        <v>1359</v>
      </c>
      <c r="B853" s="4">
        <v>45716</v>
      </c>
      <c r="C853" s="3">
        <v>0.84670138888888891</v>
      </c>
      <c r="D853" t="s">
        <v>16</v>
      </c>
      <c r="E853" t="s">
        <v>332</v>
      </c>
      <c r="F853" s="4"/>
      <c r="G853">
        <v>1972</v>
      </c>
      <c r="H853">
        <v>11</v>
      </c>
      <c r="I853">
        <v>21</v>
      </c>
      <c r="J853" t="s">
        <v>129</v>
      </c>
      <c r="K853">
        <v>145.26</v>
      </c>
      <c r="L853">
        <v>2</v>
      </c>
      <c r="M853">
        <v>290.52</v>
      </c>
      <c r="N853" t="s">
        <v>67</v>
      </c>
      <c r="O853" t="s">
        <v>37</v>
      </c>
    </row>
    <row r="854" spans="1:16" x14ac:dyDescent="0.25">
      <c r="A854" t="s">
        <v>1360</v>
      </c>
      <c r="B854" s="4">
        <v>45674</v>
      </c>
      <c r="C854" s="2">
        <v>0.86041666666666672</v>
      </c>
      <c r="D854" t="s">
        <v>16</v>
      </c>
      <c r="E854" t="s">
        <v>512</v>
      </c>
      <c r="G854">
        <v>1979</v>
      </c>
      <c r="H854">
        <v>3</v>
      </c>
      <c r="I854">
        <v>4</v>
      </c>
      <c r="J854" t="s">
        <v>243</v>
      </c>
      <c r="K854">
        <v>121.07</v>
      </c>
      <c r="L854">
        <v>2</v>
      </c>
      <c r="M854">
        <v>242.14</v>
      </c>
      <c r="N854" t="s">
        <v>25</v>
      </c>
      <c r="O854" t="s">
        <v>32</v>
      </c>
      <c r="P854" t="s">
        <v>21</v>
      </c>
    </row>
    <row r="855" spans="1:16" x14ac:dyDescent="0.25">
      <c r="A855" t="s">
        <v>1361</v>
      </c>
      <c r="B855" s="4">
        <v>45808</v>
      </c>
      <c r="C855" s="5">
        <v>0.59513888888888888</v>
      </c>
      <c r="D855" t="s">
        <v>16</v>
      </c>
      <c r="E855" t="s">
        <v>1362</v>
      </c>
      <c r="F855" s="4"/>
      <c r="G855">
        <v>1994</v>
      </c>
      <c r="H855">
        <v>12</v>
      </c>
      <c r="I855">
        <v>26</v>
      </c>
      <c r="J855" t="s">
        <v>259</v>
      </c>
      <c r="K855">
        <v>207.23</v>
      </c>
      <c r="L855">
        <v>1</v>
      </c>
      <c r="M855">
        <v>207.23</v>
      </c>
      <c r="N855" t="s">
        <v>67</v>
      </c>
      <c r="O855" t="s">
        <v>89</v>
      </c>
      <c r="P855" t="s">
        <v>74</v>
      </c>
    </row>
    <row r="856" spans="1:16" x14ac:dyDescent="0.25">
      <c r="A856" t="s">
        <v>1363</v>
      </c>
      <c r="B856" s="1">
        <v>45967</v>
      </c>
      <c r="C856" s="2">
        <v>0.61111111111111116</v>
      </c>
      <c r="D856" t="s">
        <v>16</v>
      </c>
      <c r="E856" t="s">
        <v>279</v>
      </c>
      <c r="F856" s="4"/>
      <c r="G856">
        <v>2002</v>
      </c>
      <c r="H856">
        <v>2</v>
      </c>
      <c r="I856">
        <v>2</v>
      </c>
      <c r="J856" t="s">
        <v>164</v>
      </c>
      <c r="K856">
        <v>240.3</v>
      </c>
      <c r="L856">
        <v>1</v>
      </c>
      <c r="M856">
        <v>220.3</v>
      </c>
      <c r="N856" t="s">
        <v>41</v>
      </c>
      <c r="O856" t="s">
        <v>32</v>
      </c>
      <c r="P856" t="s">
        <v>33</v>
      </c>
    </row>
    <row r="857" spans="1:16" x14ac:dyDescent="0.25">
      <c r="A857" t="s">
        <v>1364</v>
      </c>
      <c r="B857" s="4">
        <v>45705</v>
      </c>
      <c r="C857" s="2">
        <v>0.86527777777777781</v>
      </c>
      <c r="D857" t="s">
        <v>16</v>
      </c>
      <c r="E857" t="s">
        <v>191</v>
      </c>
      <c r="F857" s="4"/>
      <c r="G857">
        <v>1996</v>
      </c>
      <c r="H857">
        <v>4</v>
      </c>
      <c r="I857">
        <v>14</v>
      </c>
      <c r="J857" t="s">
        <v>202</v>
      </c>
      <c r="L857">
        <v>2</v>
      </c>
      <c r="O857" t="s">
        <v>20</v>
      </c>
    </row>
    <row r="858" spans="1:16" x14ac:dyDescent="0.25">
      <c r="A858" t="s">
        <v>1365</v>
      </c>
      <c r="B858" s="4">
        <v>45711</v>
      </c>
      <c r="C858" s="3">
        <v>0.63061342592592595</v>
      </c>
      <c r="D858" t="s">
        <v>16</v>
      </c>
      <c r="E858" t="s">
        <v>295</v>
      </c>
      <c r="G858">
        <v>1970</v>
      </c>
      <c r="H858">
        <v>8</v>
      </c>
      <c r="I858">
        <v>4</v>
      </c>
      <c r="J858" t="s">
        <v>104</v>
      </c>
      <c r="K858">
        <v>237.64</v>
      </c>
      <c r="L858">
        <v>3</v>
      </c>
      <c r="M858">
        <v>712.92</v>
      </c>
      <c r="N858" t="s">
        <v>64</v>
      </c>
      <c r="O858" t="s">
        <v>89</v>
      </c>
      <c r="P858" t="s">
        <v>56</v>
      </c>
    </row>
    <row r="859" spans="1:16" x14ac:dyDescent="0.25">
      <c r="A859" t="s">
        <v>1366</v>
      </c>
      <c r="B859" s="4">
        <v>45832</v>
      </c>
      <c r="C859" s="3">
        <v>0.80928240740740742</v>
      </c>
      <c r="D859" t="s">
        <v>16</v>
      </c>
      <c r="E859" t="s">
        <v>882</v>
      </c>
      <c r="F859" s="1"/>
      <c r="G859">
        <v>2001</v>
      </c>
      <c r="H859">
        <v>2</v>
      </c>
      <c r="I859">
        <v>8</v>
      </c>
      <c r="J859" t="s">
        <v>85</v>
      </c>
      <c r="K859">
        <v>344.04</v>
      </c>
      <c r="L859">
        <v>2</v>
      </c>
      <c r="M859">
        <v>688.08</v>
      </c>
      <c r="N859" t="s">
        <v>64</v>
      </c>
      <c r="O859" t="s">
        <v>32</v>
      </c>
    </row>
    <row r="860" spans="1:16" x14ac:dyDescent="0.25">
      <c r="A860" t="s">
        <v>1367</v>
      </c>
      <c r="B860" s="4">
        <v>45723</v>
      </c>
      <c r="C860" s="2">
        <v>0.78749999999999998</v>
      </c>
      <c r="D860" t="s">
        <v>16</v>
      </c>
      <c r="E860" t="s">
        <v>562</v>
      </c>
      <c r="F860" s="4"/>
      <c r="G860">
        <v>1978</v>
      </c>
      <c r="H860">
        <v>4</v>
      </c>
      <c r="I860">
        <v>22</v>
      </c>
      <c r="J860" t="s">
        <v>141</v>
      </c>
      <c r="K860">
        <v>125.83</v>
      </c>
      <c r="L860">
        <v>1</v>
      </c>
      <c r="M860">
        <v>125.83</v>
      </c>
      <c r="N860" t="s">
        <v>19</v>
      </c>
      <c r="O860" t="s">
        <v>89</v>
      </c>
      <c r="P860" t="s">
        <v>27</v>
      </c>
    </row>
    <row r="861" spans="1:16" x14ac:dyDescent="0.25">
      <c r="A861" t="s">
        <v>1368</v>
      </c>
      <c r="B861" s="1">
        <v>45937</v>
      </c>
      <c r="C861" s="5">
        <v>0.51249999999999996</v>
      </c>
      <c r="D861" t="s">
        <v>16</v>
      </c>
      <c r="E861" t="s">
        <v>712</v>
      </c>
      <c r="J861" t="s">
        <v>110</v>
      </c>
      <c r="K861">
        <v>109.41</v>
      </c>
      <c r="L861">
        <v>2</v>
      </c>
      <c r="M861">
        <v>218.82</v>
      </c>
      <c r="N861" t="s">
        <v>67</v>
      </c>
      <c r="O861" t="s">
        <v>55</v>
      </c>
      <c r="P861" t="s">
        <v>105</v>
      </c>
    </row>
    <row r="862" spans="1:16" x14ac:dyDescent="0.25">
      <c r="A862" t="s">
        <v>1369</v>
      </c>
      <c r="B862" t="s">
        <v>1370</v>
      </c>
      <c r="C862" s="2">
        <v>0.85972222222222228</v>
      </c>
      <c r="D862" t="s">
        <v>16</v>
      </c>
      <c r="E862" t="s">
        <v>84</v>
      </c>
      <c r="F862" s="4"/>
      <c r="G862">
        <v>1975</v>
      </c>
      <c r="H862">
        <v>6</v>
      </c>
      <c r="I862">
        <v>19</v>
      </c>
      <c r="J862" t="s">
        <v>36</v>
      </c>
      <c r="K862">
        <v>157.41</v>
      </c>
      <c r="L862">
        <v>2</v>
      </c>
      <c r="M862">
        <v>314.82</v>
      </c>
      <c r="N862" t="s">
        <v>19</v>
      </c>
      <c r="O862" t="s">
        <v>26</v>
      </c>
    </row>
    <row r="863" spans="1:16" x14ac:dyDescent="0.25">
      <c r="A863" t="s">
        <v>1371</v>
      </c>
      <c r="B863" s="4">
        <v>45848</v>
      </c>
      <c r="C863" s="2">
        <v>0.60416666666666663</v>
      </c>
      <c r="D863" t="s">
        <v>16</v>
      </c>
      <c r="E863" t="s">
        <v>855</v>
      </c>
      <c r="G863">
        <v>2007</v>
      </c>
      <c r="H863">
        <v>7</v>
      </c>
      <c r="I863">
        <v>21</v>
      </c>
      <c r="J863" t="s">
        <v>60</v>
      </c>
      <c r="K863">
        <v>107.78</v>
      </c>
      <c r="L863">
        <v>2</v>
      </c>
      <c r="M863">
        <v>215.56</v>
      </c>
      <c r="N863" t="s">
        <v>31</v>
      </c>
      <c r="O863" t="s">
        <v>32</v>
      </c>
      <c r="P863" t="s">
        <v>74</v>
      </c>
    </row>
    <row r="864" spans="1:16" x14ac:dyDescent="0.25">
      <c r="A864" t="s">
        <v>1372</v>
      </c>
      <c r="B864" s="4">
        <v>45799</v>
      </c>
      <c r="C864" s="2">
        <v>0.77708333333333335</v>
      </c>
      <c r="D864" t="s">
        <v>16</v>
      </c>
      <c r="E864" t="s">
        <v>211</v>
      </c>
      <c r="F864" s="1"/>
      <c r="G864">
        <v>2010</v>
      </c>
      <c r="H864">
        <v>11</v>
      </c>
      <c r="I864">
        <v>28</v>
      </c>
      <c r="J864" t="s">
        <v>30</v>
      </c>
      <c r="K864">
        <v>302.35000000000002</v>
      </c>
      <c r="L864">
        <v>2</v>
      </c>
      <c r="M864">
        <v>604.70000000000005</v>
      </c>
      <c r="N864" t="s">
        <v>31</v>
      </c>
      <c r="O864" t="s">
        <v>47</v>
      </c>
    </row>
    <row r="865" spans="1:16" x14ac:dyDescent="0.25">
      <c r="A865" t="s">
        <v>1373</v>
      </c>
      <c r="B865" s="4">
        <v>45904</v>
      </c>
      <c r="C865" s="5">
        <v>0.82847222222222228</v>
      </c>
      <c r="D865" t="s">
        <v>16</v>
      </c>
      <c r="E865" t="s">
        <v>169</v>
      </c>
      <c r="F865" s="4"/>
      <c r="G865">
        <v>1973</v>
      </c>
      <c r="H865">
        <v>7</v>
      </c>
      <c r="I865">
        <v>17</v>
      </c>
      <c r="J865" t="s">
        <v>116</v>
      </c>
      <c r="K865">
        <v>233.73</v>
      </c>
      <c r="L865">
        <v>1</v>
      </c>
      <c r="M865">
        <v>233.73</v>
      </c>
      <c r="N865" t="s">
        <v>67</v>
      </c>
      <c r="O865" t="s">
        <v>26</v>
      </c>
    </row>
    <row r="866" spans="1:16" x14ac:dyDescent="0.25">
      <c r="A866" t="s">
        <v>1374</v>
      </c>
      <c r="B866" s="1">
        <v>45931</v>
      </c>
      <c r="C866" s="5">
        <v>0.60902777777777772</v>
      </c>
      <c r="D866" t="s">
        <v>16</v>
      </c>
      <c r="E866" t="s">
        <v>118</v>
      </c>
      <c r="G866">
        <v>1980</v>
      </c>
      <c r="H866">
        <v>10</v>
      </c>
      <c r="I866">
        <v>12</v>
      </c>
      <c r="J866" t="s">
        <v>126</v>
      </c>
      <c r="K866">
        <v>310.94</v>
      </c>
      <c r="L866">
        <v>2</v>
      </c>
      <c r="M866">
        <v>621.88</v>
      </c>
      <c r="N866" t="s">
        <v>67</v>
      </c>
      <c r="O866" t="s">
        <v>37</v>
      </c>
      <c r="P866" t="s">
        <v>27</v>
      </c>
    </row>
    <row r="867" spans="1:16" x14ac:dyDescent="0.25">
      <c r="A867" t="s">
        <v>1375</v>
      </c>
      <c r="B867" s="1">
        <v>45781</v>
      </c>
      <c r="C867" s="3">
        <v>0.47836805555555556</v>
      </c>
      <c r="D867" t="s">
        <v>16</v>
      </c>
      <c r="E867" t="s">
        <v>712</v>
      </c>
      <c r="F867" s="1"/>
      <c r="G867">
        <v>2005</v>
      </c>
      <c r="H867">
        <v>2</v>
      </c>
      <c r="I867">
        <v>21</v>
      </c>
      <c r="J867" t="s">
        <v>73</v>
      </c>
      <c r="K867">
        <v>53.96</v>
      </c>
      <c r="L867">
        <v>1</v>
      </c>
      <c r="M867">
        <v>53.96</v>
      </c>
      <c r="N867" t="s">
        <v>25</v>
      </c>
      <c r="O867" t="s">
        <v>32</v>
      </c>
      <c r="P867" t="s">
        <v>48</v>
      </c>
    </row>
    <row r="868" spans="1:16" x14ac:dyDescent="0.25">
      <c r="A868" t="s">
        <v>1376</v>
      </c>
      <c r="B868" s="1">
        <v>45667</v>
      </c>
      <c r="C868" s="3">
        <v>0.63479166666666664</v>
      </c>
      <c r="D868" t="s">
        <v>16</v>
      </c>
      <c r="E868" t="s">
        <v>95</v>
      </c>
      <c r="F868" s="4"/>
      <c r="G868">
        <v>1970</v>
      </c>
      <c r="H868">
        <v>8</v>
      </c>
      <c r="I868">
        <v>20</v>
      </c>
      <c r="J868" t="s">
        <v>202</v>
      </c>
      <c r="K868">
        <v>133.72</v>
      </c>
      <c r="L868">
        <v>1</v>
      </c>
      <c r="M868">
        <v>133.72</v>
      </c>
      <c r="N868" t="s">
        <v>41</v>
      </c>
      <c r="O868" t="s">
        <v>26</v>
      </c>
    </row>
    <row r="869" spans="1:16" x14ac:dyDescent="0.25">
      <c r="A869" t="s">
        <v>1377</v>
      </c>
      <c r="B869" s="4">
        <v>45864</v>
      </c>
      <c r="C869" s="5">
        <v>0.65347222222222223</v>
      </c>
      <c r="D869" t="s">
        <v>16</v>
      </c>
      <c r="E869" t="s">
        <v>204</v>
      </c>
      <c r="F869" s="4"/>
      <c r="G869">
        <v>1983</v>
      </c>
      <c r="H869">
        <v>4</v>
      </c>
      <c r="I869">
        <v>20</v>
      </c>
      <c r="J869" t="s">
        <v>104</v>
      </c>
      <c r="L869">
        <v>1</v>
      </c>
      <c r="N869" t="s">
        <v>41</v>
      </c>
      <c r="O869" t="s">
        <v>89</v>
      </c>
      <c r="P869" t="s">
        <v>21</v>
      </c>
    </row>
    <row r="870" spans="1:16" x14ac:dyDescent="0.25">
      <c r="A870" t="s">
        <v>1378</v>
      </c>
      <c r="B870" s="4">
        <v>45969</v>
      </c>
      <c r="C870" s="3">
        <v>0.95211805555555551</v>
      </c>
      <c r="D870" t="s">
        <v>16</v>
      </c>
      <c r="E870" t="s">
        <v>109</v>
      </c>
      <c r="G870">
        <v>1990</v>
      </c>
      <c r="H870">
        <v>5</v>
      </c>
      <c r="I870">
        <v>1</v>
      </c>
      <c r="J870" t="s">
        <v>178</v>
      </c>
      <c r="K870">
        <v>262.07</v>
      </c>
      <c r="L870">
        <v>2</v>
      </c>
      <c r="M870">
        <v>524.14</v>
      </c>
      <c r="N870" t="s">
        <v>64</v>
      </c>
      <c r="O870" t="s">
        <v>55</v>
      </c>
      <c r="P870" t="s">
        <v>48</v>
      </c>
    </row>
    <row r="871" spans="1:16" x14ac:dyDescent="0.25">
      <c r="A871" t="s">
        <v>1379</v>
      </c>
      <c r="B871" s="4">
        <v>45841</v>
      </c>
      <c r="C871" s="2">
        <v>0.48749999999999999</v>
      </c>
      <c r="D871" t="s">
        <v>16</v>
      </c>
      <c r="E871" t="s">
        <v>882</v>
      </c>
      <c r="F871" s="4"/>
      <c r="G871">
        <v>1987</v>
      </c>
      <c r="H871">
        <v>1</v>
      </c>
      <c r="I871">
        <v>20</v>
      </c>
      <c r="J871" t="s">
        <v>30</v>
      </c>
      <c r="K871">
        <v>260.76</v>
      </c>
      <c r="L871">
        <v>3</v>
      </c>
      <c r="M871">
        <v>754.28</v>
      </c>
      <c r="N871" t="s">
        <v>19</v>
      </c>
      <c r="O871" t="s">
        <v>26</v>
      </c>
      <c r="P871" t="s">
        <v>105</v>
      </c>
    </row>
    <row r="872" spans="1:16" x14ac:dyDescent="0.25">
      <c r="A872" t="s">
        <v>1380</v>
      </c>
      <c r="B872" t="s">
        <v>1381</v>
      </c>
      <c r="C872" s="5">
        <v>0.65208333333333335</v>
      </c>
      <c r="D872" t="s">
        <v>16</v>
      </c>
      <c r="E872" t="s">
        <v>281</v>
      </c>
      <c r="F872" s="1"/>
      <c r="G872">
        <v>2010</v>
      </c>
      <c r="H872">
        <v>3</v>
      </c>
      <c r="I872">
        <v>8</v>
      </c>
      <c r="J872" t="s">
        <v>77</v>
      </c>
      <c r="K872">
        <v>334.8</v>
      </c>
      <c r="L872">
        <v>3</v>
      </c>
      <c r="M872">
        <v>1004.4</v>
      </c>
      <c r="N872" t="s">
        <v>54</v>
      </c>
      <c r="O872" t="s">
        <v>47</v>
      </c>
      <c r="P872" t="s">
        <v>48</v>
      </c>
    </row>
    <row r="873" spans="1:16" x14ac:dyDescent="0.25">
      <c r="A873" t="s">
        <v>1382</v>
      </c>
      <c r="B873" s="4">
        <v>45681</v>
      </c>
      <c r="C873" s="3">
        <v>0.58361111111111108</v>
      </c>
      <c r="D873" t="s">
        <v>16</v>
      </c>
      <c r="E873" t="s">
        <v>128</v>
      </c>
      <c r="F873" s="4"/>
      <c r="G873">
        <v>1996</v>
      </c>
      <c r="H873">
        <v>4</v>
      </c>
      <c r="I873">
        <v>7</v>
      </c>
      <c r="J873" t="s">
        <v>110</v>
      </c>
      <c r="K873">
        <v>100.43</v>
      </c>
      <c r="L873">
        <v>1</v>
      </c>
      <c r="M873">
        <v>100.43</v>
      </c>
      <c r="N873" t="s">
        <v>64</v>
      </c>
      <c r="O873" t="s">
        <v>89</v>
      </c>
      <c r="P873" t="s">
        <v>27</v>
      </c>
    </row>
    <row r="874" spans="1:16" x14ac:dyDescent="0.25">
      <c r="A874" t="s">
        <v>1383</v>
      </c>
      <c r="B874" s="4">
        <v>45762</v>
      </c>
      <c r="C874" s="2">
        <v>0.69374999999999998</v>
      </c>
      <c r="D874" t="s">
        <v>16</v>
      </c>
      <c r="E874" t="s">
        <v>1384</v>
      </c>
      <c r="G874">
        <v>1991</v>
      </c>
      <c r="H874">
        <v>1</v>
      </c>
      <c r="I874">
        <v>19</v>
      </c>
      <c r="J874" t="s">
        <v>77</v>
      </c>
      <c r="K874">
        <v>227.73</v>
      </c>
      <c r="L874">
        <v>2</v>
      </c>
      <c r="M874">
        <v>455.46</v>
      </c>
      <c r="N874" t="s">
        <v>19</v>
      </c>
      <c r="O874" t="s">
        <v>61</v>
      </c>
      <c r="P874" t="s">
        <v>74</v>
      </c>
    </row>
    <row r="875" spans="1:16" x14ac:dyDescent="0.25">
      <c r="A875" t="s">
        <v>1385</v>
      </c>
      <c r="B875" t="s">
        <v>1386</v>
      </c>
      <c r="C875" s="2">
        <v>0.49375000000000002</v>
      </c>
      <c r="D875" t="s">
        <v>16</v>
      </c>
      <c r="E875" t="s">
        <v>1387</v>
      </c>
      <c r="G875">
        <v>2007</v>
      </c>
      <c r="H875">
        <v>6</v>
      </c>
      <c r="I875">
        <v>9</v>
      </c>
      <c r="J875" t="s">
        <v>259</v>
      </c>
      <c r="K875">
        <v>204.89</v>
      </c>
      <c r="L875">
        <v>2</v>
      </c>
      <c r="M875">
        <v>409.78</v>
      </c>
      <c r="N875" t="s">
        <v>19</v>
      </c>
      <c r="O875" t="s">
        <v>61</v>
      </c>
      <c r="P875" t="s">
        <v>105</v>
      </c>
    </row>
    <row r="876" spans="1:16" x14ac:dyDescent="0.25">
      <c r="A876" t="s">
        <v>1388</v>
      </c>
      <c r="B876" s="4">
        <v>45838</v>
      </c>
      <c r="C876" s="3">
        <v>0.96989583333333329</v>
      </c>
      <c r="D876" t="s">
        <v>16</v>
      </c>
      <c r="E876" t="s">
        <v>1389</v>
      </c>
      <c r="F876" s="1"/>
      <c r="G876">
        <v>2003</v>
      </c>
      <c r="H876">
        <v>5</v>
      </c>
      <c r="I876">
        <v>26</v>
      </c>
      <c r="J876" t="s">
        <v>116</v>
      </c>
      <c r="K876">
        <v>43.17</v>
      </c>
      <c r="L876">
        <v>1</v>
      </c>
      <c r="M876">
        <v>43.17</v>
      </c>
      <c r="N876" t="s">
        <v>25</v>
      </c>
      <c r="O876" t="s">
        <v>89</v>
      </c>
      <c r="P876" t="s">
        <v>27</v>
      </c>
    </row>
    <row r="877" spans="1:16" x14ac:dyDescent="0.25">
      <c r="A877" t="s">
        <v>1390</v>
      </c>
      <c r="B877" s="4">
        <v>45721</v>
      </c>
      <c r="C877" s="2">
        <v>0.65208333333333335</v>
      </c>
      <c r="D877" t="s">
        <v>16</v>
      </c>
      <c r="E877" t="s">
        <v>408</v>
      </c>
      <c r="F877" s="4"/>
      <c r="G877">
        <v>1987</v>
      </c>
      <c r="H877">
        <v>6</v>
      </c>
      <c r="I877">
        <v>25</v>
      </c>
      <c r="J877" t="s">
        <v>116</v>
      </c>
      <c r="K877">
        <v>263.86</v>
      </c>
      <c r="L877">
        <v>2</v>
      </c>
      <c r="M877">
        <v>527.72</v>
      </c>
      <c r="N877" t="s">
        <v>41</v>
      </c>
      <c r="O877" t="s">
        <v>32</v>
      </c>
    </row>
    <row r="878" spans="1:16" x14ac:dyDescent="0.25">
      <c r="A878" t="s">
        <v>1391</v>
      </c>
      <c r="B878" s="4">
        <v>45680</v>
      </c>
      <c r="C878" s="5">
        <v>0.96388888888888891</v>
      </c>
      <c r="D878" t="s">
        <v>16</v>
      </c>
      <c r="E878" t="s">
        <v>109</v>
      </c>
      <c r="F878" s="4"/>
      <c r="G878">
        <v>2001</v>
      </c>
      <c r="H878">
        <v>7</v>
      </c>
      <c r="I878">
        <v>24</v>
      </c>
      <c r="J878" t="s">
        <v>202</v>
      </c>
      <c r="K878">
        <v>294.47000000000003</v>
      </c>
      <c r="L878">
        <v>1</v>
      </c>
      <c r="M878">
        <v>294.47000000000003</v>
      </c>
      <c r="N878" t="s">
        <v>64</v>
      </c>
      <c r="O878" t="s">
        <v>47</v>
      </c>
      <c r="P878" t="s">
        <v>105</v>
      </c>
    </row>
    <row r="879" spans="1:16" x14ac:dyDescent="0.25">
      <c r="A879" t="s">
        <v>1392</v>
      </c>
      <c r="C879" s="5">
        <v>0.49583333333333335</v>
      </c>
      <c r="D879" t="s">
        <v>16</v>
      </c>
      <c r="E879" t="s">
        <v>240</v>
      </c>
      <c r="G879">
        <v>1975</v>
      </c>
      <c r="H879">
        <v>10</v>
      </c>
      <c r="I879">
        <v>21</v>
      </c>
      <c r="J879" t="s">
        <v>93</v>
      </c>
      <c r="K879">
        <v>230.06</v>
      </c>
      <c r="L879">
        <v>2</v>
      </c>
      <c r="M879">
        <v>460.12</v>
      </c>
      <c r="N879" t="s">
        <v>67</v>
      </c>
      <c r="O879" t="s">
        <v>20</v>
      </c>
      <c r="P879" t="s">
        <v>33</v>
      </c>
    </row>
    <row r="880" spans="1:16" x14ac:dyDescent="0.25">
      <c r="A880" t="s">
        <v>1393</v>
      </c>
      <c r="B880" s="1">
        <v>45746</v>
      </c>
      <c r="C880" s="3">
        <v>0.56988425925925923</v>
      </c>
      <c r="D880" t="s">
        <v>16</v>
      </c>
      <c r="E880" t="s">
        <v>191</v>
      </c>
      <c r="F880" s="1"/>
      <c r="G880">
        <v>1985</v>
      </c>
      <c r="H880">
        <v>4</v>
      </c>
      <c r="I880">
        <v>4</v>
      </c>
      <c r="J880" t="s">
        <v>36</v>
      </c>
      <c r="K880">
        <v>217.21</v>
      </c>
      <c r="L880">
        <v>2</v>
      </c>
      <c r="M880">
        <v>434.42</v>
      </c>
      <c r="O880" t="s">
        <v>20</v>
      </c>
      <c r="P880" t="s">
        <v>27</v>
      </c>
    </row>
    <row r="881" spans="1:16" x14ac:dyDescent="0.25">
      <c r="A881" t="s">
        <v>1394</v>
      </c>
      <c r="B881" s="4">
        <v>45962</v>
      </c>
      <c r="C881" s="3">
        <v>0.67737268518518523</v>
      </c>
      <c r="D881" t="s">
        <v>16</v>
      </c>
      <c r="E881" t="s">
        <v>218</v>
      </c>
      <c r="G881">
        <v>2005</v>
      </c>
      <c r="H881">
        <v>10</v>
      </c>
      <c r="I881">
        <v>16</v>
      </c>
      <c r="J881" t="s">
        <v>77</v>
      </c>
      <c r="K881">
        <v>211.15</v>
      </c>
      <c r="L881">
        <v>1</v>
      </c>
      <c r="M881">
        <v>211.15</v>
      </c>
      <c r="N881" t="s">
        <v>25</v>
      </c>
      <c r="O881" t="s">
        <v>55</v>
      </c>
      <c r="P881" t="s">
        <v>33</v>
      </c>
    </row>
    <row r="882" spans="1:16" x14ac:dyDescent="0.25">
      <c r="A882" t="s">
        <v>1395</v>
      </c>
      <c r="B882" t="s">
        <v>1396</v>
      </c>
      <c r="C882" s="5">
        <v>0.77083333333333337</v>
      </c>
      <c r="D882" t="s">
        <v>16</v>
      </c>
      <c r="E882" t="s">
        <v>1397</v>
      </c>
      <c r="F882" s="4"/>
      <c r="G882">
        <v>1996</v>
      </c>
      <c r="H882">
        <v>8</v>
      </c>
      <c r="I882">
        <v>12</v>
      </c>
      <c r="J882" t="s">
        <v>129</v>
      </c>
      <c r="K882">
        <v>204.35</v>
      </c>
      <c r="L882">
        <v>1</v>
      </c>
      <c r="M882">
        <v>204.35</v>
      </c>
      <c r="N882" t="s">
        <v>54</v>
      </c>
      <c r="O882" t="s">
        <v>20</v>
      </c>
      <c r="P882" t="s">
        <v>56</v>
      </c>
    </row>
    <row r="883" spans="1:16" x14ac:dyDescent="0.25">
      <c r="A883" t="s">
        <v>1398</v>
      </c>
      <c r="B883" s="4">
        <v>45820</v>
      </c>
      <c r="C883" s="2">
        <v>0.57430555555555551</v>
      </c>
      <c r="D883" t="s">
        <v>16</v>
      </c>
      <c r="E883" t="s">
        <v>264</v>
      </c>
      <c r="F883" s="4"/>
      <c r="G883">
        <v>1991</v>
      </c>
      <c r="H883">
        <v>11</v>
      </c>
      <c r="I883">
        <v>22</v>
      </c>
      <c r="J883" t="s">
        <v>73</v>
      </c>
      <c r="K883" t="s">
        <v>1399</v>
      </c>
      <c r="L883">
        <v>1</v>
      </c>
      <c r="M883">
        <v>44.6</v>
      </c>
      <c r="O883" t="s">
        <v>55</v>
      </c>
      <c r="P883" t="s">
        <v>21</v>
      </c>
    </row>
    <row r="884" spans="1:16" x14ac:dyDescent="0.25">
      <c r="A884" t="s">
        <v>1400</v>
      </c>
      <c r="B884" s="4">
        <v>45652</v>
      </c>
      <c r="C884" s="2">
        <v>0.97152777777777777</v>
      </c>
      <c r="D884" t="s">
        <v>16</v>
      </c>
      <c r="E884" t="s">
        <v>222</v>
      </c>
      <c r="F884" s="4"/>
      <c r="G884">
        <v>2008</v>
      </c>
      <c r="H884">
        <v>9</v>
      </c>
      <c r="I884">
        <v>19</v>
      </c>
      <c r="J884" t="s">
        <v>36</v>
      </c>
      <c r="K884">
        <v>127.1</v>
      </c>
      <c r="L884">
        <v>2</v>
      </c>
      <c r="M884">
        <v>254.2</v>
      </c>
      <c r="N884" t="s">
        <v>19</v>
      </c>
      <c r="O884" t="s">
        <v>20</v>
      </c>
    </row>
    <row r="885" spans="1:16" x14ac:dyDescent="0.25">
      <c r="A885" t="s">
        <v>1401</v>
      </c>
      <c r="B885" s="1">
        <v>45866</v>
      </c>
      <c r="C885" s="2">
        <v>0.89513888888888893</v>
      </c>
      <c r="D885" t="s">
        <v>16</v>
      </c>
      <c r="E885" t="s">
        <v>204</v>
      </c>
      <c r="J885" t="s">
        <v>40</v>
      </c>
      <c r="K885">
        <v>213.52</v>
      </c>
      <c r="L885">
        <v>2</v>
      </c>
      <c r="M885">
        <v>427.04</v>
      </c>
      <c r="N885" t="s">
        <v>67</v>
      </c>
      <c r="O885" t="s">
        <v>55</v>
      </c>
      <c r="P885" t="s">
        <v>27</v>
      </c>
    </row>
    <row r="886" spans="1:16" x14ac:dyDescent="0.25">
      <c r="A886" t="s">
        <v>1402</v>
      </c>
      <c r="B886" t="s">
        <v>1106</v>
      </c>
      <c r="C886" s="5">
        <v>0.70694444444444449</v>
      </c>
      <c r="D886" t="s">
        <v>16</v>
      </c>
      <c r="E886" t="s">
        <v>173</v>
      </c>
      <c r="F886" s="4"/>
      <c r="G886">
        <v>2009</v>
      </c>
      <c r="H886">
        <v>9</v>
      </c>
      <c r="I886">
        <v>14</v>
      </c>
      <c r="J886" t="s">
        <v>164</v>
      </c>
      <c r="K886">
        <v>303.14999999999998</v>
      </c>
      <c r="L886">
        <v>1</v>
      </c>
      <c r="M886">
        <v>303.14999999999998</v>
      </c>
      <c r="N886" t="s">
        <v>64</v>
      </c>
      <c r="O886" t="s">
        <v>37</v>
      </c>
      <c r="P886" t="s">
        <v>48</v>
      </c>
    </row>
    <row r="887" spans="1:16" x14ac:dyDescent="0.25">
      <c r="A887" t="s">
        <v>1403</v>
      </c>
      <c r="B887" s="1">
        <v>45850</v>
      </c>
      <c r="C887" s="5">
        <v>0.96388888888888891</v>
      </c>
      <c r="D887" t="s">
        <v>16</v>
      </c>
      <c r="E887" t="s">
        <v>206</v>
      </c>
      <c r="F887" s="4"/>
      <c r="G887">
        <v>1980</v>
      </c>
      <c r="H887">
        <v>12</v>
      </c>
      <c r="I887">
        <v>8</v>
      </c>
      <c r="J887" t="s">
        <v>45</v>
      </c>
      <c r="K887">
        <v>152.86000000000001</v>
      </c>
      <c r="L887">
        <v>1</v>
      </c>
      <c r="M887">
        <v>152.86000000000001</v>
      </c>
      <c r="N887" t="s">
        <v>64</v>
      </c>
      <c r="O887" t="s">
        <v>26</v>
      </c>
    </row>
    <row r="888" spans="1:16" x14ac:dyDescent="0.25">
      <c r="A888" t="s">
        <v>1404</v>
      </c>
      <c r="B888" s="4">
        <v>45962</v>
      </c>
      <c r="C888" s="5">
        <v>0.64722222222222225</v>
      </c>
      <c r="D888" t="s">
        <v>16</v>
      </c>
      <c r="E888" t="s">
        <v>125</v>
      </c>
      <c r="F888" s="4"/>
      <c r="G888">
        <v>1975</v>
      </c>
      <c r="H888">
        <v>6</v>
      </c>
      <c r="I888">
        <v>7</v>
      </c>
      <c r="J888" t="s">
        <v>126</v>
      </c>
      <c r="K888">
        <v>240.34</v>
      </c>
      <c r="L888">
        <v>1</v>
      </c>
      <c r="M888">
        <v>240.34</v>
      </c>
      <c r="N888" t="s">
        <v>31</v>
      </c>
      <c r="O888" t="s">
        <v>32</v>
      </c>
      <c r="P888" t="s">
        <v>56</v>
      </c>
    </row>
    <row r="889" spans="1:16" x14ac:dyDescent="0.25">
      <c r="A889" t="s">
        <v>1405</v>
      </c>
      <c r="B889" s="4">
        <v>45882</v>
      </c>
      <c r="C889" s="2">
        <v>0.68680555555555556</v>
      </c>
      <c r="D889" t="s">
        <v>16</v>
      </c>
      <c r="E889" t="s">
        <v>492</v>
      </c>
      <c r="F889" s="4"/>
      <c r="G889">
        <v>1976</v>
      </c>
      <c r="H889">
        <v>10</v>
      </c>
      <c r="I889">
        <v>8</v>
      </c>
      <c r="J889" t="s">
        <v>259</v>
      </c>
      <c r="K889">
        <v>251.35</v>
      </c>
      <c r="L889">
        <v>1</v>
      </c>
      <c r="M889">
        <v>251.35</v>
      </c>
      <c r="N889" t="s">
        <v>64</v>
      </c>
      <c r="O889" t="s">
        <v>61</v>
      </c>
      <c r="P889" t="s">
        <v>33</v>
      </c>
    </row>
    <row r="890" spans="1:16" x14ac:dyDescent="0.25">
      <c r="A890" t="s">
        <v>1406</v>
      </c>
      <c r="B890" s="4">
        <v>45643</v>
      </c>
      <c r="C890" s="3">
        <v>0.50314814814814812</v>
      </c>
      <c r="D890" t="s">
        <v>16</v>
      </c>
      <c r="E890" t="s">
        <v>358</v>
      </c>
      <c r="G890">
        <v>1975</v>
      </c>
      <c r="H890">
        <v>5</v>
      </c>
      <c r="I890">
        <v>24</v>
      </c>
      <c r="J890" t="s">
        <v>40</v>
      </c>
      <c r="K890">
        <v>169.64</v>
      </c>
      <c r="L890">
        <v>2</v>
      </c>
      <c r="M890">
        <v>339.28</v>
      </c>
      <c r="N890" t="s">
        <v>19</v>
      </c>
      <c r="O890" t="s">
        <v>55</v>
      </c>
      <c r="P890" t="s">
        <v>74</v>
      </c>
    </row>
    <row r="891" spans="1:16" x14ac:dyDescent="0.25">
      <c r="A891" t="s">
        <v>1407</v>
      </c>
      <c r="B891" s="1">
        <v>45801</v>
      </c>
      <c r="C891" s="3">
        <v>0.86759259259259258</v>
      </c>
      <c r="D891" t="s">
        <v>16</v>
      </c>
      <c r="E891" t="s">
        <v>187</v>
      </c>
      <c r="F891" s="4"/>
      <c r="G891">
        <v>1985</v>
      </c>
      <c r="H891">
        <v>12</v>
      </c>
      <c r="I891">
        <v>26</v>
      </c>
      <c r="J891" t="s">
        <v>77</v>
      </c>
      <c r="K891">
        <v>113.9</v>
      </c>
      <c r="L891">
        <v>1</v>
      </c>
      <c r="M891">
        <v>113.9</v>
      </c>
      <c r="N891" t="s">
        <v>19</v>
      </c>
      <c r="O891" t="s">
        <v>55</v>
      </c>
      <c r="P891" t="s">
        <v>74</v>
      </c>
    </row>
    <row r="892" spans="1:16" x14ac:dyDescent="0.25">
      <c r="A892" t="s">
        <v>1408</v>
      </c>
      <c r="B892" t="s">
        <v>608</v>
      </c>
      <c r="C892" s="2">
        <v>0.85</v>
      </c>
      <c r="D892" t="s">
        <v>16</v>
      </c>
      <c r="E892" t="s">
        <v>664</v>
      </c>
      <c r="F892" s="4"/>
      <c r="G892">
        <v>2003</v>
      </c>
      <c r="H892">
        <v>11</v>
      </c>
      <c r="I892">
        <v>5</v>
      </c>
      <c r="J892" t="s">
        <v>73</v>
      </c>
      <c r="K892">
        <v>52.48</v>
      </c>
      <c r="L892">
        <v>1</v>
      </c>
      <c r="M892">
        <v>52.48</v>
      </c>
      <c r="N892" t="s">
        <v>31</v>
      </c>
      <c r="O892" t="s">
        <v>37</v>
      </c>
      <c r="P892" t="s">
        <v>105</v>
      </c>
    </row>
    <row r="893" spans="1:16" x14ac:dyDescent="0.25">
      <c r="A893" t="s">
        <v>1409</v>
      </c>
      <c r="B893" s="1">
        <v>45887</v>
      </c>
      <c r="C893" s="2">
        <v>0.73333333333333328</v>
      </c>
      <c r="D893" t="s">
        <v>16</v>
      </c>
      <c r="E893" t="s">
        <v>664</v>
      </c>
      <c r="F893" s="4"/>
      <c r="G893">
        <v>1978</v>
      </c>
      <c r="H893">
        <v>11</v>
      </c>
      <c r="I893">
        <v>26</v>
      </c>
      <c r="J893" t="s">
        <v>85</v>
      </c>
      <c r="K893">
        <v>305.66000000000003</v>
      </c>
      <c r="L893">
        <v>2</v>
      </c>
      <c r="M893">
        <v>611.32000000000005</v>
      </c>
      <c r="N893" t="s">
        <v>41</v>
      </c>
      <c r="O893" t="s">
        <v>89</v>
      </c>
      <c r="P893" t="s">
        <v>33</v>
      </c>
    </row>
    <row r="894" spans="1:16" x14ac:dyDescent="0.25">
      <c r="A894" t="s">
        <v>1410</v>
      </c>
      <c r="B894" s="4">
        <v>45901</v>
      </c>
      <c r="C894" s="5">
        <v>0.52708333333333335</v>
      </c>
      <c r="D894" t="s">
        <v>16</v>
      </c>
      <c r="E894" t="s">
        <v>264</v>
      </c>
      <c r="J894" t="s">
        <v>93</v>
      </c>
      <c r="K894">
        <v>230.65</v>
      </c>
      <c r="L894">
        <v>1</v>
      </c>
      <c r="M894">
        <v>230.65</v>
      </c>
      <c r="N894" t="s">
        <v>64</v>
      </c>
      <c r="O894" t="s">
        <v>89</v>
      </c>
    </row>
    <row r="895" spans="1:16" x14ac:dyDescent="0.25">
      <c r="A895" t="s">
        <v>1411</v>
      </c>
      <c r="B895" t="s">
        <v>1412</v>
      </c>
      <c r="C895" s="5">
        <v>0.90138888888888891</v>
      </c>
      <c r="D895" t="s">
        <v>16</v>
      </c>
      <c r="E895" t="s">
        <v>427</v>
      </c>
      <c r="F895" s="4"/>
      <c r="G895">
        <v>2010</v>
      </c>
      <c r="H895">
        <v>9</v>
      </c>
      <c r="I895">
        <v>24</v>
      </c>
      <c r="J895" t="s">
        <v>24</v>
      </c>
      <c r="K895">
        <v>198.85</v>
      </c>
      <c r="L895">
        <v>3</v>
      </c>
      <c r="M895">
        <v>596.54999999999995</v>
      </c>
      <c r="N895" t="s">
        <v>31</v>
      </c>
      <c r="O895" t="s">
        <v>32</v>
      </c>
      <c r="P895" t="s">
        <v>74</v>
      </c>
    </row>
    <row r="896" spans="1:16" x14ac:dyDescent="0.25">
      <c r="A896" t="s">
        <v>1413</v>
      </c>
      <c r="B896" s="4">
        <v>45973</v>
      </c>
      <c r="C896" s="2">
        <v>0.46736111111111112</v>
      </c>
      <c r="D896" t="s">
        <v>16</v>
      </c>
      <c r="E896" t="s">
        <v>201</v>
      </c>
      <c r="F896" s="1"/>
      <c r="G896">
        <v>1978</v>
      </c>
      <c r="H896">
        <v>10</v>
      </c>
      <c r="I896">
        <v>1</v>
      </c>
      <c r="J896" t="s">
        <v>199</v>
      </c>
      <c r="K896">
        <v>244.99</v>
      </c>
      <c r="L896">
        <v>3</v>
      </c>
      <c r="M896" t="s">
        <v>1414</v>
      </c>
      <c r="N896" t="s">
        <v>64</v>
      </c>
      <c r="O896" t="s">
        <v>26</v>
      </c>
      <c r="P896" t="s">
        <v>48</v>
      </c>
    </row>
    <row r="897" spans="1:16" x14ac:dyDescent="0.25">
      <c r="A897" t="s">
        <v>1415</v>
      </c>
      <c r="B897" s="1">
        <v>45883</v>
      </c>
      <c r="C897" s="5">
        <v>0.88541666666666663</v>
      </c>
      <c r="D897" t="s">
        <v>16</v>
      </c>
      <c r="E897" t="s">
        <v>281</v>
      </c>
      <c r="F897" s="1"/>
      <c r="G897">
        <v>1977</v>
      </c>
      <c r="H897">
        <v>5</v>
      </c>
      <c r="I897">
        <v>15</v>
      </c>
      <c r="J897" t="s">
        <v>93</v>
      </c>
      <c r="K897">
        <v>200.67</v>
      </c>
      <c r="L897">
        <v>3</v>
      </c>
      <c r="M897">
        <v>602.01</v>
      </c>
      <c r="N897" t="s">
        <v>31</v>
      </c>
      <c r="O897" t="s">
        <v>61</v>
      </c>
      <c r="P897" t="s">
        <v>105</v>
      </c>
    </row>
    <row r="898" spans="1:16" x14ac:dyDescent="0.25">
      <c r="A898" t="s">
        <v>1416</v>
      </c>
      <c r="B898" t="s">
        <v>1417</v>
      </c>
      <c r="C898" s="2">
        <v>0.98611111111111116</v>
      </c>
      <c r="D898" t="s">
        <v>16</v>
      </c>
      <c r="E898" t="s">
        <v>520</v>
      </c>
      <c r="F898" s="4"/>
      <c r="G898">
        <v>2007</v>
      </c>
      <c r="H898">
        <v>3</v>
      </c>
      <c r="I898">
        <v>12</v>
      </c>
      <c r="J898" t="s">
        <v>145</v>
      </c>
      <c r="K898">
        <v>-117.88</v>
      </c>
      <c r="L898">
        <v>1</v>
      </c>
      <c r="M898">
        <v>-117.88</v>
      </c>
      <c r="N898" t="s">
        <v>31</v>
      </c>
      <c r="O898" t="s">
        <v>32</v>
      </c>
      <c r="P898" t="s">
        <v>74</v>
      </c>
    </row>
    <row r="899" spans="1:16" x14ac:dyDescent="0.25">
      <c r="A899" t="s">
        <v>1418</v>
      </c>
      <c r="B899" t="s">
        <v>1419</v>
      </c>
      <c r="C899" s="2">
        <v>0.74861111111111112</v>
      </c>
      <c r="D899" t="s">
        <v>16</v>
      </c>
      <c r="E899" t="s">
        <v>1420</v>
      </c>
      <c r="G899">
        <v>1987</v>
      </c>
      <c r="H899">
        <v>6</v>
      </c>
      <c r="I899">
        <v>26</v>
      </c>
      <c r="J899" t="s">
        <v>60</v>
      </c>
      <c r="K899">
        <v>85.39</v>
      </c>
      <c r="L899">
        <v>2</v>
      </c>
      <c r="M899">
        <v>170.78</v>
      </c>
      <c r="O899" t="s">
        <v>89</v>
      </c>
    </row>
    <row r="900" spans="1:16" x14ac:dyDescent="0.25">
      <c r="A900" t="s">
        <v>1421</v>
      </c>
      <c r="B900" s="1">
        <v>45979</v>
      </c>
      <c r="C900" s="2">
        <v>0.48819444444444443</v>
      </c>
      <c r="D900" t="s">
        <v>16</v>
      </c>
      <c r="E900" t="s">
        <v>225</v>
      </c>
      <c r="F900" s="1"/>
      <c r="G900">
        <v>1980</v>
      </c>
      <c r="H900">
        <v>7</v>
      </c>
      <c r="I900">
        <v>15</v>
      </c>
      <c r="J900" t="s">
        <v>73</v>
      </c>
      <c r="K900">
        <v>41.14</v>
      </c>
      <c r="L900">
        <v>2</v>
      </c>
      <c r="M900">
        <v>82.28</v>
      </c>
      <c r="N900" t="s">
        <v>31</v>
      </c>
      <c r="O900" t="s">
        <v>61</v>
      </c>
    </row>
    <row r="901" spans="1:16" x14ac:dyDescent="0.25">
      <c r="A901" t="s">
        <v>1422</v>
      </c>
      <c r="B901" s="4">
        <v>45923</v>
      </c>
      <c r="C901" s="5">
        <v>0.91874999999999996</v>
      </c>
      <c r="D901" t="s">
        <v>16</v>
      </c>
      <c r="E901" t="s">
        <v>379</v>
      </c>
      <c r="F901" s="1"/>
      <c r="G901">
        <v>1977</v>
      </c>
      <c r="H901">
        <v>7</v>
      </c>
      <c r="I901">
        <v>26</v>
      </c>
      <c r="J901" t="s">
        <v>202</v>
      </c>
      <c r="K901">
        <v>156.41999999999999</v>
      </c>
      <c r="L901">
        <v>3</v>
      </c>
      <c r="M901">
        <v>469.26</v>
      </c>
      <c r="N901" t="s">
        <v>54</v>
      </c>
      <c r="O901" t="s">
        <v>89</v>
      </c>
      <c r="P901" t="s">
        <v>74</v>
      </c>
    </row>
    <row r="902" spans="1:16" x14ac:dyDescent="0.25">
      <c r="A902" t="s">
        <v>1423</v>
      </c>
      <c r="B902" s="4">
        <v>45952</v>
      </c>
      <c r="C902" s="2">
        <v>0.94444444444444442</v>
      </c>
      <c r="D902" t="s">
        <v>16</v>
      </c>
      <c r="E902" t="s">
        <v>1424</v>
      </c>
      <c r="F902" s="4"/>
      <c r="G902">
        <v>1989</v>
      </c>
      <c r="H902">
        <v>9</v>
      </c>
      <c r="I902">
        <v>1</v>
      </c>
      <c r="J902" t="s">
        <v>40</v>
      </c>
      <c r="K902">
        <v>220.54</v>
      </c>
      <c r="L902">
        <v>2</v>
      </c>
      <c r="M902">
        <v>441.08</v>
      </c>
      <c r="N902" t="s">
        <v>41</v>
      </c>
      <c r="O902" t="s">
        <v>20</v>
      </c>
      <c r="P902" t="s">
        <v>105</v>
      </c>
    </row>
    <row r="903" spans="1:16" x14ac:dyDescent="0.25">
      <c r="A903" t="s">
        <v>1425</v>
      </c>
      <c r="B903" t="s">
        <v>726</v>
      </c>
      <c r="C903" s="2">
        <v>0.97013888888888888</v>
      </c>
      <c r="D903" t="s">
        <v>16</v>
      </c>
      <c r="E903" t="s">
        <v>194</v>
      </c>
      <c r="F903" s="4"/>
      <c r="G903">
        <v>1991</v>
      </c>
      <c r="H903">
        <v>12</v>
      </c>
      <c r="I903">
        <v>7</v>
      </c>
      <c r="J903" t="s">
        <v>104</v>
      </c>
      <c r="K903">
        <v>287.92</v>
      </c>
      <c r="L903">
        <v>1</v>
      </c>
      <c r="M903">
        <v>287.92</v>
      </c>
      <c r="N903" t="s">
        <v>54</v>
      </c>
      <c r="O903" t="s">
        <v>37</v>
      </c>
      <c r="P903" t="s">
        <v>21</v>
      </c>
    </row>
    <row r="904" spans="1:16" x14ac:dyDescent="0.25">
      <c r="A904" t="s">
        <v>1426</v>
      </c>
      <c r="B904" s="4">
        <v>45799</v>
      </c>
      <c r="C904" s="5">
        <v>0.76041666666666663</v>
      </c>
      <c r="D904" t="s">
        <v>16</v>
      </c>
      <c r="E904" t="s">
        <v>1427</v>
      </c>
      <c r="G904">
        <v>2005</v>
      </c>
      <c r="H904">
        <v>3</v>
      </c>
      <c r="I904">
        <v>3</v>
      </c>
      <c r="J904" t="s">
        <v>53</v>
      </c>
      <c r="K904">
        <v>102.5</v>
      </c>
      <c r="L904">
        <v>2</v>
      </c>
      <c r="M904">
        <v>205</v>
      </c>
      <c r="N904" t="s">
        <v>19</v>
      </c>
      <c r="O904" t="s">
        <v>26</v>
      </c>
    </row>
    <row r="905" spans="1:16" x14ac:dyDescent="0.25">
      <c r="A905" t="s">
        <v>1428</v>
      </c>
      <c r="B905" s="4">
        <v>45864</v>
      </c>
      <c r="C905" s="2">
        <v>0.52500000000000002</v>
      </c>
      <c r="D905" t="s">
        <v>16</v>
      </c>
      <c r="E905" t="s">
        <v>299</v>
      </c>
      <c r="F905" s="4"/>
      <c r="G905">
        <v>1980</v>
      </c>
      <c r="H905">
        <v>6</v>
      </c>
      <c r="I905">
        <v>7</v>
      </c>
      <c r="J905" t="s">
        <v>145</v>
      </c>
      <c r="K905">
        <v>109.98</v>
      </c>
      <c r="L905">
        <v>1</v>
      </c>
      <c r="M905">
        <v>109.98</v>
      </c>
      <c r="N905" t="s">
        <v>25</v>
      </c>
      <c r="O905" t="s">
        <v>89</v>
      </c>
      <c r="P905" t="s">
        <v>33</v>
      </c>
    </row>
    <row r="906" spans="1:16" x14ac:dyDescent="0.25">
      <c r="A906" t="s">
        <v>1429</v>
      </c>
      <c r="B906" s="4">
        <v>45943</v>
      </c>
      <c r="C906" s="3">
        <v>0.93581018518518522</v>
      </c>
      <c r="D906" t="s">
        <v>16</v>
      </c>
      <c r="E906" t="s">
        <v>1427</v>
      </c>
      <c r="F906" s="4"/>
      <c r="G906">
        <v>2006</v>
      </c>
      <c r="H906">
        <v>3</v>
      </c>
      <c r="I906">
        <v>5</v>
      </c>
      <c r="J906" t="s">
        <v>116</v>
      </c>
      <c r="K906">
        <v>315.86</v>
      </c>
      <c r="L906">
        <v>1</v>
      </c>
      <c r="M906">
        <v>315.86</v>
      </c>
      <c r="N906" t="s">
        <v>64</v>
      </c>
      <c r="O906" t="s">
        <v>89</v>
      </c>
    </row>
    <row r="907" spans="1:16" x14ac:dyDescent="0.25">
      <c r="A907" t="s">
        <v>1430</v>
      </c>
      <c r="B907" s="1">
        <v>45849</v>
      </c>
      <c r="C907" s="2">
        <v>0.80277777777777781</v>
      </c>
      <c r="D907" t="s">
        <v>16</v>
      </c>
      <c r="E907" t="s">
        <v>420</v>
      </c>
      <c r="G907">
        <v>1981</v>
      </c>
      <c r="H907">
        <v>6</v>
      </c>
      <c r="I907">
        <v>12</v>
      </c>
      <c r="J907" t="s">
        <v>110</v>
      </c>
      <c r="K907">
        <v>122.41</v>
      </c>
      <c r="L907">
        <v>1</v>
      </c>
      <c r="M907">
        <v>122.41</v>
      </c>
      <c r="N907" t="s">
        <v>67</v>
      </c>
      <c r="O907" t="s">
        <v>37</v>
      </c>
    </row>
    <row r="908" spans="1:16" x14ac:dyDescent="0.25">
      <c r="A908" t="s">
        <v>1431</v>
      </c>
      <c r="B908" s="1">
        <v>45804</v>
      </c>
      <c r="C908" s="2">
        <v>0.75069444444444444</v>
      </c>
      <c r="D908" t="s">
        <v>16</v>
      </c>
      <c r="E908" t="s">
        <v>281</v>
      </c>
      <c r="F908" s="1"/>
      <c r="G908">
        <v>2001</v>
      </c>
      <c r="H908">
        <v>12</v>
      </c>
      <c r="I908">
        <v>20</v>
      </c>
      <c r="J908" t="s">
        <v>53</v>
      </c>
      <c r="K908">
        <v>82.99</v>
      </c>
      <c r="L908">
        <v>2</v>
      </c>
      <c r="M908">
        <v>165.98</v>
      </c>
      <c r="N908" t="s">
        <v>25</v>
      </c>
      <c r="O908" t="s">
        <v>61</v>
      </c>
      <c r="P908" t="s">
        <v>105</v>
      </c>
    </row>
    <row r="909" spans="1:16" x14ac:dyDescent="0.25">
      <c r="A909" t="s">
        <v>1432</v>
      </c>
      <c r="C909" s="2">
        <v>0.46944444444444444</v>
      </c>
      <c r="D909" t="s">
        <v>16</v>
      </c>
      <c r="E909" t="s">
        <v>208</v>
      </c>
      <c r="G909">
        <v>2007</v>
      </c>
      <c r="H909">
        <v>8</v>
      </c>
      <c r="I909">
        <v>24</v>
      </c>
      <c r="J909" t="s">
        <v>126</v>
      </c>
      <c r="K909">
        <v>296.49</v>
      </c>
      <c r="L909">
        <v>1</v>
      </c>
      <c r="M909" t="s">
        <v>1433</v>
      </c>
      <c r="N909" t="s">
        <v>31</v>
      </c>
      <c r="O909" t="s">
        <v>26</v>
      </c>
      <c r="P909" t="s">
        <v>105</v>
      </c>
    </row>
    <row r="910" spans="1:16" x14ac:dyDescent="0.25">
      <c r="A910" t="s">
        <v>1434</v>
      </c>
      <c r="B910" s="4">
        <v>45656</v>
      </c>
      <c r="C910" s="5">
        <v>0.87083333333333335</v>
      </c>
      <c r="D910" t="s">
        <v>16</v>
      </c>
      <c r="E910" t="s">
        <v>88</v>
      </c>
      <c r="G910">
        <v>1987</v>
      </c>
      <c r="H910">
        <v>10</v>
      </c>
      <c r="I910">
        <v>2</v>
      </c>
      <c r="J910" t="s">
        <v>129</v>
      </c>
      <c r="K910">
        <v>198.39</v>
      </c>
      <c r="L910">
        <v>3</v>
      </c>
      <c r="M910">
        <v>595.16999999999996</v>
      </c>
      <c r="N910" t="s">
        <v>31</v>
      </c>
      <c r="O910" t="s">
        <v>61</v>
      </c>
      <c r="P910" t="s">
        <v>74</v>
      </c>
    </row>
    <row r="911" spans="1:16" x14ac:dyDescent="0.25">
      <c r="A911" t="s">
        <v>1435</v>
      </c>
      <c r="B911" s="4">
        <v>45963</v>
      </c>
      <c r="C911" s="5">
        <v>0.93541666666666667</v>
      </c>
      <c r="D911" t="s">
        <v>16</v>
      </c>
      <c r="E911" t="s">
        <v>652</v>
      </c>
      <c r="F911" s="4"/>
      <c r="G911">
        <v>1972</v>
      </c>
      <c r="H911">
        <v>8</v>
      </c>
      <c r="I911">
        <v>2</v>
      </c>
      <c r="J911" t="s">
        <v>30</v>
      </c>
      <c r="K911" t="s">
        <v>1436</v>
      </c>
      <c r="L911">
        <v>2</v>
      </c>
      <c r="M911">
        <v>467.01</v>
      </c>
      <c r="O911" t="s">
        <v>89</v>
      </c>
      <c r="P911" t="s">
        <v>33</v>
      </c>
    </row>
    <row r="912" spans="1:16" x14ac:dyDescent="0.25">
      <c r="A912" t="s">
        <v>1437</v>
      </c>
      <c r="B912" s="4">
        <v>45838</v>
      </c>
      <c r="C912" s="2">
        <v>0.64583333333333337</v>
      </c>
      <c r="D912" t="s">
        <v>16</v>
      </c>
      <c r="E912" t="s">
        <v>227</v>
      </c>
      <c r="J912" t="s">
        <v>126</v>
      </c>
      <c r="K912">
        <v>-119.44</v>
      </c>
      <c r="L912">
        <v>1</v>
      </c>
      <c r="M912">
        <v>-119.44</v>
      </c>
      <c r="N912" t="s">
        <v>31</v>
      </c>
      <c r="O912" t="s">
        <v>32</v>
      </c>
    </row>
    <row r="913" spans="1:16" x14ac:dyDescent="0.25">
      <c r="A913" t="s">
        <v>1438</v>
      </c>
      <c r="B913" s="4">
        <v>45695</v>
      </c>
      <c r="C913" s="3">
        <v>0.75826388888888885</v>
      </c>
      <c r="D913" t="s">
        <v>16</v>
      </c>
      <c r="E913" t="s">
        <v>328</v>
      </c>
      <c r="F913" s="1"/>
      <c r="G913">
        <v>2007</v>
      </c>
      <c r="H913">
        <v>5</v>
      </c>
      <c r="I913">
        <v>23</v>
      </c>
      <c r="J913" t="s">
        <v>73</v>
      </c>
      <c r="K913">
        <v>54.78</v>
      </c>
      <c r="L913">
        <v>2</v>
      </c>
      <c r="M913">
        <v>109.56</v>
      </c>
      <c r="N913" t="s">
        <v>41</v>
      </c>
      <c r="O913" t="s">
        <v>20</v>
      </c>
      <c r="P913" t="s">
        <v>21</v>
      </c>
    </row>
    <row r="914" spans="1:16" x14ac:dyDescent="0.25">
      <c r="A914" t="s">
        <v>1439</v>
      </c>
      <c r="B914" s="4">
        <v>45672</v>
      </c>
      <c r="C914" s="2">
        <v>0.97291666666666665</v>
      </c>
      <c r="D914" t="s">
        <v>16</v>
      </c>
      <c r="E914" t="s">
        <v>125</v>
      </c>
      <c r="G914">
        <v>1998</v>
      </c>
      <c r="H914">
        <v>5</v>
      </c>
      <c r="I914">
        <v>21</v>
      </c>
      <c r="J914" t="s">
        <v>36</v>
      </c>
      <c r="K914">
        <v>42.34</v>
      </c>
      <c r="L914">
        <v>2</v>
      </c>
      <c r="M914">
        <v>84.68</v>
      </c>
      <c r="O914" t="s">
        <v>47</v>
      </c>
    </row>
    <row r="915" spans="1:16" x14ac:dyDescent="0.25">
      <c r="A915" t="s">
        <v>1440</v>
      </c>
      <c r="B915" s="4">
        <v>45626</v>
      </c>
      <c r="C915" s="2">
        <v>0.42569444444444443</v>
      </c>
      <c r="D915" t="s">
        <v>16</v>
      </c>
      <c r="E915" t="s">
        <v>256</v>
      </c>
      <c r="F915" s="1"/>
      <c r="G915">
        <v>1998</v>
      </c>
      <c r="H915">
        <v>12</v>
      </c>
      <c r="I915">
        <v>14</v>
      </c>
      <c r="J915" t="s">
        <v>164</v>
      </c>
      <c r="K915">
        <v>267.82</v>
      </c>
      <c r="L915">
        <v>2</v>
      </c>
      <c r="M915">
        <v>535.64</v>
      </c>
      <c r="N915" t="s">
        <v>19</v>
      </c>
      <c r="O915" t="s">
        <v>26</v>
      </c>
      <c r="P915" t="s">
        <v>27</v>
      </c>
    </row>
    <row r="916" spans="1:16" x14ac:dyDescent="0.25">
      <c r="A916" t="s">
        <v>1441</v>
      </c>
      <c r="B916" s="4">
        <v>45843</v>
      </c>
      <c r="C916" s="5">
        <v>0.66666666666666663</v>
      </c>
      <c r="D916" t="s">
        <v>16</v>
      </c>
      <c r="E916" t="s">
        <v>189</v>
      </c>
      <c r="F916" s="1"/>
      <c r="G916">
        <v>1988</v>
      </c>
      <c r="H916">
        <v>8</v>
      </c>
      <c r="I916">
        <v>16</v>
      </c>
      <c r="J916" t="s">
        <v>73</v>
      </c>
      <c r="K916">
        <v>38.17</v>
      </c>
      <c r="L916">
        <v>2</v>
      </c>
      <c r="M916">
        <v>76.34</v>
      </c>
      <c r="N916" t="s">
        <v>31</v>
      </c>
      <c r="O916" t="s">
        <v>37</v>
      </c>
      <c r="P916" t="s">
        <v>21</v>
      </c>
    </row>
    <row r="917" spans="1:16" x14ac:dyDescent="0.25">
      <c r="A917" t="s">
        <v>1442</v>
      </c>
      <c r="B917" s="1">
        <v>45872</v>
      </c>
      <c r="C917" s="2">
        <v>0.7729166666666667</v>
      </c>
      <c r="D917" t="s">
        <v>16</v>
      </c>
      <c r="E917" t="s">
        <v>1443</v>
      </c>
      <c r="F917" s="1"/>
      <c r="G917">
        <v>2002</v>
      </c>
      <c r="H917">
        <v>7</v>
      </c>
      <c r="I917">
        <v>27</v>
      </c>
      <c r="J917" t="s">
        <v>141</v>
      </c>
      <c r="K917">
        <v>147.26</v>
      </c>
      <c r="L917">
        <v>1</v>
      </c>
      <c r="M917">
        <v>147.26</v>
      </c>
      <c r="N917" t="s">
        <v>67</v>
      </c>
      <c r="O917" t="s">
        <v>55</v>
      </c>
      <c r="P917" t="s">
        <v>74</v>
      </c>
    </row>
    <row r="918" spans="1:16" x14ac:dyDescent="0.25">
      <c r="A918" t="s">
        <v>1444</v>
      </c>
      <c r="B918" s="4">
        <v>45745</v>
      </c>
      <c r="C918" s="3">
        <v>0.82413194444444449</v>
      </c>
      <c r="D918" t="s">
        <v>16</v>
      </c>
      <c r="E918" t="s">
        <v>346</v>
      </c>
      <c r="G918">
        <v>1977</v>
      </c>
      <c r="H918">
        <v>12</v>
      </c>
      <c r="I918">
        <v>20</v>
      </c>
      <c r="J918" t="s">
        <v>45</v>
      </c>
      <c r="K918">
        <v>113.99</v>
      </c>
      <c r="L918">
        <v>0</v>
      </c>
      <c r="M918">
        <v>0</v>
      </c>
      <c r="N918" t="s">
        <v>64</v>
      </c>
      <c r="O918" t="s">
        <v>47</v>
      </c>
      <c r="P918" t="s">
        <v>21</v>
      </c>
    </row>
    <row r="919" spans="1:16" x14ac:dyDescent="0.25">
      <c r="A919" t="s">
        <v>1445</v>
      </c>
      <c r="B919" t="s">
        <v>1446</v>
      </c>
      <c r="C919" s="3">
        <v>0.88112268518518522</v>
      </c>
      <c r="D919" t="s">
        <v>16</v>
      </c>
      <c r="E919" t="s">
        <v>328</v>
      </c>
      <c r="G919">
        <v>1977</v>
      </c>
      <c r="H919">
        <v>7</v>
      </c>
      <c r="I919">
        <v>19</v>
      </c>
      <c r="J919" t="s">
        <v>213</v>
      </c>
      <c r="K919">
        <v>196.72</v>
      </c>
      <c r="L919">
        <v>3</v>
      </c>
      <c r="M919">
        <v>590.16</v>
      </c>
      <c r="N919" t="s">
        <v>19</v>
      </c>
      <c r="O919" t="s">
        <v>55</v>
      </c>
      <c r="P919" t="s">
        <v>74</v>
      </c>
    </row>
    <row r="920" spans="1:16" x14ac:dyDescent="0.25">
      <c r="A920" t="s">
        <v>1447</v>
      </c>
      <c r="B920" s="1">
        <v>45802</v>
      </c>
      <c r="C920" s="3">
        <v>0.96215277777777775</v>
      </c>
      <c r="D920" t="s">
        <v>16</v>
      </c>
      <c r="E920" t="s">
        <v>173</v>
      </c>
      <c r="F920" s="4"/>
      <c r="G920">
        <v>1992</v>
      </c>
      <c r="H920">
        <v>2</v>
      </c>
      <c r="I920">
        <v>1</v>
      </c>
      <c r="J920" t="s">
        <v>93</v>
      </c>
      <c r="K920">
        <v>230.42</v>
      </c>
      <c r="L920">
        <v>3</v>
      </c>
      <c r="M920">
        <v>691.26</v>
      </c>
      <c r="N920" t="s">
        <v>64</v>
      </c>
      <c r="O920" t="s">
        <v>61</v>
      </c>
      <c r="P920" t="s">
        <v>21</v>
      </c>
    </row>
    <row r="921" spans="1:16" x14ac:dyDescent="0.25">
      <c r="A921" t="s">
        <v>1448</v>
      </c>
      <c r="B921" s="4">
        <v>45869</v>
      </c>
      <c r="C921" s="5">
        <v>0.97986111111111107</v>
      </c>
      <c r="D921" t="s">
        <v>16</v>
      </c>
      <c r="E921" t="s">
        <v>855</v>
      </c>
      <c r="G921">
        <v>1973</v>
      </c>
      <c r="H921">
        <v>10</v>
      </c>
      <c r="I921">
        <v>10</v>
      </c>
      <c r="J921" t="s">
        <v>164</v>
      </c>
      <c r="K921">
        <v>359.21</v>
      </c>
      <c r="L921">
        <v>2</v>
      </c>
      <c r="M921">
        <v>718.42</v>
      </c>
      <c r="O921" t="s">
        <v>20</v>
      </c>
    </row>
    <row r="922" spans="1:16" x14ac:dyDescent="0.25">
      <c r="A922" t="s">
        <v>1449</v>
      </c>
      <c r="B922" t="s">
        <v>735</v>
      </c>
      <c r="C922" s="3">
        <v>0.9604166666666667</v>
      </c>
      <c r="D922" t="s">
        <v>16</v>
      </c>
      <c r="E922" t="s">
        <v>330</v>
      </c>
      <c r="F922" s="1"/>
      <c r="G922">
        <v>2007</v>
      </c>
      <c r="H922">
        <v>12</v>
      </c>
      <c r="I922">
        <v>15</v>
      </c>
      <c r="J922" t="s">
        <v>85</v>
      </c>
      <c r="K922">
        <v>221.35</v>
      </c>
      <c r="L922">
        <v>2</v>
      </c>
      <c r="M922">
        <v>442.7</v>
      </c>
      <c r="N922" t="s">
        <v>64</v>
      </c>
      <c r="O922" t="s">
        <v>26</v>
      </c>
      <c r="P922" t="s">
        <v>105</v>
      </c>
    </row>
    <row r="923" spans="1:16" x14ac:dyDescent="0.25">
      <c r="A923" t="s">
        <v>1450</v>
      </c>
      <c r="B923" s="4">
        <v>45771</v>
      </c>
      <c r="C923" s="3">
        <v>0.8053703703703704</v>
      </c>
      <c r="D923" t="s">
        <v>16</v>
      </c>
      <c r="E923" t="s">
        <v>44</v>
      </c>
      <c r="G923">
        <v>1992</v>
      </c>
      <c r="H923">
        <v>7</v>
      </c>
      <c r="I923">
        <v>1</v>
      </c>
      <c r="J923" t="s">
        <v>60</v>
      </c>
      <c r="K923">
        <v>228.63</v>
      </c>
      <c r="L923">
        <v>2</v>
      </c>
      <c r="M923">
        <v>457.26</v>
      </c>
      <c r="N923" t="s">
        <v>64</v>
      </c>
      <c r="O923" t="s">
        <v>89</v>
      </c>
      <c r="P923" t="s">
        <v>56</v>
      </c>
    </row>
    <row r="924" spans="1:16" x14ac:dyDescent="0.25">
      <c r="A924" t="s">
        <v>1451</v>
      </c>
      <c r="B924" s="4">
        <v>45831</v>
      </c>
      <c r="C924" s="3">
        <v>0.77557870370370374</v>
      </c>
      <c r="D924" t="s">
        <v>16</v>
      </c>
      <c r="E924" t="s">
        <v>35</v>
      </c>
      <c r="G924">
        <v>1991</v>
      </c>
      <c r="H924">
        <v>12</v>
      </c>
      <c r="I924">
        <v>12</v>
      </c>
      <c r="J924" t="s">
        <v>30</v>
      </c>
      <c r="K924">
        <v>273.7</v>
      </c>
      <c r="L924">
        <v>2</v>
      </c>
      <c r="M924">
        <v>547.4</v>
      </c>
      <c r="N924" t="s">
        <v>41</v>
      </c>
      <c r="O924" t="s">
        <v>20</v>
      </c>
      <c r="P924" t="s">
        <v>21</v>
      </c>
    </row>
    <row r="925" spans="1:16" x14ac:dyDescent="0.25">
      <c r="A925" t="s">
        <v>1452</v>
      </c>
      <c r="B925" t="s">
        <v>1100</v>
      </c>
      <c r="C925" s="5">
        <v>0.94097222222222221</v>
      </c>
      <c r="D925" t="s">
        <v>16</v>
      </c>
      <c r="E925" t="s">
        <v>50</v>
      </c>
      <c r="F925" s="1"/>
      <c r="G925">
        <v>1998</v>
      </c>
      <c r="H925">
        <v>10</v>
      </c>
      <c r="I925">
        <v>12</v>
      </c>
      <c r="J925" t="s">
        <v>93</v>
      </c>
      <c r="K925">
        <v>184.98</v>
      </c>
      <c r="L925">
        <v>1</v>
      </c>
      <c r="M925">
        <v>190.98</v>
      </c>
      <c r="N925" t="s">
        <v>64</v>
      </c>
      <c r="O925" t="s">
        <v>26</v>
      </c>
      <c r="P925" t="s">
        <v>27</v>
      </c>
    </row>
    <row r="926" spans="1:16" x14ac:dyDescent="0.25">
      <c r="A926" t="s">
        <v>1453</v>
      </c>
      <c r="B926" s="4">
        <v>45900</v>
      </c>
      <c r="C926" s="5">
        <v>0.52916666666666667</v>
      </c>
      <c r="D926" t="s">
        <v>16</v>
      </c>
      <c r="E926" t="s">
        <v>191</v>
      </c>
      <c r="F926" s="4"/>
      <c r="G926">
        <v>1980</v>
      </c>
      <c r="H926">
        <v>5</v>
      </c>
      <c r="I926">
        <v>7</v>
      </c>
      <c r="J926" t="s">
        <v>30</v>
      </c>
      <c r="K926">
        <v>277.93</v>
      </c>
      <c r="L926">
        <v>2</v>
      </c>
      <c r="M926">
        <v>555.86</v>
      </c>
      <c r="N926" t="s">
        <v>67</v>
      </c>
      <c r="O926" t="s">
        <v>55</v>
      </c>
      <c r="P926" t="s">
        <v>74</v>
      </c>
    </row>
    <row r="927" spans="1:16" x14ac:dyDescent="0.25">
      <c r="A927" t="s">
        <v>1454</v>
      </c>
      <c r="B927" s="4">
        <v>45930</v>
      </c>
      <c r="C927" s="2">
        <v>0.55625000000000002</v>
      </c>
      <c r="D927" t="s">
        <v>16</v>
      </c>
      <c r="E927" t="s">
        <v>520</v>
      </c>
      <c r="F927" s="1"/>
      <c r="G927">
        <v>1975</v>
      </c>
      <c r="H927">
        <v>3</v>
      </c>
      <c r="I927">
        <v>17</v>
      </c>
      <c r="J927" t="s">
        <v>110</v>
      </c>
      <c r="K927">
        <v>102.69</v>
      </c>
      <c r="L927">
        <v>1</v>
      </c>
      <c r="M927">
        <v>102.69</v>
      </c>
      <c r="N927" t="s">
        <v>54</v>
      </c>
      <c r="O927" t="s">
        <v>89</v>
      </c>
      <c r="P927" t="s">
        <v>27</v>
      </c>
    </row>
    <row r="928" spans="1:16" x14ac:dyDescent="0.25">
      <c r="A928" t="s">
        <v>1455</v>
      </c>
      <c r="B928" s="1">
        <v>45802</v>
      </c>
      <c r="C928" s="5">
        <v>0.5229166666666667</v>
      </c>
      <c r="D928" t="s">
        <v>16</v>
      </c>
      <c r="E928" t="s">
        <v>92</v>
      </c>
      <c r="J928" t="s">
        <v>45</v>
      </c>
      <c r="K928">
        <v>55.42</v>
      </c>
      <c r="L928">
        <v>1</v>
      </c>
      <c r="M928">
        <v>55.42</v>
      </c>
      <c r="N928" t="s">
        <v>41</v>
      </c>
      <c r="O928" t="s">
        <v>26</v>
      </c>
      <c r="P928" t="s">
        <v>33</v>
      </c>
    </row>
    <row r="929" spans="1:16" x14ac:dyDescent="0.25">
      <c r="A929" t="s">
        <v>1456</v>
      </c>
      <c r="B929" s="4">
        <v>45655</v>
      </c>
      <c r="C929" s="3">
        <v>0.48593750000000002</v>
      </c>
      <c r="D929" t="s">
        <v>16</v>
      </c>
      <c r="E929" t="s">
        <v>338</v>
      </c>
      <c r="F929" s="4"/>
      <c r="G929">
        <v>2007</v>
      </c>
      <c r="H929">
        <v>10</v>
      </c>
      <c r="I929">
        <v>22</v>
      </c>
      <c r="J929" t="s">
        <v>145</v>
      </c>
      <c r="K929">
        <v>80.12</v>
      </c>
      <c r="L929">
        <v>1</v>
      </c>
      <c r="M929">
        <v>80.12</v>
      </c>
      <c r="N929" t="s">
        <v>31</v>
      </c>
      <c r="O929" t="s">
        <v>89</v>
      </c>
      <c r="P929" t="s">
        <v>48</v>
      </c>
    </row>
    <row r="930" spans="1:16" x14ac:dyDescent="0.25">
      <c r="A930" t="s">
        <v>1457</v>
      </c>
      <c r="B930" s="4">
        <v>45675</v>
      </c>
      <c r="C930" s="2">
        <v>0.57499999999999996</v>
      </c>
      <c r="D930" t="s">
        <v>16</v>
      </c>
      <c r="E930" t="s">
        <v>1458</v>
      </c>
      <c r="F930" s="4"/>
      <c r="G930">
        <v>1990</v>
      </c>
      <c r="H930">
        <v>2</v>
      </c>
      <c r="I930">
        <v>23</v>
      </c>
      <c r="J930" t="s">
        <v>199</v>
      </c>
      <c r="K930">
        <v>175.24</v>
      </c>
      <c r="L930">
        <v>2</v>
      </c>
      <c r="M930">
        <v>350.48</v>
      </c>
      <c r="N930" t="s">
        <v>25</v>
      </c>
      <c r="O930" t="s">
        <v>61</v>
      </c>
      <c r="P930" t="s">
        <v>27</v>
      </c>
    </row>
    <row r="931" spans="1:16" x14ac:dyDescent="0.25">
      <c r="A931" t="s">
        <v>1459</v>
      </c>
      <c r="B931" s="4">
        <v>45954</v>
      </c>
      <c r="C931" s="3">
        <v>0.45550925925925928</v>
      </c>
      <c r="D931" t="s">
        <v>16</v>
      </c>
      <c r="E931" t="s">
        <v>204</v>
      </c>
      <c r="F931" s="4"/>
      <c r="G931">
        <v>1971</v>
      </c>
      <c r="H931">
        <v>2</v>
      </c>
      <c r="I931">
        <v>12</v>
      </c>
      <c r="J931" t="s">
        <v>24</v>
      </c>
      <c r="K931">
        <v>213.13</v>
      </c>
      <c r="L931">
        <v>1</v>
      </c>
      <c r="M931">
        <v>213.13</v>
      </c>
      <c r="N931" t="s">
        <v>64</v>
      </c>
      <c r="O931" t="s">
        <v>61</v>
      </c>
      <c r="P931" t="s">
        <v>27</v>
      </c>
    </row>
    <row r="932" spans="1:16" x14ac:dyDescent="0.25">
      <c r="A932" t="s">
        <v>1460</v>
      </c>
      <c r="B932" s="4">
        <v>45738</v>
      </c>
      <c r="C932" s="2">
        <v>0.69027777777777777</v>
      </c>
      <c r="D932" t="s">
        <v>16</v>
      </c>
      <c r="E932" t="s">
        <v>1461</v>
      </c>
      <c r="G932">
        <v>1986</v>
      </c>
      <c r="H932">
        <v>6</v>
      </c>
      <c r="I932">
        <v>15</v>
      </c>
      <c r="J932" t="s">
        <v>259</v>
      </c>
      <c r="K932" t="s">
        <v>1462</v>
      </c>
      <c r="L932">
        <v>3</v>
      </c>
      <c r="M932">
        <v>559.57000000000005</v>
      </c>
      <c r="O932" t="s">
        <v>37</v>
      </c>
      <c r="P932" t="s">
        <v>105</v>
      </c>
    </row>
    <row r="933" spans="1:16" x14ac:dyDescent="0.25">
      <c r="A933" t="s">
        <v>1463</v>
      </c>
      <c r="B933" s="4">
        <v>45933</v>
      </c>
      <c r="C933" s="5">
        <v>0.79722222222222228</v>
      </c>
      <c r="D933" t="s">
        <v>16</v>
      </c>
      <c r="E933" t="s">
        <v>377</v>
      </c>
      <c r="J933" t="s">
        <v>110</v>
      </c>
      <c r="K933">
        <v>118.77</v>
      </c>
      <c r="L933">
        <v>3</v>
      </c>
      <c r="M933">
        <v>356.31</v>
      </c>
      <c r="N933" t="s">
        <v>64</v>
      </c>
      <c r="O933" t="s">
        <v>32</v>
      </c>
      <c r="P933" t="s">
        <v>21</v>
      </c>
    </row>
    <row r="934" spans="1:16" x14ac:dyDescent="0.25">
      <c r="A934" t="s">
        <v>1464</v>
      </c>
      <c r="B934" s="4">
        <v>45656</v>
      </c>
      <c r="C934" s="3">
        <v>0.94353009259259257</v>
      </c>
      <c r="D934" t="s">
        <v>16</v>
      </c>
      <c r="E934" t="s">
        <v>420</v>
      </c>
      <c r="G934">
        <v>1999</v>
      </c>
      <c r="H934">
        <v>6</v>
      </c>
      <c r="I934">
        <v>27</v>
      </c>
      <c r="J934" t="s">
        <v>178</v>
      </c>
      <c r="K934">
        <v>262.38</v>
      </c>
      <c r="L934">
        <v>3</v>
      </c>
      <c r="M934">
        <v>787.14</v>
      </c>
      <c r="N934" t="s">
        <v>19</v>
      </c>
      <c r="O934" t="s">
        <v>37</v>
      </c>
      <c r="P934" t="s">
        <v>48</v>
      </c>
    </row>
    <row r="935" spans="1:16" x14ac:dyDescent="0.25">
      <c r="A935" t="s">
        <v>1465</v>
      </c>
      <c r="B935" t="s">
        <v>610</v>
      </c>
      <c r="C935" s="2">
        <v>0.89444444444444449</v>
      </c>
      <c r="D935" t="s">
        <v>16</v>
      </c>
      <c r="E935" t="s">
        <v>267</v>
      </c>
      <c r="F935" s="1"/>
      <c r="G935">
        <v>1986</v>
      </c>
      <c r="H935">
        <v>5</v>
      </c>
      <c r="I935">
        <v>7</v>
      </c>
      <c r="J935" t="s">
        <v>145</v>
      </c>
      <c r="K935">
        <v>78.59</v>
      </c>
      <c r="L935">
        <v>2</v>
      </c>
      <c r="M935">
        <v>157.18</v>
      </c>
      <c r="N935" t="s">
        <v>54</v>
      </c>
      <c r="O935" t="s">
        <v>37</v>
      </c>
      <c r="P935" t="s">
        <v>105</v>
      </c>
    </row>
    <row r="936" spans="1:16" x14ac:dyDescent="0.25">
      <c r="A936" t="s">
        <v>1466</v>
      </c>
      <c r="B936" s="4">
        <v>45732</v>
      </c>
      <c r="C936" s="3">
        <v>0.84592592592592597</v>
      </c>
      <c r="D936" t="s">
        <v>16</v>
      </c>
      <c r="E936" t="s">
        <v>387</v>
      </c>
      <c r="G936">
        <v>2010</v>
      </c>
      <c r="H936">
        <v>1</v>
      </c>
      <c r="I936">
        <v>24</v>
      </c>
      <c r="J936" t="s">
        <v>116</v>
      </c>
      <c r="K936">
        <v>273.35000000000002</v>
      </c>
      <c r="L936">
        <v>1</v>
      </c>
      <c r="M936">
        <v>273.35000000000002</v>
      </c>
      <c r="N936" t="s">
        <v>54</v>
      </c>
      <c r="O936" t="s">
        <v>47</v>
      </c>
      <c r="P936" t="s">
        <v>74</v>
      </c>
    </row>
    <row r="937" spans="1:16" x14ac:dyDescent="0.25">
      <c r="A937" t="s">
        <v>1467</v>
      </c>
      <c r="B937" s="4">
        <v>45923</v>
      </c>
      <c r="C937" s="2">
        <v>0.88680555555555551</v>
      </c>
      <c r="D937" t="s">
        <v>16</v>
      </c>
      <c r="E937" t="s">
        <v>405</v>
      </c>
      <c r="F937" s="4"/>
      <c r="G937">
        <v>1985</v>
      </c>
      <c r="H937">
        <v>2</v>
      </c>
      <c r="I937">
        <v>23</v>
      </c>
      <c r="J937" t="s">
        <v>110</v>
      </c>
      <c r="K937" t="s">
        <v>1468</v>
      </c>
      <c r="L937">
        <v>0</v>
      </c>
      <c r="M937">
        <v>-16</v>
      </c>
      <c r="N937" t="s">
        <v>67</v>
      </c>
      <c r="O937" t="s">
        <v>47</v>
      </c>
      <c r="P937" t="s">
        <v>56</v>
      </c>
    </row>
    <row r="938" spans="1:16" x14ac:dyDescent="0.25">
      <c r="A938" t="s">
        <v>1469</v>
      </c>
      <c r="B938" s="1">
        <v>45929</v>
      </c>
      <c r="C938" s="5">
        <v>0.74375000000000002</v>
      </c>
      <c r="D938" t="s">
        <v>16</v>
      </c>
      <c r="E938" t="s">
        <v>770</v>
      </c>
      <c r="F938" s="4"/>
      <c r="G938">
        <v>1990</v>
      </c>
      <c r="H938">
        <v>10</v>
      </c>
      <c r="I938">
        <v>14</v>
      </c>
      <c r="J938" t="s">
        <v>40</v>
      </c>
      <c r="K938">
        <v>174.18</v>
      </c>
      <c r="L938">
        <v>1</v>
      </c>
      <c r="M938" t="s">
        <v>1470</v>
      </c>
      <c r="N938" t="s">
        <v>67</v>
      </c>
      <c r="O938" t="s">
        <v>37</v>
      </c>
      <c r="P938" t="s">
        <v>105</v>
      </c>
    </row>
    <row r="939" spans="1:16" x14ac:dyDescent="0.25">
      <c r="A939" t="s">
        <v>1471</v>
      </c>
      <c r="B939" s="4">
        <v>45911</v>
      </c>
      <c r="C939" s="3">
        <v>0.68047453703703709</v>
      </c>
      <c r="D939" t="s">
        <v>16</v>
      </c>
      <c r="E939" t="s">
        <v>882</v>
      </c>
      <c r="G939">
        <v>1989</v>
      </c>
      <c r="H939">
        <v>3</v>
      </c>
      <c r="I939">
        <v>15</v>
      </c>
      <c r="J939" t="s">
        <v>36</v>
      </c>
      <c r="K939">
        <v>226.3</v>
      </c>
      <c r="L939">
        <v>1</v>
      </c>
      <c r="M939">
        <v>226.3</v>
      </c>
      <c r="N939" t="s">
        <v>64</v>
      </c>
      <c r="O939" t="s">
        <v>89</v>
      </c>
      <c r="P939" t="s">
        <v>33</v>
      </c>
    </row>
    <row r="940" spans="1:16" x14ac:dyDescent="0.25">
      <c r="A940" t="s">
        <v>1472</v>
      </c>
      <c r="B940" s="4">
        <v>45935</v>
      </c>
      <c r="C940" s="2">
        <v>0.85833333333333328</v>
      </c>
      <c r="D940" t="s">
        <v>16</v>
      </c>
      <c r="E940" t="s">
        <v>351</v>
      </c>
      <c r="F940" s="4"/>
      <c r="G940">
        <v>2007</v>
      </c>
      <c r="H940">
        <v>3</v>
      </c>
      <c r="I940">
        <v>26</v>
      </c>
      <c r="J940" t="s">
        <v>129</v>
      </c>
      <c r="K940">
        <v>180.53</v>
      </c>
      <c r="L940">
        <v>1</v>
      </c>
      <c r="M940">
        <v>180.53</v>
      </c>
      <c r="N940" t="s">
        <v>67</v>
      </c>
      <c r="O940" t="s">
        <v>55</v>
      </c>
      <c r="P940" t="s">
        <v>27</v>
      </c>
    </row>
    <row r="941" spans="1:16" x14ac:dyDescent="0.25">
      <c r="A941" t="s">
        <v>1473</v>
      </c>
      <c r="B941" s="4">
        <v>45734</v>
      </c>
      <c r="C941" s="3">
        <v>0.96607638888888892</v>
      </c>
      <c r="D941" t="s">
        <v>16</v>
      </c>
      <c r="E941" t="s">
        <v>1474</v>
      </c>
      <c r="G941">
        <v>1993</v>
      </c>
      <c r="H941">
        <v>4</v>
      </c>
      <c r="I941">
        <v>23</v>
      </c>
      <c r="J941" t="s">
        <v>164</v>
      </c>
      <c r="K941">
        <v>285.97000000000003</v>
      </c>
      <c r="L941">
        <v>2</v>
      </c>
      <c r="M941">
        <v>571.94000000000005</v>
      </c>
      <c r="N941" t="s">
        <v>54</v>
      </c>
      <c r="O941" t="s">
        <v>89</v>
      </c>
      <c r="P941" t="s">
        <v>105</v>
      </c>
    </row>
    <row r="942" spans="1:16" x14ac:dyDescent="0.25">
      <c r="A942" t="s">
        <v>1475</v>
      </c>
      <c r="B942" s="1">
        <v>45756</v>
      </c>
      <c r="C942" s="5">
        <v>0.64236111111111116</v>
      </c>
      <c r="D942" t="s">
        <v>16</v>
      </c>
      <c r="E942" t="s">
        <v>712</v>
      </c>
      <c r="F942" s="4"/>
      <c r="G942">
        <v>1993</v>
      </c>
      <c r="H942">
        <v>2</v>
      </c>
      <c r="I942">
        <v>5</v>
      </c>
      <c r="J942" t="s">
        <v>60</v>
      </c>
      <c r="K942">
        <v>277.67</v>
      </c>
      <c r="L942">
        <v>2</v>
      </c>
      <c r="M942">
        <v>555.34</v>
      </c>
      <c r="N942" t="s">
        <v>19</v>
      </c>
      <c r="O942" t="s">
        <v>61</v>
      </c>
      <c r="P942" t="s">
        <v>21</v>
      </c>
    </row>
    <row r="943" spans="1:16" x14ac:dyDescent="0.25">
      <c r="A943" t="s">
        <v>1476</v>
      </c>
      <c r="B943" s="1">
        <v>45787</v>
      </c>
      <c r="C943" s="3">
        <v>0.64660879629629631</v>
      </c>
      <c r="D943" t="s">
        <v>16</v>
      </c>
      <c r="E943" t="s">
        <v>95</v>
      </c>
      <c r="F943" s="4"/>
      <c r="G943">
        <v>1978</v>
      </c>
      <c r="H943">
        <v>5</v>
      </c>
      <c r="I943">
        <v>14</v>
      </c>
      <c r="J943" t="s">
        <v>164</v>
      </c>
      <c r="K943">
        <v>321.27999999999997</v>
      </c>
      <c r="L943">
        <v>1</v>
      </c>
      <c r="M943">
        <v>321.27999999999997</v>
      </c>
      <c r="N943" t="s">
        <v>64</v>
      </c>
      <c r="O943" t="s">
        <v>55</v>
      </c>
      <c r="P943" t="s">
        <v>48</v>
      </c>
    </row>
    <row r="944" spans="1:16" x14ac:dyDescent="0.25">
      <c r="A944" t="s">
        <v>1477</v>
      </c>
      <c r="B944" t="s">
        <v>1478</v>
      </c>
      <c r="C944" s="2">
        <v>0.78541666666666665</v>
      </c>
      <c r="D944" t="s">
        <v>16</v>
      </c>
      <c r="E944" t="s">
        <v>144</v>
      </c>
      <c r="F944" s="4"/>
      <c r="G944">
        <v>1974</v>
      </c>
      <c r="H944">
        <v>5</v>
      </c>
      <c r="I944">
        <v>7</v>
      </c>
      <c r="J944" t="s">
        <v>259</v>
      </c>
      <c r="K944">
        <v>107.68</v>
      </c>
      <c r="L944">
        <v>1</v>
      </c>
      <c r="M944">
        <v>107.68</v>
      </c>
      <c r="N944" t="s">
        <v>19</v>
      </c>
      <c r="O944" t="s">
        <v>47</v>
      </c>
      <c r="P944" t="s">
        <v>105</v>
      </c>
    </row>
    <row r="945" spans="1:16" x14ac:dyDescent="0.25">
      <c r="A945" t="s">
        <v>1479</v>
      </c>
      <c r="B945" t="s">
        <v>644</v>
      </c>
      <c r="C945" s="5">
        <v>0.83819444444444446</v>
      </c>
      <c r="D945" t="s">
        <v>16</v>
      </c>
      <c r="E945" t="s">
        <v>237</v>
      </c>
      <c r="F945" s="1"/>
      <c r="G945">
        <v>2000</v>
      </c>
      <c r="H945">
        <v>12</v>
      </c>
      <c r="I945">
        <v>18</v>
      </c>
      <c r="J945" t="s">
        <v>77</v>
      </c>
      <c r="K945">
        <v>251.37</v>
      </c>
      <c r="L945">
        <v>1</v>
      </c>
      <c r="M945">
        <v>251.37</v>
      </c>
      <c r="N945" t="s">
        <v>54</v>
      </c>
      <c r="O945" t="s">
        <v>55</v>
      </c>
    </row>
    <row r="946" spans="1:16" x14ac:dyDescent="0.25">
      <c r="A946" t="s">
        <v>1480</v>
      </c>
      <c r="B946" s="4">
        <v>45696</v>
      </c>
      <c r="C946" s="2">
        <v>0.95833333333333337</v>
      </c>
      <c r="D946" t="s">
        <v>16</v>
      </c>
      <c r="E946" t="s">
        <v>23</v>
      </c>
      <c r="F946" s="1"/>
      <c r="G946">
        <v>1988</v>
      </c>
      <c r="H946">
        <v>8</v>
      </c>
      <c r="I946">
        <v>5</v>
      </c>
      <c r="J946" t="s">
        <v>145</v>
      </c>
      <c r="K946">
        <v>-303.26</v>
      </c>
      <c r="L946">
        <v>2</v>
      </c>
      <c r="M946">
        <v>-606.52</v>
      </c>
      <c r="N946" t="s">
        <v>64</v>
      </c>
      <c r="O946" t="s">
        <v>26</v>
      </c>
      <c r="P946" t="s">
        <v>48</v>
      </c>
    </row>
    <row r="947" spans="1:16" x14ac:dyDescent="0.25">
      <c r="A947" t="s">
        <v>1481</v>
      </c>
      <c r="B947" s="4">
        <v>45794</v>
      </c>
      <c r="C947" s="5">
        <v>0.68680555555555556</v>
      </c>
      <c r="D947" t="s">
        <v>16</v>
      </c>
      <c r="E947" t="s">
        <v>125</v>
      </c>
      <c r="G947">
        <v>1997</v>
      </c>
      <c r="H947">
        <v>7</v>
      </c>
      <c r="I947">
        <v>17</v>
      </c>
      <c r="J947" t="s">
        <v>85</v>
      </c>
      <c r="K947">
        <v>107.73</v>
      </c>
      <c r="L947">
        <v>2</v>
      </c>
      <c r="M947">
        <v>215.46</v>
      </c>
      <c r="N947" t="s">
        <v>19</v>
      </c>
      <c r="O947" t="s">
        <v>55</v>
      </c>
    </row>
    <row r="948" spans="1:16" x14ac:dyDescent="0.25">
      <c r="A948" t="s">
        <v>1482</v>
      </c>
      <c r="B948" s="4">
        <v>45724</v>
      </c>
      <c r="C948" s="5">
        <v>0.44861111111111113</v>
      </c>
      <c r="D948" t="s">
        <v>16</v>
      </c>
      <c r="E948" t="s">
        <v>379</v>
      </c>
      <c r="F948" s="4"/>
      <c r="G948">
        <v>1991</v>
      </c>
      <c r="H948">
        <v>4</v>
      </c>
      <c r="I948">
        <v>8</v>
      </c>
      <c r="J948" t="s">
        <v>104</v>
      </c>
      <c r="K948">
        <v>261.42</v>
      </c>
      <c r="L948">
        <v>3</v>
      </c>
      <c r="M948">
        <v>784.26</v>
      </c>
      <c r="N948" t="s">
        <v>19</v>
      </c>
      <c r="O948" t="s">
        <v>37</v>
      </c>
      <c r="P948" t="s">
        <v>48</v>
      </c>
    </row>
    <row r="949" spans="1:16" x14ac:dyDescent="0.25">
      <c r="A949" t="s">
        <v>1483</v>
      </c>
      <c r="B949" s="1">
        <v>45957</v>
      </c>
      <c r="C949" s="3">
        <v>0.97107638888888892</v>
      </c>
      <c r="D949" t="s">
        <v>16</v>
      </c>
      <c r="E949" t="s">
        <v>66</v>
      </c>
      <c r="F949" s="4"/>
      <c r="G949">
        <v>1972</v>
      </c>
      <c r="H949">
        <v>9</v>
      </c>
      <c r="I949">
        <v>24</v>
      </c>
      <c r="J949" t="s">
        <v>60</v>
      </c>
      <c r="K949">
        <v>45.92</v>
      </c>
      <c r="L949">
        <v>1</v>
      </c>
      <c r="M949">
        <v>45.92</v>
      </c>
      <c r="N949" t="s">
        <v>25</v>
      </c>
      <c r="O949" t="s">
        <v>47</v>
      </c>
    </row>
    <row r="950" spans="1:16" x14ac:dyDescent="0.25">
      <c r="A950" t="s">
        <v>1484</v>
      </c>
      <c r="B950" s="4">
        <v>45729</v>
      </c>
      <c r="C950" s="5">
        <v>0.41736111111111113</v>
      </c>
      <c r="D950" t="s">
        <v>16</v>
      </c>
      <c r="E950" t="s">
        <v>330</v>
      </c>
      <c r="F950" s="1"/>
      <c r="G950">
        <v>2009</v>
      </c>
      <c r="H950">
        <v>4</v>
      </c>
      <c r="I950">
        <v>1</v>
      </c>
      <c r="J950" t="s">
        <v>129</v>
      </c>
      <c r="K950">
        <v>223.23</v>
      </c>
      <c r="L950">
        <v>3</v>
      </c>
      <c r="M950">
        <v>669.69</v>
      </c>
      <c r="N950" t="s">
        <v>64</v>
      </c>
      <c r="O950" t="s">
        <v>37</v>
      </c>
    </row>
    <row r="951" spans="1:16" x14ac:dyDescent="0.25">
      <c r="A951" t="s">
        <v>1485</v>
      </c>
      <c r="B951" s="4">
        <v>45784</v>
      </c>
      <c r="C951" s="5">
        <v>0.4236111111111111</v>
      </c>
      <c r="D951" t="s">
        <v>16</v>
      </c>
      <c r="E951" t="s">
        <v>582</v>
      </c>
      <c r="F951" s="4"/>
      <c r="G951">
        <v>1972</v>
      </c>
      <c r="H951">
        <v>6</v>
      </c>
      <c r="I951">
        <v>13</v>
      </c>
      <c r="J951" t="s">
        <v>40</v>
      </c>
      <c r="K951">
        <v>159.69999999999999</v>
      </c>
      <c r="L951">
        <v>1</v>
      </c>
      <c r="M951">
        <v>159.69999999999999</v>
      </c>
      <c r="N951" t="s">
        <v>54</v>
      </c>
      <c r="O951" t="s">
        <v>32</v>
      </c>
      <c r="P951" t="s">
        <v>21</v>
      </c>
    </row>
    <row r="952" spans="1:16" x14ac:dyDescent="0.25">
      <c r="A952" t="s">
        <v>1486</v>
      </c>
      <c r="B952" s="4">
        <v>45828</v>
      </c>
      <c r="C952" s="5">
        <v>0.89861111111111114</v>
      </c>
      <c r="D952" t="s">
        <v>16</v>
      </c>
      <c r="E952" t="s">
        <v>492</v>
      </c>
      <c r="F952" s="4"/>
      <c r="G952">
        <v>2005</v>
      </c>
      <c r="H952">
        <v>5</v>
      </c>
      <c r="I952">
        <v>25</v>
      </c>
      <c r="J952" t="s">
        <v>73</v>
      </c>
      <c r="K952">
        <v>37.659999999999997</v>
      </c>
      <c r="L952">
        <v>2</v>
      </c>
      <c r="M952" t="s">
        <v>1487</v>
      </c>
      <c r="N952" t="s">
        <v>41</v>
      </c>
      <c r="O952" t="s">
        <v>89</v>
      </c>
    </row>
    <row r="953" spans="1:16" x14ac:dyDescent="0.25">
      <c r="A953" t="s">
        <v>1488</v>
      </c>
      <c r="B953" t="s">
        <v>1489</v>
      </c>
      <c r="C953" s="5">
        <v>0.57361111111111107</v>
      </c>
      <c r="D953" t="s">
        <v>16</v>
      </c>
      <c r="E953" t="s">
        <v>307</v>
      </c>
      <c r="F953" s="4"/>
      <c r="G953">
        <v>1972</v>
      </c>
      <c r="H953">
        <v>4</v>
      </c>
      <c r="I953">
        <v>3</v>
      </c>
      <c r="J953" t="s">
        <v>53</v>
      </c>
      <c r="K953">
        <v>111.56</v>
      </c>
      <c r="L953">
        <v>3</v>
      </c>
      <c r="M953">
        <v>334.68</v>
      </c>
      <c r="N953" t="s">
        <v>54</v>
      </c>
      <c r="O953" t="s">
        <v>89</v>
      </c>
    </row>
    <row r="954" spans="1:16" x14ac:dyDescent="0.25">
      <c r="A954" t="s">
        <v>1490</v>
      </c>
      <c r="B954" s="4">
        <v>45664</v>
      </c>
      <c r="C954" s="2">
        <v>0.96250000000000002</v>
      </c>
      <c r="D954" t="s">
        <v>16</v>
      </c>
      <c r="E954" t="s">
        <v>161</v>
      </c>
      <c r="F954" s="4"/>
      <c r="G954">
        <v>1994</v>
      </c>
      <c r="H954">
        <v>11</v>
      </c>
      <c r="I954">
        <v>22</v>
      </c>
      <c r="J954" t="s">
        <v>141</v>
      </c>
      <c r="K954" t="s">
        <v>1491</v>
      </c>
      <c r="L954">
        <v>1</v>
      </c>
      <c r="M954">
        <v>111.8</v>
      </c>
      <c r="N954" t="s">
        <v>19</v>
      </c>
      <c r="O954" t="s">
        <v>26</v>
      </c>
      <c r="P954" t="s">
        <v>48</v>
      </c>
    </row>
    <row r="955" spans="1:16" x14ac:dyDescent="0.25">
      <c r="A955" t="s">
        <v>1492</v>
      </c>
      <c r="B955" s="1">
        <v>45621</v>
      </c>
      <c r="C955" s="5">
        <v>0.48888888888888887</v>
      </c>
      <c r="D955" t="s">
        <v>16</v>
      </c>
      <c r="E955" t="s">
        <v>764</v>
      </c>
      <c r="G955">
        <v>2007</v>
      </c>
      <c r="H955">
        <v>11</v>
      </c>
      <c r="I955">
        <v>1</v>
      </c>
      <c r="J955" t="s">
        <v>213</v>
      </c>
      <c r="K955">
        <v>234.6</v>
      </c>
      <c r="L955">
        <v>1</v>
      </c>
      <c r="M955">
        <v>234.6</v>
      </c>
      <c r="N955" t="s">
        <v>64</v>
      </c>
      <c r="O955" t="s">
        <v>20</v>
      </c>
      <c r="P955" t="s">
        <v>48</v>
      </c>
    </row>
    <row r="956" spans="1:16" x14ac:dyDescent="0.25">
      <c r="A956" t="s">
        <v>1493</v>
      </c>
      <c r="B956" s="4">
        <v>45778</v>
      </c>
      <c r="C956" s="3">
        <v>0.72270833333333329</v>
      </c>
      <c r="D956" t="s">
        <v>16</v>
      </c>
      <c r="E956" t="s">
        <v>466</v>
      </c>
      <c r="F956" s="1"/>
      <c r="G956">
        <v>1987</v>
      </c>
      <c r="H956">
        <v>1</v>
      </c>
      <c r="I956">
        <v>8</v>
      </c>
      <c r="J956" t="s">
        <v>199</v>
      </c>
      <c r="K956">
        <v>216.38</v>
      </c>
      <c r="L956">
        <v>1</v>
      </c>
      <c r="M956">
        <v>216.38</v>
      </c>
      <c r="N956" t="s">
        <v>25</v>
      </c>
      <c r="O956" t="s">
        <v>26</v>
      </c>
      <c r="P956" t="s">
        <v>105</v>
      </c>
    </row>
    <row r="957" spans="1:16" x14ac:dyDescent="0.25">
      <c r="A957" t="s">
        <v>1494</v>
      </c>
      <c r="C957" s="3">
        <v>0.51930555555555558</v>
      </c>
      <c r="D957" t="s">
        <v>16</v>
      </c>
      <c r="E957" t="s">
        <v>92</v>
      </c>
      <c r="F957" s="4"/>
      <c r="G957">
        <v>2005</v>
      </c>
      <c r="H957">
        <v>1</v>
      </c>
      <c r="I957">
        <v>12</v>
      </c>
      <c r="J957" t="s">
        <v>164</v>
      </c>
      <c r="K957">
        <v>237.48</v>
      </c>
      <c r="L957">
        <v>2</v>
      </c>
      <c r="M957" t="s">
        <v>1495</v>
      </c>
      <c r="N957" t="s">
        <v>25</v>
      </c>
      <c r="O957" t="s">
        <v>61</v>
      </c>
      <c r="P957" t="s">
        <v>48</v>
      </c>
    </row>
    <row r="958" spans="1:16" x14ac:dyDescent="0.25">
      <c r="A958" t="s">
        <v>1496</v>
      </c>
      <c r="B958" s="1">
        <v>45883</v>
      </c>
      <c r="C958" s="2">
        <v>0.76666666666666672</v>
      </c>
      <c r="D958" t="s">
        <v>16</v>
      </c>
      <c r="E958" t="s">
        <v>79</v>
      </c>
      <c r="J958" t="s">
        <v>202</v>
      </c>
      <c r="K958">
        <v>264.63</v>
      </c>
      <c r="L958">
        <v>2</v>
      </c>
      <c r="M958">
        <v>529.26</v>
      </c>
      <c r="N958" t="s">
        <v>67</v>
      </c>
      <c r="O958" t="s">
        <v>61</v>
      </c>
      <c r="P958" t="s">
        <v>56</v>
      </c>
    </row>
    <row r="959" spans="1:16" x14ac:dyDescent="0.25">
      <c r="A959" t="s">
        <v>1497</v>
      </c>
      <c r="B959" s="4">
        <v>45910</v>
      </c>
      <c r="C959" s="5">
        <v>0.92500000000000004</v>
      </c>
      <c r="D959" t="s">
        <v>16</v>
      </c>
      <c r="E959" t="s">
        <v>240</v>
      </c>
      <c r="G959">
        <v>1974</v>
      </c>
      <c r="H959">
        <v>8</v>
      </c>
      <c r="I959">
        <v>4</v>
      </c>
      <c r="J959" t="s">
        <v>77</v>
      </c>
      <c r="K959">
        <v>177.32</v>
      </c>
      <c r="L959">
        <v>2</v>
      </c>
      <c r="M959">
        <v>354.64</v>
      </c>
      <c r="N959" t="s">
        <v>67</v>
      </c>
      <c r="O959" t="s">
        <v>89</v>
      </c>
      <c r="P959" t="s">
        <v>74</v>
      </c>
    </row>
    <row r="960" spans="1:16" x14ac:dyDescent="0.25">
      <c r="A960" t="s">
        <v>1498</v>
      </c>
      <c r="B960" s="1">
        <v>45976</v>
      </c>
      <c r="C960" s="5">
        <v>0.50972222222222219</v>
      </c>
      <c r="D960" t="s">
        <v>16</v>
      </c>
      <c r="E960" t="s">
        <v>88</v>
      </c>
      <c r="F960" s="4"/>
      <c r="G960">
        <v>1993</v>
      </c>
      <c r="H960">
        <v>4</v>
      </c>
      <c r="I960">
        <v>1</v>
      </c>
      <c r="J960" t="s">
        <v>53</v>
      </c>
      <c r="K960">
        <v>109.19</v>
      </c>
      <c r="L960">
        <v>2</v>
      </c>
      <c r="M960">
        <v>218.38</v>
      </c>
      <c r="N960" t="s">
        <v>67</v>
      </c>
      <c r="O960" t="s">
        <v>89</v>
      </c>
      <c r="P960" t="s">
        <v>74</v>
      </c>
    </row>
    <row r="961" spans="1:16" x14ac:dyDescent="0.25">
      <c r="A961" t="s">
        <v>1499</v>
      </c>
      <c r="B961" s="1">
        <v>45972</v>
      </c>
      <c r="C961" s="2">
        <v>0.77152777777777781</v>
      </c>
      <c r="D961" t="s">
        <v>16</v>
      </c>
      <c r="E961" t="s">
        <v>492</v>
      </c>
      <c r="F961" s="1"/>
      <c r="G961">
        <v>1992</v>
      </c>
      <c r="H961">
        <v>9</v>
      </c>
      <c r="I961">
        <v>13</v>
      </c>
      <c r="J961" t="s">
        <v>36</v>
      </c>
      <c r="K961">
        <v>98.46</v>
      </c>
      <c r="L961">
        <v>1</v>
      </c>
      <c r="M961">
        <v>98.46</v>
      </c>
      <c r="O961" t="s">
        <v>20</v>
      </c>
    </row>
    <row r="962" spans="1:16" x14ac:dyDescent="0.25">
      <c r="A962" t="s">
        <v>1500</v>
      </c>
      <c r="B962" s="1">
        <v>45634</v>
      </c>
      <c r="C962" s="5">
        <v>0.64930555555555558</v>
      </c>
      <c r="D962" t="s">
        <v>16</v>
      </c>
      <c r="E962" t="s">
        <v>307</v>
      </c>
      <c r="G962">
        <v>1991</v>
      </c>
      <c r="H962">
        <v>12</v>
      </c>
      <c r="I962">
        <v>12</v>
      </c>
      <c r="J962" t="s">
        <v>126</v>
      </c>
      <c r="K962">
        <v>107.44</v>
      </c>
      <c r="L962">
        <v>3</v>
      </c>
      <c r="M962">
        <v>322.32</v>
      </c>
      <c r="N962" t="s">
        <v>54</v>
      </c>
      <c r="O962" t="s">
        <v>26</v>
      </c>
      <c r="P962" t="s">
        <v>48</v>
      </c>
    </row>
    <row r="963" spans="1:16" x14ac:dyDescent="0.25">
      <c r="A963" t="s">
        <v>1501</v>
      </c>
      <c r="B963" s="1">
        <v>45956</v>
      </c>
      <c r="C963" s="5">
        <v>0.64652777777777781</v>
      </c>
      <c r="D963" t="s">
        <v>16</v>
      </c>
      <c r="E963" t="s">
        <v>198</v>
      </c>
      <c r="G963">
        <v>1976</v>
      </c>
      <c r="H963">
        <v>12</v>
      </c>
      <c r="I963">
        <v>18</v>
      </c>
      <c r="J963" t="s">
        <v>129</v>
      </c>
      <c r="K963">
        <v>154.09</v>
      </c>
      <c r="L963">
        <v>1</v>
      </c>
      <c r="M963">
        <v>114.09</v>
      </c>
      <c r="N963" t="s">
        <v>19</v>
      </c>
      <c r="O963" t="s">
        <v>55</v>
      </c>
      <c r="P963" t="s">
        <v>21</v>
      </c>
    </row>
    <row r="964" spans="1:16" x14ac:dyDescent="0.25">
      <c r="A964" t="s">
        <v>1502</v>
      </c>
      <c r="B964" t="s">
        <v>1503</v>
      </c>
      <c r="C964" s="3">
        <v>0.49626157407407406</v>
      </c>
      <c r="D964" t="s">
        <v>16</v>
      </c>
      <c r="E964" t="s">
        <v>133</v>
      </c>
      <c r="J964" t="s">
        <v>36</v>
      </c>
      <c r="K964">
        <v>200.26</v>
      </c>
      <c r="L964">
        <v>3</v>
      </c>
      <c r="M964">
        <v>637.78</v>
      </c>
      <c r="N964" t="s">
        <v>31</v>
      </c>
      <c r="O964" t="s">
        <v>61</v>
      </c>
      <c r="P964" t="s">
        <v>27</v>
      </c>
    </row>
    <row r="965" spans="1:16" x14ac:dyDescent="0.25">
      <c r="A965" t="s">
        <v>1504</v>
      </c>
      <c r="B965" s="4">
        <v>45717</v>
      </c>
      <c r="C965" s="2">
        <v>0.46041666666666664</v>
      </c>
      <c r="D965" t="s">
        <v>16</v>
      </c>
      <c r="E965" t="s">
        <v>158</v>
      </c>
      <c r="G965">
        <v>1999</v>
      </c>
      <c r="H965">
        <v>11</v>
      </c>
      <c r="I965">
        <v>8</v>
      </c>
      <c r="J965" t="s">
        <v>259</v>
      </c>
      <c r="K965">
        <v>215.07</v>
      </c>
      <c r="L965">
        <v>2</v>
      </c>
      <c r="M965">
        <v>430.14</v>
      </c>
      <c r="N965" t="s">
        <v>31</v>
      </c>
      <c r="O965" t="s">
        <v>89</v>
      </c>
      <c r="P965" t="s">
        <v>21</v>
      </c>
    </row>
    <row r="966" spans="1:16" x14ac:dyDescent="0.25">
      <c r="A966" t="s">
        <v>1505</v>
      </c>
      <c r="B966" s="4">
        <v>45863</v>
      </c>
      <c r="C966" s="5">
        <v>0.95902777777777781</v>
      </c>
      <c r="D966" t="s">
        <v>16</v>
      </c>
      <c r="E966" t="s">
        <v>232</v>
      </c>
      <c r="F966" s="4"/>
      <c r="G966">
        <v>1997</v>
      </c>
      <c r="H966">
        <v>10</v>
      </c>
      <c r="I966">
        <v>8</v>
      </c>
      <c r="J966" t="s">
        <v>73</v>
      </c>
      <c r="K966">
        <v>-52.95</v>
      </c>
      <c r="L966">
        <v>3</v>
      </c>
      <c r="M966">
        <v>-158.85</v>
      </c>
      <c r="N966" t="s">
        <v>67</v>
      </c>
      <c r="O966" t="s">
        <v>37</v>
      </c>
      <c r="P966" t="s">
        <v>56</v>
      </c>
    </row>
    <row r="967" spans="1:16" x14ac:dyDescent="0.25">
      <c r="A967" t="s">
        <v>1506</v>
      </c>
      <c r="B967" s="4">
        <v>45688</v>
      </c>
      <c r="C967" s="3">
        <v>0.86903935185185188</v>
      </c>
      <c r="D967" t="s">
        <v>16</v>
      </c>
      <c r="E967" t="s">
        <v>229</v>
      </c>
      <c r="F967" s="4"/>
      <c r="G967">
        <v>1999</v>
      </c>
      <c r="H967">
        <v>10</v>
      </c>
      <c r="I967">
        <v>9</v>
      </c>
      <c r="J967" t="s">
        <v>129</v>
      </c>
      <c r="K967">
        <v>158.80000000000001</v>
      </c>
      <c r="L967">
        <v>2</v>
      </c>
      <c r="M967">
        <v>317.60000000000002</v>
      </c>
      <c r="N967" t="s">
        <v>31</v>
      </c>
      <c r="O967" t="s">
        <v>26</v>
      </c>
      <c r="P967" t="s">
        <v>21</v>
      </c>
    </row>
    <row r="968" spans="1:16" x14ac:dyDescent="0.25">
      <c r="A968" t="s">
        <v>1507</v>
      </c>
      <c r="B968" s="4">
        <v>45655</v>
      </c>
      <c r="C968" s="3">
        <v>0.54336805555555556</v>
      </c>
      <c r="D968" t="s">
        <v>16</v>
      </c>
      <c r="E968" t="s">
        <v>1508</v>
      </c>
      <c r="F968" s="4"/>
      <c r="G968">
        <v>2005</v>
      </c>
      <c r="H968">
        <v>8</v>
      </c>
      <c r="I968">
        <v>16</v>
      </c>
      <c r="J968" t="s">
        <v>85</v>
      </c>
      <c r="K968">
        <v>216.79</v>
      </c>
      <c r="L968">
        <v>2</v>
      </c>
      <c r="M968">
        <v>433.58</v>
      </c>
      <c r="N968" t="s">
        <v>54</v>
      </c>
      <c r="O968" t="s">
        <v>89</v>
      </c>
      <c r="P968" t="s">
        <v>74</v>
      </c>
    </row>
    <row r="969" spans="1:16" x14ac:dyDescent="0.25">
      <c r="A969" t="s">
        <v>1509</v>
      </c>
      <c r="B969" s="4">
        <v>45737</v>
      </c>
      <c r="C969" s="2">
        <v>0.6743055555555556</v>
      </c>
      <c r="D969" t="s">
        <v>16</v>
      </c>
      <c r="E969" t="s">
        <v>204</v>
      </c>
      <c r="G969">
        <v>1991</v>
      </c>
      <c r="H969">
        <v>12</v>
      </c>
      <c r="I969">
        <v>12</v>
      </c>
      <c r="J969" t="s">
        <v>77</v>
      </c>
      <c r="K969">
        <v>268.08999999999997</v>
      </c>
      <c r="L969">
        <v>3</v>
      </c>
      <c r="M969">
        <v>804.27</v>
      </c>
      <c r="O969" t="s">
        <v>32</v>
      </c>
      <c r="P969" t="s">
        <v>56</v>
      </c>
    </row>
    <row r="970" spans="1:16" x14ac:dyDescent="0.25">
      <c r="A970" t="s">
        <v>1510</v>
      </c>
      <c r="B970" s="4">
        <v>45651</v>
      </c>
      <c r="C970" s="3">
        <v>0.6156018518518519</v>
      </c>
      <c r="D970" t="s">
        <v>16</v>
      </c>
      <c r="E970" t="s">
        <v>494</v>
      </c>
      <c r="J970" t="s">
        <v>126</v>
      </c>
      <c r="K970">
        <v>111.28</v>
      </c>
      <c r="L970">
        <v>3</v>
      </c>
      <c r="M970">
        <v>333.84</v>
      </c>
      <c r="N970" t="s">
        <v>67</v>
      </c>
      <c r="O970" t="s">
        <v>47</v>
      </c>
      <c r="P970" t="s">
        <v>105</v>
      </c>
    </row>
    <row r="971" spans="1:16" x14ac:dyDescent="0.25">
      <c r="A971" t="s">
        <v>1511</v>
      </c>
      <c r="B971" s="1">
        <v>45624</v>
      </c>
      <c r="C971" s="2">
        <v>0.67708333333333337</v>
      </c>
      <c r="D971" t="s">
        <v>16</v>
      </c>
      <c r="E971" t="s">
        <v>377</v>
      </c>
      <c r="F971" s="4"/>
      <c r="G971">
        <v>1986</v>
      </c>
      <c r="H971">
        <v>11</v>
      </c>
      <c r="I971">
        <v>18</v>
      </c>
      <c r="J971" t="s">
        <v>213</v>
      </c>
      <c r="K971">
        <v>193.13</v>
      </c>
      <c r="L971">
        <v>2</v>
      </c>
      <c r="M971">
        <v>386.26</v>
      </c>
      <c r="N971" t="s">
        <v>25</v>
      </c>
      <c r="O971" t="s">
        <v>32</v>
      </c>
      <c r="P971" t="s">
        <v>27</v>
      </c>
    </row>
    <row r="972" spans="1:16" x14ac:dyDescent="0.25">
      <c r="A972" t="s">
        <v>1512</v>
      </c>
      <c r="C972" s="2">
        <v>0.5</v>
      </c>
      <c r="D972" t="s">
        <v>16</v>
      </c>
      <c r="E972" t="s">
        <v>88</v>
      </c>
      <c r="F972" s="1"/>
      <c r="G972">
        <v>2000</v>
      </c>
      <c r="H972">
        <v>5</v>
      </c>
      <c r="I972">
        <v>27</v>
      </c>
      <c r="J972" t="s">
        <v>85</v>
      </c>
      <c r="K972">
        <v>120.56</v>
      </c>
      <c r="L972">
        <v>1</v>
      </c>
      <c r="M972">
        <v>116.56</v>
      </c>
      <c r="N972" t="s">
        <v>54</v>
      </c>
      <c r="O972" t="s">
        <v>26</v>
      </c>
      <c r="P972" t="s">
        <v>48</v>
      </c>
    </row>
    <row r="973" spans="1:16" x14ac:dyDescent="0.25">
      <c r="A973" t="s">
        <v>1513</v>
      </c>
      <c r="B973" s="1">
        <v>45969</v>
      </c>
      <c r="C973" s="3">
        <v>0.88064814814814818</v>
      </c>
      <c r="D973" t="s">
        <v>16</v>
      </c>
      <c r="E973" t="s">
        <v>1514</v>
      </c>
      <c r="F973" s="4"/>
      <c r="G973">
        <v>1996</v>
      </c>
      <c r="H973">
        <v>1</v>
      </c>
      <c r="I973">
        <v>15</v>
      </c>
      <c r="J973" t="s">
        <v>199</v>
      </c>
      <c r="K973">
        <v>225.49</v>
      </c>
      <c r="L973">
        <v>2</v>
      </c>
      <c r="M973">
        <v>450.98</v>
      </c>
      <c r="N973" t="s">
        <v>31</v>
      </c>
      <c r="O973" t="s">
        <v>37</v>
      </c>
    </row>
    <row r="974" spans="1:16" x14ac:dyDescent="0.25">
      <c r="A974" t="s">
        <v>1515</v>
      </c>
      <c r="B974" s="4">
        <v>45632</v>
      </c>
      <c r="C974" s="3">
        <v>0.97690972222222228</v>
      </c>
      <c r="D974" t="s">
        <v>16</v>
      </c>
      <c r="E974" t="s">
        <v>370</v>
      </c>
      <c r="J974" t="s">
        <v>30</v>
      </c>
      <c r="K974">
        <v>305.68</v>
      </c>
      <c r="L974">
        <v>2</v>
      </c>
      <c r="M974" t="s">
        <v>1516</v>
      </c>
      <c r="N974" t="s">
        <v>25</v>
      </c>
      <c r="O974" t="s">
        <v>89</v>
      </c>
      <c r="P974" t="s">
        <v>56</v>
      </c>
    </row>
    <row r="975" spans="1:16" x14ac:dyDescent="0.25">
      <c r="A975" t="s">
        <v>1517</v>
      </c>
      <c r="C975" s="5">
        <v>0.65694444444444444</v>
      </c>
      <c r="D975" t="s">
        <v>16</v>
      </c>
      <c r="E975" t="s">
        <v>187</v>
      </c>
      <c r="F975" s="4"/>
      <c r="G975">
        <v>1996</v>
      </c>
      <c r="H975">
        <v>12</v>
      </c>
      <c r="I975">
        <v>6</v>
      </c>
      <c r="J975" t="s">
        <v>129</v>
      </c>
      <c r="K975">
        <v>209.45</v>
      </c>
      <c r="L975">
        <v>1</v>
      </c>
      <c r="M975">
        <v>209.45</v>
      </c>
      <c r="N975" t="s">
        <v>64</v>
      </c>
      <c r="O975" t="s">
        <v>32</v>
      </c>
      <c r="P975" t="s">
        <v>27</v>
      </c>
    </row>
    <row r="976" spans="1:16" x14ac:dyDescent="0.25">
      <c r="A976" t="s">
        <v>1518</v>
      </c>
      <c r="B976" s="4">
        <v>45974</v>
      </c>
      <c r="C976" s="2">
        <v>0.52916666666666667</v>
      </c>
      <c r="D976" t="s">
        <v>16</v>
      </c>
      <c r="E976" t="s">
        <v>776</v>
      </c>
      <c r="G976">
        <v>1999</v>
      </c>
      <c r="H976">
        <v>11</v>
      </c>
      <c r="I976">
        <v>15</v>
      </c>
      <c r="J976" t="s">
        <v>116</v>
      </c>
      <c r="K976">
        <v>227.05</v>
      </c>
      <c r="L976">
        <v>2</v>
      </c>
      <c r="M976">
        <v>454.1</v>
      </c>
      <c r="N976" t="s">
        <v>64</v>
      </c>
      <c r="O976" t="s">
        <v>20</v>
      </c>
      <c r="P976" t="s">
        <v>27</v>
      </c>
    </row>
    <row r="977" spans="1:16" x14ac:dyDescent="0.25">
      <c r="A977" t="s">
        <v>1519</v>
      </c>
      <c r="B977" s="4">
        <v>45854</v>
      </c>
      <c r="C977" s="5">
        <v>0.66805555555555551</v>
      </c>
      <c r="D977" t="s">
        <v>16</v>
      </c>
      <c r="E977" t="s">
        <v>1520</v>
      </c>
      <c r="F977" s="4"/>
      <c r="G977">
        <v>1985</v>
      </c>
      <c r="H977">
        <v>1</v>
      </c>
      <c r="I977">
        <v>9</v>
      </c>
      <c r="J977" t="s">
        <v>126</v>
      </c>
      <c r="K977">
        <v>107.69</v>
      </c>
      <c r="L977">
        <v>1</v>
      </c>
      <c r="M977">
        <v>107.69</v>
      </c>
      <c r="N977" t="s">
        <v>67</v>
      </c>
      <c r="O977" t="s">
        <v>32</v>
      </c>
      <c r="P977" t="s">
        <v>56</v>
      </c>
    </row>
    <row r="978" spans="1:16" x14ac:dyDescent="0.25">
      <c r="A978" t="s">
        <v>1521</v>
      </c>
      <c r="B978" s="1">
        <v>45971</v>
      </c>
      <c r="C978" s="5">
        <v>0.8305555555555556</v>
      </c>
      <c r="D978" t="s">
        <v>16</v>
      </c>
      <c r="E978" t="s">
        <v>652</v>
      </c>
      <c r="F978" s="1"/>
      <c r="G978">
        <v>1998</v>
      </c>
      <c r="H978">
        <v>8</v>
      </c>
      <c r="I978">
        <v>20</v>
      </c>
      <c r="J978" t="s">
        <v>60</v>
      </c>
      <c r="K978" t="s">
        <v>1522</v>
      </c>
      <c r="L978">
        <v>2</v>
      </c>
      <c r="M978">
        <v>211.34</v>
      </c>
      <c r="N978" t="s">
        <v>25</v>
      </c>
      <c r="O978" t="s">
        <v>32</v>
      </c>
      <c r="P978" t="s">
        <v>21</v>
      </c>
    </row>
    <row r="979" spans="1:16" x14ac:dyDescent="0.25">
      <c r="A979" t="s">
        <v>1523</v>
      </c>
      <c r="B979" s="4">
        <v>45661</v>
      </c>
      <c r="C979" s="3">
        <v>0.77565972222222224</v>
      </c>
      <c r="D979" t="s">
        <v>16</v>
      </c>
      <c r="E979" t="s">
        <v>169</v>
      </c>
      <c r="F979" s="1"/>
      <c r="G979">
        <v>1976</v>
      </c>
      <c r="H979">
        <v>6</v>
      </c>
      <c r="I979">
        <v>22</v>
      </c>
      <c r="J979" t="s">
        <v>126</v>
      </c>
      <c r="K979">
        <v>-119.76</v>
      </c>
      <c r="L979">
        <v>2</v>
      </c>
      <c r="M979">
        <v>-239.52</v>
      </c>
      <c r="N979" t="s">
        <v>67</v>
      </c>
      <c r="O979" t="s">
        <v>55</v>
      </c>
    </row>
    <row r="980" spans="1:16" x14ac:dyDescent="0.25">
      <c r="A980" t="s">
        <v>1524</v>
      </c>
      <c r="B980" s="4">
        <v>45760</v>
      </c>
      <c r="C980" s="5">
        <v>0.87986111111111109</v>
      </c>
      <c r="D980" t="s">
        <v>16</v>
      </c>
      <c r="E980" t="s">
        <v>281</v>
      </c>
      <c r="F980" s="4"/>
      <c r="G980">
        <v>2006</v>
      </c>
      <c r="H980">
        <v>10</v>
      </c>
      <c r="I980">
        <v>5</v>
      </c>
      <c r="J980" t="s">
        <v>213</v>
      </c>
      <c r="K980">
        <v>52.98</v>
      </c>
      <c r="L980">
        <v>1</v>
      </c>
      <c r="M980">
        <v>52.98</v>
      </c>
      <c r="N980" t="s">
        <v>31</v>
      </c>
      <c r="O980" t="s">
        <v>26</v>
      </c>
    </row>
    <row r="981" spans="1:16" x14ac:dyDescent="0.25">
      <c r="A981" t="s">
        <v>1525</v>
      </c>
      <c r="B981" t="s">
        <v>1226</v>
      </c>
      <c r="C981" s="5">
        <v>0.69722222222222219</v>
      </c>
      <c r="D981" t="s">
        <v>16</v>
      </c>
      <c r="E981" t="s">
        <v>1526</v>
      </c>
      <c r="G981">
        <v>1985</v>
      </c>
      <c r="H981">
        <v>8</v>
      </c>
      <c r="I981">
        <v>19</v>
      </c>
      <c r="J981" t="s">
        <v>213</v>
      </c>
      <c r="K981">
        <v>179.57</v>
      </c>
      <c r="L981">
        <v>1</v>
      </c>
      <c r="M981">
        <v>179.57</v>
      </c>
      <c r="N981" t="s">
        <v>41</v>
      </c>
      <c r="O981" t="s">
        <v>20</v>
      </c>
      <c r="P981" t="s">
        <v>27</v>
      </c>
    </row>
    <row r="982" spans="1:16" x14ac:dyDescent="0.25">
      <c r="A982" t="s">
        <v>1527</v>
      </c>
      <c r="B982" s="1">
        <v>45814</v>
      </c>
      <c r="C982" s="3">
        <v>0.61196759259259259</v>
      </c>
      <c r="D982" t="s">
        <v>16</v>
      </c>
      <c r="E982" t="s">
        <v>163</v>
      </c>
      <c r="F982" s="4"/>
      <c r="G982">
        <v>1995</v>
      </c>
      <c r="H982">
        <v>1</v>
      </c>
      <c r="I982">
        <v>26</v>
      </c>
      <c r="J982" t="s">
        <v>77</v>
      </c>
      <c r="K982">
        <v>106.47</v>
      </c>
      <c r="L982">
        <v>3</v>
      </c>
      <c r="M982">
        <v>319.41000000000003</v>
      </c>
      <c r="N982" t="s">
        <v>64</v>
      </c>
      <c r="O982" t="s">
        <v>61</v>
      </c>
    </row>
    <row r="983" spans="1:16" x14ac:dyDescent="0.25">
      <c r="A983" t="s">
        <v>1528</v>
      </c>
      <c r="B983" t="s">
        <v>1529</v>
      </c>
      <c r="C983" s="2">
        <v>0.6430555555555556</v>
      </c>
      <c r="D983" t="s">
        <v>16</v>
      </c>
      <c r="E983" t="s">
        <v>622</v>
      </c>
      <c r="F983" s="1"/>
      <c r="G983">
        <v>1983</v>
      </c>
      <c r="H983">
        <v>5</v>
      </c>
      <c r="I983">
        <v>22</v>
      </c>
      <c r="J983" t="s">
        <v>202</v>
      </c>
      <c r="K983">
        <v>151.83000000000001</v>
      </c>
      <c r="L983">
        <v>1</v>
      </c>
      <c r="M983" t="s">
        <v>1530</v>
      </c>
      <c r="N983" t="s">
        <v>54</v>
      </c>
      <c r="O983" t="s">
        <v>61</v>
      </c>
    </row>
    <row r="984" spans="1:16" x14ac:dyDescent="0.25">
      <c r="A984" t="s">
        <v>1531</v>
      </c>
      <c r="B984" s="4">
        <v>45890</v>
      </c>
      <c r="C984" s="2">
        <v>0.5083333333333333</v>
      </c>
      <c r="D984" t="s">
        <v>16</v>
      </c>
      <c r="E984" t="s">
        <v>1532</v>
      </c>
      <c r="F984" s="4"/>
      <c r="G984">
        <v>1982</v>
      </c>
      <c r="H984">
        <v>7</v>
      </c>
      <c r="I984">
        <v>19</v>
      </c>
      <c r="J984" t="s">
        <v>259</v>
      </c>
      <c r="K984">
        <v>263.14999999999998</v>
      </c>
      <c r="L984">
        <v>2</v>
      </c>
      <c r="M984">
        <v>526.29999999999995</v>
      </c>
      <c r="N984" t="s">
        <v>64</v>
      </c>
      <c r="O984" t="s">
        <v>26</v>
      </c>
      <c r="P984" t="s">
        <v>48</v>
      </c>
    </row>
    <row r="985" spans="1:16" x14ac:dyDescent="0.25">
      <c r="A985" t="s">
        <v>1533</v>
      </c>
      <c r="B985" s="1">
        <v>45936</v>
      </c>
      <c r="C985" s="5">
        <v>0.82222222222222219</v>
      </c>
      <c r="D985" t="s">
        <v>16</v>
      </c>
      <c r="E985" t="s">
        <v>35</v>
      </c>
      <c r="G985">
        <v>1974</v>
      </c>
      <c r="H985">
        <v>5</v>
      </c>
      <c r="I985">
        <v>14</v>
      </c>
      <c r="J985" t="s">
        <v>129</v>
      </c>
      <c r="K985">
        <v>173.45</v>
      </c>
      <c r="L985">
        <v>2</v>
      </c>
      <c r="M985">
        <v>346.9</v>
      </c>
      <c r="N985" t="s">
        <v>25</v>
      </c>
      <c r="O985" t="s">
        <v>89</v>
      </c>
      <c r="P985" t="s">
        <v>56</v>
      </c>
    </row>
    <row r="986" spans="1:16" x14ac:dyDescent="0.25">
      <c r="A986" t="s">
        <v>1534</v>
      </c>
      <c r="B986" t="s">
        <v>968</v>
      </c>
      <c r="C986" s="5">
        <v>0.93402777777777779</v>
      </c>
      <c r="D986" t="s">
        <v>16</v>
      </c>
      <c r="E986" t="s">
        <v>17</v>
      </c>
      <c r="J986" t="s">
        <v>73</v>
      </c>
      <c r="K986">
        <v>42.5</v>
      </c>
      <c r="L986">
        <v>1</v>
      </c>
      <c r="M986">
        <v>42.5</v>
      </c>
      <c r="N986" t="s">
        <v>64</v>
      </c>
      <c r="O986" t="s">
        <v>20</v>
      </c>
      <c r="P986" t="s">
        <v>48</v>
      </c>
    </row>
    <row r="987" spans="1:16" x14ac:dyDescent="0.25">
      <c r="A987" t="s">
        <v>1535</v>
      </c>
      <c r="B987" s="1">
        <v>45762</v>
      </c>
      <c r="C987" s="3">
        <v>0.5708333333333333</v>
      </c>
      <c r="D987" t="s">
        <v>16</v>
      </c>
      <c r="E987" t="s">
        <v>652</v>
      </c>
      <c r="F987" s="1"/>
      <c r="G987">
        <v>2007</v>
      </c>
      <c r="H987">
        <v>6</v>
      </c>
      <c r="I987">
        <v>2</v>
      </c>
      <c r="J987" t="s">
        <v>116</v>
      </c>
      <c r="K987">
        <v>102.73</v>
      </c>
      <c r="L987">
        <v>1</v>
      </c>
      <c r="M987">
        <v>102.73</v>
      </c>
      <c r="N987" t="s">
        <v>25</v>
      </c>
      <c r="O987" t="s">
        <v>20</v>
      </c>
      <c r="P987" t="s">
        <v>105</v>
      </c>
    </row>
    <row r="988" spans="1:16" x14ac:dyDescent="0.25">
      <c r="A988" t="s">
        <v>1536</v>
      </c>
      <c r="B988" s="4">
        <v>45631</v>
      </c>
      <c r="C988" s="2">
        <v>0.69166666666666665</v>
      </c>
      <c r="D988" t="s">
        <v>16</v>
      </c>
      <c r="E988" t="s">
        <v>128</v>
      </c>
      <c r="G988">
        <v>2006</v>
      </c>
      <c r="H988">
        <v>1</v>
      </c>
      <c r="I988">
        <v>6</v>
      </c>
      <c r="J988" t="s">
        <v>36</v>
      </c>
      <c r="K988">
        <v>198.04</v>
      </c>
      <c r="L988">
        <v>1</v>
      </c>
      <c r="M988">
        <v>198.04</v>
      </c>
      <c r="N988" t="s">
        <v>41</v>
      </c>
      <c r="O988" t="s">
        <v>55</v>
      </c>
      <c r="P988" t="s">
        <v>105</v>
      </c>
    </row>
    <row r="989" spans="1:16" x14ac:dyDescent="0.25">
      <c r="A989" t="s">
        <v>1537</v>
      </c>
      <c r="B989" s="4">
        <v>45723</v>
      </c>
      <c r="C989" s="5">
        <v>0.59652777777777777</v>
      </c>
      <c r="D989" t="s">
        <v>16</v>
      </c>
      <c r="E989" t="s">
        <v>187</v>
      </c>
      <c r="F989" s="4"/>
      <c r="G989">
        <v>1977</v>
      </c>
      <c r="H989">
        <v>7</v>
      </c>
      <c r="I989">
        <v>6</v>
      </c>
      <c r="J989" t="s">
        <v>60</v>
      </c>
      <c r="K989">
        <v>206.99</v>
      </c>
      <c r="L989">
        <v>1</v>
      </c>
      <c r="M989">
        <v>199.99</v>
      </c>
      <c r="O989" t="s">
        <v>26</v>
      </c>
      <c r="P989" t="s">
        <v>27</v>
      </c>
    </row>
    <row r="990" spans="1:16" x14ac:dyDescent="0.25">
      <c r="A990" t="s">
        <v>1538</v>
      </c>
      <c r="B990" s="4">
        <v>45705</v>
      </c>
      <c r="C990" s="2">
        <v>0.9604166666666667</v>
      </c>
      <c r="D990" t="s">
        <v>16</v>
      </c>
      <c r="E990" t="s">
        <v>35</v>
      </c>
      <c r="G990">
        <v>1998</v>
      </c>
      <c r="H990">
        <v>12</v>
      </c>
      <c r="I990">
        <v>9</v>
      </c>
      <c r="J990" t="s">
        <v>116</v>
      </c>
      <c r="K990">
        <v>199.03</v>
      </c>
      <c r="L990">
        <v>1</v>
      </c>
      <c r="M990">
        <v>199.03</v>
      </c>
      <c r="N990" t="s">
        <v>54</v>
      </c>
      <c r="O990" t="s">
        <v>26</v>
      </c>
      <c r="P990" t="s">
        <v>27</v>
      </c>
    </row>
    <row r="991" spans="1:16" x14ac:dyDescent="0.25">
      <c r="A991" t="s">
        <v>1539</v>
      </c>
      <c r="B991" s="4">
        <v>45832</v>
      </c>
      <c r="C991" s="2">
        <v>0.59444444444444444</v>
      </c>
      <c r="D991" t="s">
        <v>16</v>
      </c>
      <c r="E991" t="s">
        <v>520</v>
      </c>
      <c r="J991" t="s">
        <v>60</v>
      </c>
      <c r="K991">
        <v>301.12</v>
      </c>
      <c r="L991">
        <v>2</v>
      </c>
      <c r="M991">
        <v>602.24</v>
      </c>
      <c r="N991" t="s">
        <v>41</v>
      </c>
      <c r="O991" t="s">
        <v>32</v>
      </c>
    </row>
    <row r="992" spans="1:16" x14ac:dyDescent="0.25">
      <c r="A992" t="s">
        <v>1540</v>
      </c>
      <c r="B992" t="s">
        <v>1100</v>
      </c>
      <c r="C992" s="3">
        <v>0.88645833333333335</v>
      </c>
      <c r="D992" t="s">
        <v>16</v>
      </c>
      <c r="E992" t="s">
        <v>237</v>
      </c>
      <c r="F992" s="1"/>
      <c r="G992">
        <v>2008</v>
      </c>
      <c r="H992">
        <v>5</v>
      </c>
      <c r="I992">
        <v>14</v>
      </c>
      <c r="J992" t="s">
        <v>164</v>
      </c>
      <c r="K992">
        <v>252.5</v>
      </c>
      <c r="L992">
        <v>3</v>
      </c>
      <c r="M992">
        <v>783.5</v>
      </c>
      <c r="N992" t="s">
        <v>41</v>
      </c>
      <c r="O992" t="s">
        <v>20</v>
      </c>
      <c r="P992" t="s">
        <v>21</v>
      </c>
    </row>
    <row r="993" spans="1:16" x14ac:dyDescent="0.25">
      <c r="A993" t="s">
        <v>1541</v>
      </c>
      <c r="B993" t="s">
        <v>585</v>
      </c>
      <c r="C993" s="5">
        <v>0.58819444444444446</v>
      </c>
      <c r="D993" t="s">
        <v>16</v>
      </c>
      <c r="E993" t="s">
        <v>776</v>
      </c>
      <c r="F993" s="4"/>
      <c r="G993">
        <v>2003</v>
      </c>
      <c r="H993">
        <v>7</v>
      </c>
      <c r="I993">
        <v>2</v>
      </c>
      <c r="J993" t="s">
        <v>164</v>
      </c>
      <c r="K993">
        <v>323.7</v>
      </c>
      <c r="L993">
        <v>1</v>
      </c>
      <c r="M993">
        <v>323.7</v>
      </c>
      <c r="N993" t="s">
        <v>67</v>
      </c>
      <c r="O993" t="s">
        <v>26</v>
      </c>
      <c r="P993" t="s">
        <v>27</v>
      </c>
    </row>
    <row r="994" spans="1:16" x14ac:dyDescent="0.25">
      <c r="A994" t="s">
        <v>1542</v>
      </c>
      <c r="B994" s="1">
        <v>45751</v>
      </c>
      <c r="C994" s="2">
        <v>0.55763888888888891</v>
      </c>
      <c r="D994" t="s">
        <v>16</v>
      </c>
      <c r="E994" t="s">
        <v>528</v>
      </c>
      <c r="F994" s="1"/>
      <c r="G994">
        <v>1975</v>
      </c>
      <c r="H994">
        <v>10</v>
      </c>
      <c r="I994">
        <v>20</v>
      </c>
      <c r="J994" t="s">
        <v>199</v>
      </c>
      <c r="K994">
        <v>-245.79</v>
      </c>
      <c r="L994">
        <v>2</v>
      </c>
      <c r="M994">
        <v>-491.58</v>
      </c>
      <c r="N994" t="s">
        <v>64</v>
      </c>
      <c r="O994" t="s">
        <v>37</v>
      </c>
      <c r="P994" t="s">
        <v>105</v>
      </c>
    </row>
    <row r="995" spans="1:16" x14ac:dyDescent="0.25">
      <c r="A995" t="s">
        <v>1543</v>
      </c>
      <c r="B995" s="4">
        <v>45862</v>
      </c>
      <c r="C995" s="3">
        <v>0.8774305555555556</v>
      </c>
      <c r="D995" t="s">
        <v>16</v>
      </c>
      <c r="E995" t="s">
        <v>351</v>
      </c>
      <c r="G995">
        <v>2005</v>
      </c>
      <c r="H995">
        <v>10</v>
      </c>
      <c r="I995">
        <v>12</v>
      </c>
      <c r="J995" t="s">
        <v>73</v>
      </c>
      <c r="K995">
        <v>37.659999999999997</v>
      </c>
      <c r="L995">
        <v>-1</v>
      </c>
      <c r="M995">
        <v>-37.659999999999997</v>
      </c>
      <c r="N995" t="s">
        <v>19</v>
      </c>
      <c r="O995" t="s">
        <v>61</v>
      </c>
    </row>
    <row r="996" spans="1:16" x14ac:dyDescent="0.25">
      <c r="A996" t="s">
        <v>1544</v>
      </c>
      <c r="C996" s="5">
        <v>0.5</v>
      </c>
      <c r="D996" t="s">
        <v>16</v>
      </c>
      <c r="E996" t="s">
        <v>764</v>
      </c>
      <c r="F996" s="4"/>
      <c r="G996">
        <v>1980</v>
      </c>
      <c r="H996">
        <v>11</v>
      </c>
      <c r="I996">
        <v>25</v>
      </c>
      <c r="J996" t="s">
        <v>199</v>
      </c>
      <c r="K996">
        <v>251.08</v>
      </c>
      <c r="L996">
        <v>2</v>
      </c>
      <c r="M996">
        <v>502.16</v>
      </c>
      <c r="N996" t="s">
        <v>64</v>
      </c>
      <c r="O996" t="s">
        <v>47</v>
      </c>
      <c r="P996" t="s">
        <v>74</v>
      </c>
    </row>
    <row r="997" spans="1:16" x14ac:dyDescent="0.25">
      <c r="A997" t="s">
        <v>1545</v>
      </c>
      <c r="B997" t="s">
        <v>376</v>
      </c>
      <c r="C997" s="5">
        <v>0.8881944444444444</v>
      </c>
      <c r="D997" t="s">
        <v>16</v>
      </c>
      <c r="E997" t="s">
        <v>475</v>
      </c>
      <c r="F997" s="4"/>
      <c r="G997">
        <v>2009</v>
      </c>
      <c r="H997">
        <v>12</v>
      </c>
      <c r="I997">
        <v>9</v>
      </c>
      <c r="J997" t="s">
        <v>40</v>
      </c>
      <c r="K997">
        <v>219.18</v>
      </c>
      <c r="L997">
        <v>1</v>
      </c>
      <c r="M997">
        <v>219.18</v>
      </c>
      <c r="N997" t="s">
        <v>67</v>
      </c>
      <c r="O997" t="s">
        <v>61</v>
      </c>
      <c r="P997" t="s">
        <v>74</v>
      </c>
    </row>
    <row r="998" spans="1:16" x14ac:dyDescent="0.25">
      <c r="A998" t="s">
        <v>1546</v>
      </c>
      <c r="B998" t="s">
        <v>1547</v>
      </c>
      <c r="C998" s="2">
        <v>0.69027777777777777</v>
      </c>
      <c r="D998" t="s">
        <v>16</v>
      </c>
      <c r="E998" t="s">
        <v>1548</v>
      </c>
      <c r="F998" s="4"/>
      <c r="G998">
        <v>2003</v>
      </c>
      <c r="H998">
        <v>6</v>
      </c>
      <c r="I998">
        <v>11</v>
      </c>
      <c r="J998" t="s">
        <v>213</v>
      </c>
      <c r="K998">
        <v>290.12</v>
      </c>
      <c r="L998">
        <v>1</v>
      </c>
      <c r="M998">
        <v>290.12</v>
      </c>
      <c r="N998" t="s">
        <v>64</v>
      </c>
      <c r="O998" t="s">
        <v>20</v>
      </c>
      <c r="P998" t="s">
        <v>27</v>
      </c>
    </row>
    <row r="999" spans="1:16" x14ac:dyDescent="0.25">
      <c r="A999" t="s">
        <v>1549</v>
      </c>
      <c r="B999" s="1">
        <v>45762</v>
      </c>
      <c r="C999" s="3">
        <v>0.71962962962962962</v>
      </c>
      <c r="D999" t="s">
        <v>16</v>
      </c>
      <c r="E999" t="s">
        <v>334</v>
      </c>
      <c r="F999" s="4"/>
      <c r="G999">
        <v>1983</v>
      </c>
      <c r="H999">
        <v>3</v>
      </c>
      <c r="I999">
        <v>9</v>
      </c>
      <c r="J999" t="s">
        <v>104</v>
      </c>
      <c r="K999">
        <v>324.16000000000003</v>
      </c>
      <c r="L999">
        <v>3</v>
      </c>
      <c r="M999">
        <v>972.48</v>
      </c>
      <c r="N999" t="s">
        <v>64</v>
      </c>
      <c r="O999" t="s">
        <v>47</v>
      </c>
      <c r="P999" t="s">
        <v>27</v>
      </c>
    </row>
    <row r="1000" spans="1:16" x14ac:dyDescent="0.25">
      <c r="A1000" t="s">
        <v>1550</v>
      </c>
      <c r="B1000" t="s">
        <v>1551</v>
      </c>
      <c r="C1000" s="5">
        <v>0.48055555555555557</v>
      </c>
      <c r="D1000" t="s">
        <v>16</v>
      </c>
      <c r="E1000" t="s">
        <v>640</v>
      </c>
      <c r="F1000" s="1"/>
      <c r="G1000">
        <v>1987</v>
      </c>
      <c r="H1000">
        <v>12</v>
      </c>
      <c r="I1000">
        <v>28</v>
      </c>
      <c r="J1000" t="s">
        <v>110</v>
      </c>
      <c r="K1000">
        <v>97.74</v>
      </c>
      <c r="L1000">
        <v>3</v>
      </c>
      <c r="M1000">
        <v>293.22000000000003</v>
      </c>
      <c r="O1000" t="s">
        <v>26</v>
      </c>
      <c r="P1000" t="s">
        <v>27</v>
      </c>
    </row>
    <row r="1001" spans="1:16" x14ac:dyDescent="0.25">
      <c r="A1001" t="s">
        <v>1552</v>
      </c>
      <c r="B1001" s="1">
        <v>45649</v>
      </c>
      <c r="C1001" s="2">
        <v>0.73819444444444449</v>
      </c>
      <c r="D1001" t="s">
        <v>16</v>
      </c>
      <c r="E1001" t="s">
        <v>29</v>
      </c>
      <c r="G1001">
        <v>1970</v>
      </c>
      <c r="H1001">
        <v>5</v>
      </c>
      <c r="I1001">
        <v>6</v>
      </c>
      <c r="J1001" t="s">
        <v>36</v>
      </c>
      <c r="K1001">
        <v>111.47</v>
      </c>
      <c r="L1001">
        <v>2</v>
      </c>
      <c r="M1001">
        <v>222.94</v>
      </c>
      <c r="N1001" t="s">
        <v>41</v>
      </c>
      <c r="O1001" t="s">
        <v>20</v>
      </c>
    </row>
    <row r="1002" spans="1:16" x14ac:dyDescent="0.25">
      <c r="A1002" t="s">
        <v>1553</v>
      </c>
      <c r="B1002" t="s">
        <v>1172</v>
      </c>
      <c r="C1002" s="3">
        <v>0.81565972222222227</v>
      </c>
      <c r="D1002" t="s">
        <v>16</v>
      </c>
      <c r="E1002" t="s">
        <v>163</v>
      </c>
      <c r="F1002" s="4"/>
      <c r="G1002">
        <v>1986</v>
      </c>
      <c r="H1002">
        <v>8</v>
      </c>
      <c r="I1002">
        <v>25</v>
      </c>
      <c r="J1002" t="s">
        <v>259</v>
      </c>
      <c r="K1002">
        <v>142.87</v>
      </c>
      <c r="L1002">
        <v>2</v>
      </c>
      <c r="M1002">
        <v>285.74</v>
      </c>
      <c r="N1002" t="s">
        <v>19</v>
      </c>
      <c r="O1002" t="s">
        <v>47</v>
      </c>
      <c r="P1002" t="s">
        <v>48</v>
      </c>
    </row>
    <row r="1003" spans="1:16" x14ac:dyDescent="0.25">
      <c r="A1003" t="s">
        <v>1554</v>
      </c>
      <c r="B1003" s="4">
        <v>45809</v>
      </c>
      <c r="C1003" s="3">
        <v>0.46519675925925924</v>
      </c>
      <c r="D1003" t="s">
        <v>16</v>
      </c>
      <c r="E1003" t="s">
        <v>548</v>
      </c>
      <c r="G1003">
        <v>1985</v>
      </c>
      <c r="H1003">
        <v>7</v>
      </c>
      <c r="I1003">
        <v>24</v>
      </c>
      <c r="J1003" t="s">
        <v>73</v>
      </c>
      <c r="K1003">
        <v>47.09</v>
      </c>
      <c r="L1003">
        <v>2</v>
      </c>
      <c r="M1003">
        <v>97.18</v>
      </c>
      <c r="N1003" t="s">
        <v>25</v>
      </c>
      <c r="O1003" t="s">
        <v>55</v>
      </c>
      <c r="P1003" t="s">
        <v>56</v>
      </c>
    </row>
    <row r="1004" spans="1:16" x14ac:dyDescent="0.25">
      <c r="A1004" t="s">
        <v>1555</v>
      </c>
      <c r="B1004" s="4">
        <v>45735</v>
      </c>
      <c r="C1004" s="3">
        <v>0.53134259259259264</v>
      </c>
      <c r="D1004" t="s">
        <v>16</v>
      </c>
      <c r="E1004" t="s">
        <v>225</v>
      </c>
      <c r="F1004" s="4"/>
      <c r="G1004">
        <v>1998</v>
      </c>
      <c r="H1004">
        <v>11</v>
      </c>
      <c r="I1004">
        <v>6</v>
      </c>
      <c r="J1004" t="s">
        <v>45</v>
      </c>
      <c r="K1004">
        <v>280.11</v>
      </c>
      <c r="L1004">
        <v>1</v>
      </c>
      <c r="M1004">
        <v>280.11</v>
      </c>
      <c r="N1004" t="s">
        <v>54</v>
      </c>
      <c r="O1004" t="s">
        <v>61</v>
      </c>
    </row>
    <row r="1005" spans="1:16" x14ac:dyDescent="0.25">
      <c r="A1005" t="s">
        <v>1556</v>
      </c>
      <c r="B1005" t="s">
        <v>1557</v>
      </c>
      <c r="C1005" s="5">
        <v>0.78333333333333333</v>
      </c>
      <c r="D1005" t="s">
        <v>16</v>
      </c>
      <c r="E1005" t="s">
        <v>204</v>
      </c>
      <c r="F1005" s="1"/>
      <c r="G1005">
        <v>1989</v>
      </c>
      <c r="H1005">
        <v>6</v>
      </c>
      <c r="I1005">
        <v>20</v>
      </c>
      <c r="J1005" t="s">
        <v>129</v>
      </c>
      <c r="L1005">
        <v>3</v>
      </c>
      <c r="N1005" t="s">
        <v>41</v>
      </c>
      <c r="O1005" t="s">
        <v>32</v>
      </c>
      <c r="P1005" t="s">
        <v>27</v>
      </c>
    </row>
    <row r="1006" spans="1:16" x14ac:dyDescent="0.25">
      <c r="A1006" t="s">
        <v>1558</v>
      </c>
      <c r="B1006" t="s">
        <v>1073</v>
      </c>
      <c r="C1006" s="3">
        <v>0.69238425925925928</v>
      </c>
      <c r="D1006" t="s">
        <v>16</v>
      </c>
      <c r="E1006" t="s">
        <v>466</v>
      </c>
      <c r="G1006">
        <v>2008</v>
      </c>
      <c r="H1006">
        <v>9</v>
      </c>
      <c r="I1006">
        <v>25</v>
      </c>
      <c r="J1006" t="s">
        <v>243</v>
      </c>
      <c r="K1006">
        <v>161.01</v>
      </c>
      <c r="L1006">
        <v>3</v>
      </c>
      <c r="M1006">
        <v>483.03</v>
      </c>
      <c r="N1006" t="s">
        <v>19</v>
      </c>
      <c r="O1006" t="s">
        <v>37</v>
      </c>
      <c r="P1006" t="s">
        <v>33</v>
      </c>
    </row>
    <row r="1007" spans="1:16" x14ac:dyDescent="0.25">
      <c r="A1007" t="s">
        <v>1559</v>
      </c>
      <c r="B1007" s="4">
        <v>45698</v>
      </c>
      <c r="C1007" s="2">
        <v>0.9770833333333333</v>
      </c>
      <c r="D1007" t="s">
        <v>16</v>
      </c>
      <c r="E1007" t="s">
        <v>232</v>
      </c>
      <c r="F1007" s="4"/>
      <c r="G1007">
        <v>2000</v>
      </c>
      <c r="H1007">
        <v>9</v>
      </c>
      <c r="I1007">
        <v>13</v>
      </c>
      <c r="J1007" t="s">
        <v>116</v>
      </c>
      <c r="K1007">
        <v>302.79000000000002</v>
      </c>
      <c r="L1007">
        <v>2</v>
      </c>
      <c r="M1007">
        <v>605.58000000000004</v>
      </c>
      <c r="O1007" t="s">
        <v>26</v>
      </c>
      <c r="P1007" t="s">
        <v>105</v>
      </c>
    </row>
    <row r="1008" spans="1:16" x14ac:dyDescent="0.25">
      <c r="A1008" t="s">
        <v>1560</v>
      </c>
      <c r="B1008" s="4">
        <v>45825</v>
      </c>
      <c r="C1008" s="2">
        <v>0.96805555555555556</v>
      </c>
      <c r="D1008" t="s">
        <v>16</v>
      </c>
      <c r="E1008" t="s">
        <v>181</v>
      </c>
      <c r="F1008" s="4"/>
      <c r="G1008">
        <v>2010</v>
      </c>
      <c r="H1008">
        <v>12</v>
      </c>
      <c r="I1008">
        <v>12</v>
      </c>
      <c r="J1008" t="s">
        <v>213</v>
      </c>
      <c r="K1008">
        <v>52.78</v>
      </c>
      <c r="L1008">
        <v>3</v>
      </c>
      <c r="M1008">
        <v>158.34</v>
      </c>
      <c r="N1008" t="s">
        <v>41</v>
      </c>
      <c r="O1008" t="s">
        <v>61</v>
      </c>
      <c r="P1008" t="s">
        <v>33</v>
      </c>
    </row>
    <row r="1009" spans="1:16" x14ac:dyDescent="0.25">
      <c r="A1009" t="s">
        <v>1561</v>
      </c>
      <c r="B1009" s="4">
        <v>45942</v>
      </c>
      <c r="C1009" s="3">
        <v>0.52456018518518521</v>
      </c>
      <c r="D1009" t="s">
        <v>16</v>
      </c>
      <c r="E1009" t="s">
        <v>351</v>
      </c>
      <c r="F1009" s="4"/>
      <c r="G1009">
        <v>1972</v>
      </c>
      <c r="H1009">
        <v>12</v>
      </c>
      <c r="I1009">
        <v>5</v>
      </c>
      <c r="J1009" t="s">
        <v>60</v>
      </c>
      <c r="K1009">
        <v>101.24</v>
      </c>
      <c r="L1009">
        <v>3</v>
      </c>
      <c r="M1009">
        <v>303.72000000000003</v>
      </c>
      <c r="N1009" t="s">
        <v>31</v>
      </c>
      <c r="O1009" t="s">
        <v>89</v>
      </c>
      <c r="P1009" t="s">
        <v>74</v>
      </c>
    </row>
    <row r="1010" spans="1:16" x14ac:dyDescent="0.25">
      <c r="A1010" t="s">
        <v>1562</v>
      </c>
      <c r="B1010" t="s">
        <v>1563</v>
      </c>
      <c r="C1010" s="3">
        <v>0.99369212962962961</v>
      </c>
      <c r="D1010" t="s">
        <v>16</v>
      </c>
      <c r="E1010" t="s">
        <v>1564</v>
      </c>
      <c r="F1010" s="4"/>
      <c r="G1010">
        <v>1987</v>
      </c>
      <c r="H1010">
        <v>9</v>
      </c>
      <c r="I1010">
        <v>22</v>
      </c>
      <c r="J1010" t="s">
        <v>30</v>
      </c>
      <c r="K1010">
        <v>228.55</v>
      </c>
      <c r="L1010">
        <v>3</v>
      </c>
      <c r="M1010">
        <v>685.65</v>
      </c>
      <c r="N1010" t="s">
        <v>54</v>
      </c>
      <c r="O1010" t="s">
        <v>55</v>
      </c>
      <c r="P1010" t="s">
        <v>74</v>
      </c>
    </row>
    <row r="1011" spans="1:16" x14ac:dyDescent="0.25">
      <c r="A1011" t="s">
        <v>1565</v>
      </c>
      <c r="B1011" s="1">
        <v>45699</v>
      </c>
      <c r="C1011" s="2">
        <v>0.65069444444444446</v>
      </c>
      <c r="D1011" t="s">
        <v>16</v>
      </c>
      <c r="E1011" t="s">
        <v>225</v>
      </c>
      <c r="J1011" t="s">
        <v>45</v>
      </c>
      <c r="K1011">
        <v>127.38</v>
      </c>
      <c r="L1011">
        <v>1</v>
      </c>
      <c r="M1011">
        <v>127.38</v>
      </c>
      <c r="O1011" t="s">
        <v>26</v>
      </c>
      <c r="P1011" t="s">
        <v>74</v>
      </c>
    </row>
    <row r="1012" spans="1:16" x14ac:dyDescent="0.25">
      <c r="A1012" t="s">
        <v>1566</v>
      </c>
      <c r="B1012" s="4">
        <v>45690</v>
      </c>
      <c r="C1012" s="2">
        <v>0.64375000000000004</v>
      </c>
      <c r="D1012" t="s">
        <v>16</v>
      </c>
      <c r="E1012" t="s">
        <v>776</v>
      </c>
      <c r="F1012" s="1"/>
      <c r="G1012">
        <v>1974</v>
      </c>
      <c r="H1012">
        <v>1</v>
      </c>
      <c r="I1012">
        <v>18</v>
      </c>
      <c r="J1012" t="s">
        <v>110</v>
      </c>
      <c r="L1012">
        <v>1</v>
      </c>
      <c r="O1012" t="s">
        <v>26</v>
      </c>
      <c r="P1012" t="s">
        <v>56</v>
      </c>
    </row>
    <row r="1013" spans="1:16" x14ac:dyDescent="0.25">
      <c r="A1013" t="s">
        <v>1567</v>
      </c>
      <c r="B1013" t="s">
        <v>1568</v>
      </c>
      <c r="C1013" s="3">
        <v>0.86068287037037039</v>
      </c>
      <c r="D1013" t="s">
        <v>16</v>
      </c>
      <c r="E1013" t="s">
        <v>281</v>
      </c>
      <c r="J1013" t="s">
        <v>129</v>
      </c>
      <c r="K1013">
        <v>169.94</v>
      </c>
      <c r="L1013">
        <v>2</v>
      </c>
      <c r="M1013">
        <v>339.88</v>
      </c>
      <c r="N1013" t="s">
        <v>25</v>
      </c>
      <c r="O1013" t="s">
        <v>26</v>
      </c>
    </row>
    <row r="1014" spans="1:16" x14ac:dyDescent="0.25">
      <c r="A1014" t="s">
        <v>1569</v>
      </c>
      <c r="B1014" s="4">
        <v>45731</v>
      </c>
      <c r="C1014" s="2">
        <v>0.88888888888888884</v>
      </c>
      <c r="D1014" t="s">
        <v>16</v>
      </c>
      <c r="E1014" t="s">
        <v>181</v>
      </c>
      <c r="F1014" s="1"/>
      <c r="G1014">
        <v>1999</v>
      </c>
      <c r="H1014">
        <v>11</v>
      </c>
      <c r="I1014">
        <v>25</v>
      </c>
      <c r="J1014" t="s">
        <v>202</v>
      </c>
      <c r="K1014">
        <v>237.04</v>
      </c>
      <c r="L1014">
        <v>2</v>
      </c>
      <c r="M1014">
        <v>474.08</v>
      </c>
      <c r="N1014" t="s">
        <v>67</v>
      </c>
      <c r="O1014" t="s">
        <v>55</v>
      </c>
      <c r="P1014" t="s">
        <v>27</v>
      </c>
    </row>
    <row r="1015" spans="1:16" x14ac:dyDescent="0.25">
      <c r="A1015" t="s">
        <v>1570</v>
      </c>
      <c r="B1015" s="1">
        <v>45859</v>
      </c>
      <c r="C1015" s="2">
        <v>0.71666666666666667</v>
      </c>
      <c r="D1015" t="s">
        <v>16</v>
      </c>
      <c r="E1015" t="s">
        <v>29</v>
      </c>
      <c r="F1015" s="4"/>
      <c r="G1015">
        <v>1982</v>
      </c>
      <c r="H1015">
        <v>12</v>
      </c>
      <c r="I1015">
        <v>12</v>
      </c>
      <c r="J1015" t="s">
        <v>259</v>
      </c>
      <c r="K1015">
        <v>227.63</v>
      </c>
      <c r="L1015">
        <v>1</v>
      </c>
      <c r="M1015">
        <v>227.63</v>
      </c>
      <c r="N1015" t="s">
        <v>19</v>
      </c>
      <c r="O1015" t="s">
        <v>55</v>
      </c>
      <c r="P1015" t="s">
        <v>56</v>
      </c>
    </row>
    <row r="1016" spans="1:16" x14ac:dyDescent="0.25">
      <c r="A1016" t="s">
        <v>1571</v>
      </c>
      <c r="B1016" t="s">
        <v>1572</v>
      </c>
      <c r="C1016" s="2">
        <v>0.80555555555555558</v>
      </c>
      <c r="D1016" t="s">
        <v>16</v>
      </c>
      <c r="E1016" t="s">
        <v>66</v>
      </c>
      <c r="G1016">
        <v>2008</v>
      </c>
      <c r="H1016">
        <v>5</v>
      </c>
      <c r="I1016">
        <v>3</v>
      </c>
      <c r="J1016" t="s">
        <v>73</v>
      </c>
      <c r="K1016">
        <v>36.159999999999997</v>
      </c>
      <c r="L1016">
        <v>1</v>
      </c>
      <c r="M1016">
        <v>36.159999999999997</v>
      </c>
      <c r="N1016" t="s">
        <v>64</v>
      </c>
      <c r="O1016" t="s">
        <v>61</v>
      </c>
      <c r="P1016" t="s">
        <v>21</v>
      </c>
    </row>
    <row r="1017" spans="1:16" x14ac:dyDescent="0.25">
      <c r="A1017" t="s">
        <v>1573</v>
      </c>
      <c r="B1017" t="s">
        <v>1574</v>
      </c>
      <c r="C1017" s="3">
        <v>0.88329861111111108</v>
      </c>
      <c r="D1017" t="s">
        <v>16</v>
      </c>
      <c r="E1017" t="s">
        <v>191</v>
      </c>
      <c r="F1017" s="4"/>
      <c r="G1017">
        <v>1985</v>
      </c>
      <c r="H1017">
        <v>5</v>
      </c>
      <c r="I1017">
        <v>27</v>
      </c>
      <c r="J1017" t="s">
        <v>126</v>
      </c>
      <c r="K1017">
        <v>170.32</v>
      </c>
      <c r="L1017">
        <v>3</v>
      </c>
      <c r="M1017">
        <v>510.96</v>
      </c>
      <c r="N1017" t="s">
        <v>19</v>
      </c>
      <c r="O1017" t="s">
        <v>20</v>
      </c>
      <c r="P1017" t="s">
        <v>74</v>
      </c>
    </row>
    <row r="1018" spans="1:16" x14ac:dyDescent="0.25">
      <c r="A1018" t="s">
        <v>1575</v>
      </c>
      <c r="B1018" s="4">
        <v>45771</v>
      </c>
      <c r="C1018" s="2">
        <v>0.54652777777777772</v>
      </c>
      <c r="D1018" t="s">
        <v>16</v>
      </c>
      <c r="E1018" t="s">
        <v>1576</v>
      </c>
      <c r="F1018" s="4"/>
      <c r="G1018">
        <v>1979</v>
      </c>
      <c r="H1018">
        <v>2</v>
      </c>
      <c r="I1018">
        <v>22</v>
      </c>
      <c r="J1018" t="s">
        <v>104</v>
      </c>
      <c r="K1018">
        <v>269.07</v>
      </c>
      <c r="L1018">
        <v>1</v>
      </c>
      <c r="M1018">
        <v>269.07</v>
      </c>
      <c r="N1018" t="s">
        <v>67</v>
      </c>
      <c r="O1018" t="s">
        <v>26</v>
      </c>
      <c r="P1018" t="s">
        <v>21</v>
      </c>
    </row>
    <row r="1019" spans="1:16" x14ac:dyDescent="0.25">
      <c r="A1019" t="s">
        <v>1577</v>
      </c>
      <c r="B1019" t="s">
        <v>689</v>
      </c>
      <c r="C1019" s="5">
        <v>0.58472222222222225</v>
      </c>
      <c r="D1019" t="s">
        <v>16</v>
      </c>
      <c r="E1019" t="s">
        <v>52</v>
      </c>
      <c r="J1019" t="s">
        <v>116</v>
      </c>
      <c r="K1019">
        <v>215.89</v>
      </c>
      <c r="L1019">
        <v>1</v>
      </c>
      <c r="M1019">
        <v>215.89</v>
      </c>
      <c r="O1019" t="s">
        <v>37</v>
      </c>
      <c r="P1019" t="s">
        <v>33</v>
      </c>
    </row>
    <row r="1020" spans="1:16" x14ac:dyDescent="0.25">
      <c r="A1020" t="s">
        <v>1578</v>
      </c>
      <c r="B1020" s="4">
        <v>45655</v>
      </c>
      <c r="C1020" s="5">
        <v>0.47569444444444442</v>
      </c>
      <c r="D1020" t="s">
        <v>16</v>
      </c>
      <c r="E1020" t="s">
        <v>1427</v>
      </c>
      <c r="F1020" s="1"/>
      <c r="G1020">
        <v>1974</v>
      </c>
      <c r="H1020">
        <v>2</v>
      </c>
      <c r="I1020">
        <v>21</v>
      </c>
      <c r="J1020" t="s">
        <v>199</v>
      </c>
      <c r="K1020">
        <v>247.87</v>
      </c>
      <c r="L1020">
        <v>2</v>
      </c>
      <c r="M1020">
        <v>489.74</v>
      </c>
      <c r="N1020" t="s">
        <v>25</v>
      </c>
      <c r="O1020" t="s">
        <v>20</v>
      </c>
      <c r="P1020" t="s">
        <v>74</v>
      </c>
    </row>
    <row r="1021" spans="1:16" x14ac:dyDescent="0.25">
      <c r="A1021" t="s">
        <v>1579</v>
      </c>
      <c r="B1021" s="4">
        <v>45820</v>
      </c>
      <c r="C1021" s="5">
        <v>0.98958333333333337</v>
      </c>
      <c r="D1021" t="s">
        <v>16</v>
      </c>
      <c r="E1021" t="s">
        <v>1580</v>
      </c>
      <c r="J1021" t="s">
        <v>199</v>
      </c>
      <c r="K1021">
        <v>214.2</v>
      </c>
      <c r="L1021">
        <v>2</v>
      </c>
      <c r="M1021">
        <v>428.4</v>
      </c>
      <c r="N1021" t="s">
        <v>31</v>
      </c>
      <c r="O1021" t="s">
        <v>32</v>
      </c>
    </row>
    <row r="1022" spans="1:16" x14ac:dyDescent="0.25">
      <c r="A1022" t="s">
        <v>1581</v>
      </c>
      <c r="B1022" s="4">
        <v>45868</v>
      </c>
      <c r="C1022" s="5">
        <v>0.8305555555555556</v>
      </c>
      <c r="D1022" t="s">
        <v>16</v>
      </c>
      <c r="E1022" t="s">
        <v>425</v>
      </c>
      <c r="F1022" s="4"/>
      <c r="G1022">
        <v>2006</v>
      </c>
      <c r="H1022">
        <v>8</v>
      </c>
      <c r="I1022">
        <v>6</v>
      </c>
      <c r="J1022" t="s">
        <v>36</v>
      </c>
      <c r="K1022">
        <v>293.8</v>
      </c>
      <c r="L1022">
        <v>3</v>
      </c>
      <c r="M1022">
        <v>881.4</v>
      </c>
      <c r="N1022" t="s">
        <v>67</v>
      </c>
      <c r="O1022" t="s">
        <v>89</v>
      </c>
    </row>
    <row r="1023" spans="1:16" x14ac:dyDescent="0.25">
      <c r="A1023" t="s">
        <v>1582</v>
      </c>
      <c r="B1023" s="4">
        <v>45701</v>
      </c>
      <c r="C1023" s="2">
        <v>0.68819444444444444</v>
      </c>
      <c r="D1023" t="s">
        <v>16</v>
      </c>
      <c r="E1023" t="s">
        <v>133</v>
      </c>
      <c r="G1023">
        <v>1991</v>
      </c>
      <c r="H1023">
        <v>12</v>
      </c>
      <c r="I1023">
        <v>12</v>
      </c>
      <c r="J1023" t="s">
        <v>110</v>
      </c>
      <c r="K1023">
        <v>124.74</v>
      </c>
      <c r="L1023">
        <v>2</v>
      </c>
      <c r="M1023">
        <v>249.48</v>
      </c>
      <c r="N1023" t="s">
        <v>25</v>
      </c>
      <c r="O1023" t="s">
        <v>26</v>
      </c>
      <c r="P1023" t="s">
        <v>74</v>
      </c>
    </row>
    <row r="1024" spans="1:16" x14ac:dyDescent="0.25">
      <c r="A1024" t="s">
        <v>1583</v>
      </c>
      <c r="B1024" s="4">
        <v>45735</v>
      </c>
      <c r="C1024" s="5">
        <v>0.50138888888888888</v>
      </c>
      <c r="D1024" t="s">
        <v>16</v>
      </c>
      <c r="E1024" t="s">
        <v>123</v>
      </c>
      <c r="F1024" s="4"/>
      <c r="G1024">
        <v>2006</v>
      </c>
      <c r="H1024">
        <v>8</v>
      </c>
      <c r="I1024">
        <v>16</v>
      </c>
      <c r="J1024" t="s">
        <v>104</v>
      </c>
      <c r="K1024">
        <v>305.92</v>
      </c>
      <c r="L1024">
        <v>1</v>
      </c>
      <c r="M1024">
        <v>305.92</v>
      </c>
      <c r="N1024" t="s">
        <v>19</v>
      </c>
      <c r="O1024" t="s">
        <v>20</v>
      </c>
    </row>
    <row r="1025" spans="1:16" x14ac:dyDescent="0.25">
      <c r="A1025" t="s">
        <v>1584</v>
      </c>
      <c r="B1025" s="1">
        <v>45812</v>
      </c>
      <c r="C1025" s="5">
        <v>0.70694444444444449</v>
      </c>
      <c r="D1025" t="s">
        <v>16</v>
      </c>
      <c r="E1025" t="s">
        <v>882</v>
      </c>
      <c r="J1025" t="s">
        <v>129</v>
      </c>
      <c r="K1025">
        <v>171.34</v>
      </c>
      <c r="L1025">
        <v>1</v>
      </c>
      <c r="M1025">
        <v>171.34</v>
      </c>
      <c r="N1025" t="s">
        <v>67</v>
      </c>
      <c r="O1025" t="s">
        <v>61</v>
      </c>
    </row>
    <row r="1026" spans="1:16" x14ac:dyDescent="0.25">
      <c r="A1026" t="s">
        <v>1585</v>
      </c>
      <c r="B1026" s="4">
        <v>45662</v>
      </c>
      <c r="C1026" s="2">
        <v>0.5541666666666667</v>
      </c>
      <c r="D1026" t="s">
        <v>16</v>
      </c>
      <c r="E1026" t="s">
        <v>264</v>
      </c>
      <c r="G1026">
        <v>1991</v>
      </c>
      <c r="H1026">
        <v>12</v>
      </c>
      <c r="I1026">
        <v>12</v>
      </c>
      <c r="J1026" t="s">
        <v>199</v>
      </c>
      <c r="K1026">
        <v>238.61</v>
      </c>
      <c r="L1026">
        <v>1</v>
      </c>
      <c r="M1026">
        <v>238.61</v>
      </c>
      <c r="O1026" t="s">
        <v>89</v>
      </c>
      <c r="P1026" t="s">
        <v>27</v>
      </c>
    </row>
    <row r="1027" spans="1:16" x14ac:dyDescent="0.25">
      <c r="A1027" t="s">
        <v>1586</v>
      </c>
      <c r="B1027" t="s">
        <v>311</v>
      </c>
      <c r="C1027" s="5">
        <v>0.91319444444444442</v>
      </c>
      <c r="D1027" t="s">
        <v>16</v>
      </c>
      <c r="E1027" t="s">
        <v>191</v>
      </c>
      <c r="G1027">
        <v>1991</v>
      </c>
      <c r="H1027">
        <v>12</v>
      </c>
      <c r="I1027">
        <v>12</v>
      </c>
      <c r="J1027" t="s">
        <v>213</v>
      </c>
      <c r="K1027" t="s">
        <v>1587</v>
      </c>
      <c r="L1027">
        <v>2</v>
      </c>
      <c r="M1027">
        <v>239.24</v>
      </c>
      <c r="N1027" t="s">
        <v>54</v>
      </c>
      <c r="O1027" t="s">
        <v>26</v>
      </c>
      <c r="P1027" t="s">
        <v>21</v>
      </c>
    </row>
    <row r="1028" spans="1:16" x14ac:dyDescent="0.25">
      <c r="A1028" t="s">
        <v>1588</v>
      </c>
      <c r="B1028" s="1">
        <v>45713</v>
      </c>
      <c r="C1028" s="5">
        <v>0.99791666666666667</v>
      </c>
      <c r="D1028" t="s">
        <v>16</v>
      </c>
      <c r="E1028" t="s">
        <v>434</v>
      </c>
      <c r="F1028" s="1"/>
      <c r="G1028">
        <v>2005</v>
      </c>
      <c r="H1028">
        <v>5</v>
      </c>
      <c r="I1028">
        <v>7</v>
      </c>
      <c r="J1028" t="s">
        <v>178</v>
      </c>
      <c r="K1028">
        <v>326.31</v>
      </c>
      <c r="L1028">
        <v>1</v>
      </c>
      <c r="M1028">
        <v>326.31</v>
      </c>
      <c r="N1028" t="s">
        <v>25</v>
      </c>
      <c r="O1028" t="s">
        <v>20</v>
      </c>
      <c r="P1028" t="s">
        <v>74</v>
      </c>
    </row>
    <row r="1029" spans="1:16" x14ac:dyDescent="0.25">
      <c r="A1029" t="s">
        <v>1589</v>
      </c>
      <c r="B1029" s="4">
        <v>45911</v>
      </c>
      <c r="C1029" s="2">
        <v>0.96180555555555558</v>
      </c>
      <c r="D1029" t="s">
        <v>16</v>
      </c>
      <c r="E1029" t="s">
        <v>163</v>
      </c>
      <c r="J1029" t="s">
        <v>199</v>
      </c>
      <c r="K1029">
        <v>172.1</v>
      </c>
      <c r="L1029">
        <v>2</v>
      </c>
      <c r="M1029">
        <v>344.2</v>
      </c>
      <c r="N1029" t="s">
        <v>25</v>
      </c>
      <c r="O1029" t="s">
        <v>32</v>
      </c>
      <c r="P1029" t="s">
        <v>27</v>
      </c>
    </row>
    <row r="1030" spans="1:16" x14ac:dyDescent="0.25">
      <c r="A1030" t="s">
        <v>1590</v>
      </c>
      <c r="B1030" s="4">
        <v>45736</v>
      </c>
      <c r="C1030" s="5">
        <v>0.97638888888888886</v>
      </c>
      <c r="D1030" t="s">
        <v>16</v>
      </c>
      <c r="E1030" t="s">
        <v>63</v>
      </c>
      <c r="F1030" s="4"/>
      <c r="G1030">
        <v>2002</v>
      </c>
      <c r="H1030">
        <v>10</v>
      </c>
      <c r="I1030">
        <v>16</v>
      </c>
      <c r="J1030" t="s">
        <v>243</v>
      </c>
      <c r="K1030">
        <v>108.77</v>
      </c>
      <c r="L1030">
        <v>2</v>
      </c>
      <c r="M1030">
        <v>217.54</v>
      </c>
      <c r="N1030" t="s">
        <v>67</v>
      </c>
      <c r="O1030" t="s">
        <v>55</v>
      </c>
      <c r="P1030" t="s">
        <v>48</v>
      </c>
    </row>
    <row r="1031" spans="1:16" x14ac:dyDescent="0.25">
      <c r="A1031" t="s">
        <v>1591</v>
      </c>
      <c r="B1031" s="1">
        <v>45906</v>
      </c>
      <c r="C1031" s="3">
        <v>0.48956018518518518</v>
      </c>
      <c r="D1031" t="s">
        <v>16</v>
      </c>
      <c r="E1031" t="s">
        <v>492</v>
      </c>
      <c r="G1031">
        <v>1979</v>
      </c>
      <c r="H1031">
        <v>9</v>
      </c>
      <c r="I1031">
        <v>7</v>
      </c>
      <c r="J1031" t="s">
        <v>53</v>
      </c>
      <c r="K1031">
        <v>110.63</v>
      </c>
      <c r="L1031">
        <v>2</v>
      </c>
      <c r="M1031">
        <v>221.26</v>
      </c>
      <c r="O1031" t="s">
        <v>26</v>
      </c>
      <c r="P1031" t="s">
        <v>21</v>
      </c>
    </row>
    <row r="1032" spans="1:16" x14ac:dyDescent="0.25">
      <c r="A1032" t="s">
        <v>1592</v>
      </c>
      <c r="B1032" s="4">
        <v>45791</v>
      </c>
      <c r="C1032" s="2">
        <v>0.90694444444444444</v>
      </c>
      <c r="D1032" t="s">
        <v>16</v>
      </c>
      <c r="E1032" t="s">
        <v>88</v>
      </c>
      <c r="F1032" s="4"/>
      <c r="G1032">
        <v>2008</v>
      </c>
      <c r="H1032">
        <v>5</v>
      </c>
      <c r="I1032">
        <v>3</v>
      </c>
      <c r="J1032" t="s">
        <v>73</v>
      </c>
      <c r="K1032">
        <v>38.39</v>
      </c>
      <c r="L1032">
        <v>3</v>
      </c>
      <c r="M1032">
        <v>115.17</v>
      </c>
      <c r="O1032" t="s">
        <v>32</v>
      </c>
      <c r="P1032" t="s">
        <v>48</v>
      </c>
    </row>
    <row r="1033" spans="1:16" x14ac:dyDescent="0.25">
      <c r="A1033" t="s">
        <v>1593</v>
      </c>
      <c r="B1033" s="1">
        <v>45705</v>
      </c>
      <c r="C1033" s="5">
        <v>0.99861111111111112</v>
      </c>
      <c r="D1033" t="s">
        <v>16</v>
      </c>
      <c r="E1033" t="s">
        <v>29</v>
      </c>
      <c r="F1033" s="1"/>
      <c r="G1033">
        <v>1991</v>
      </c>
      <c r="H1033">
        <v>12</v>
      </c>
      <c r="I1033">
        <v>6</v>
      </c>
      <c r="J1033" t="s">
        <v>243</v>
      </c>
      <c r="K1033">
        <v>108.28</v>
      </c>
      <c r="L1033">
        <v>1</v>
      </c>
      <c r="M1033">
        <v>108.28</v>
      </c>
      <c r="N1033" t="s">
        <v>54</v>
      </c>
      <c r="O1033" t="s">
        <v>37</v>
      </c>
      <c r="P1033" t="s">
        <v>27</v>
      </c>
    </row>
    <row r="1034" spans="1:16" x14ac:dyDescent="0.25">
      <c r="A1034" t="s">
        <v>1594</v>
      </c>
      <c r="B1034" s="4">
        <v>45824</v>
      </c>
      <c r="C1034" s="3">
        <v>0.81020833333333331</v>
      </c>
      <c r="D1034" t="s">
        <v>16</v>
      </c>
      <c r="E1034" t="s">
        <v>594</v>
      </c>
      <c r="G1034">
        <v>1983</v>
      </c>
      <c r="H1034">
        <v>9</v>
      </c>
      <c r="I1034">
        <v>7</v>
      </c>
      <c r="J1034" t="s">
        <v>53</v>
      </c>
      <c r="K1034">
        <v>115.11</v>
      </c>
      <c r="L1034">
        <v>2</v>
      </c>
      <c r="M1034">
        <v>276.22000000000003</v>
      </c>
      <c r="N1034" t="s">
        <v>54</v>
      </c>
      <c r="O1034" t="s">
        <v>61</v>
      </c>
      <c r="P1034" t="s">
        <v>105</v>
      </c>
    </row>
    <row r="1035" spans="1:16" x14ac:dyDescent="0.25">
      <c r="A1035" t="s">
        <v>1595</v>
      </c>
      <c r="B1035" s="4">
        <v>45742</v>
      </c>
      <c r="C1035" s="2">
        <v>0.77777777777777779</v>
      </c>
      <c r="D1035" t="s">
        <v>16</v>
      </c>
      <c r="E1035" t="s">
        <v>204</v>
      </c>
      <c r="F1035" s="4"/>
      <c r="G1035">
        <v>1984</v>
      </c>
      <c r="H1035">
        <v>3</v>
      </c>
      <c r="I1035">
        <v>2</v>
      </c>
      <c r="J1035" t="s">
        <v>110</v>
      </c>
      <c r="K1035">
        <v>115.23</v>
      </c>
      <c r="L1035">
        <v>2</v>
      </c>
      <c r="M1035">
        <v>230.46</v>
      </c>
      <c r="N1035" t="s">
        <v>31</v>
      </c>
      <c r="O1035" t="s">
        <v>32</v>
      </c>
      <c r="P1035" t="s">
        <v>105</v>
      </c>
    </row>
    <row r="1036" spans="1:16" x14ac:dyDescent="0.25">
      <c r="A1036" t="s">
        <v>1596</v>
      </c>
      <c r="B1036" s="1">
        <v>45860</v>
      </c>
      <c r="C1036" s="3">
        <v>0.93153935185185188</v>
      </c>
      <c r="D1036" t="s">
        <v>16</v>
      </c>
      <c r="E1036" t="s">
        <v>82</v>
      </c>
      <c r="G1036">
        <v>1987</v>
      </c>
      <c r="H1036">
        <v>2</v>
      </c>
      <c r="I1036">
        <v>25</v>
      </c>
      <c r="J1036" t="s">
        <v>116</v>
      </c>
      <c r="K1036" t="s">
        <v>1597</v>
      </c>
      <c r="L1036">
        <v>2</v>
      </c>
      <c r="M1036">
        <v>190.2</v>
      </c>
      <c r="N1036" t="s">
        <v>41</v>
      </c>
      <c r="O1036" t="s">
        <v>55</v>
      </c>
      <c r="P1036" t="s">
        <v>27</v>
      </c>
    </row>
    <row r="1037" spans="1:16" x14ac:dyDescent="0.25">
      <c r="A1037" t="s">
        <v>1598</v>
      </c>
      <c r="B1037" t="s">
        <v>496</v>
      </c>
      <c r="C1037" s="5">
        <v>0.80138888888888893</v>
      </c>
      <c r="D1037" t="s">
        <v>16</v>
      </c>
      <c r="E1037" t="s">
        <v>328</v>
      </c>
      <c r="G1037">
        <v>1991</v>
      </c>
      <c r="H1037">
        <v>12</v>
      </c>
      <c r="I1037">
        <v>12</v>
      </c>
      <c r="J1037" t="s">
        <v>126</v>
      </c>
      <c r="K1037">
        <v>82.49</v>
      </c>
      <c r="L1037">
        <v>2</v>
      </c>
      <c r="M1037">
        <v>164.98</v>
      </c>
      <c r="N1037" t="s">
        <v>41</v>
      </c>
      <c r="O1037" t="s">
        <v>37</v>
      </c>
      <c r="P1037" t="s">
        <v>48</v>
      </c>
    </row>
    <row r="1038" spans="1:16" x14ac:dyDescent="0.25">
      <c r="A1038" t="s">
        <v>1599</v>
      </c>
      <c r="B1038" t="s">
        <v>1600</v>
      </c>
      <c r="C1038" s="3">
        <v>0.62995370370370374</v>
      </c>
      <c r="D1038" t="s">
        <v>16</v>
      </c>
      <c r="E1038" t="s">
        <v>29</v>
      </c>
      <c r="F1038" s="1"/>
      <c r="G1038">
        <v>2006</v>
      </c>
      <c r="H1038">
        <v>10</v>
      </c>
      <c r="I1038">
        <v>1</v>
      </c>
      <c r="J1038" t="s">
        <v>259</v>
      </c>
      <c r="K1038">
        <v>154.02000000000001</v>
      </c>
      <c r="L1038">
        <v>1</v>
      </c>
      <c r="M1038">
        <v>154.02000000000001</v>
      </c>
      <c r="N1038" t="s">
        <v>31</v>
      </c>
      <c r="O1038" t="s">
        <v>37</v>
      </c>
    </row>
    <row r="1039" spans="1:16" x14ac:dyDescent="0.25">
      <c r="A1039" t="s">
        <v>1601</v>
      </c>
      <c r="B1039" s="4">
        <v>45735</v>
      </c>
      <c r="C1039" s="5">
        <v>0.73819444444444449</v>
      </c>
      <c r="D1039" t="s">
        <v>16</v>
      </c>
      <c r="E1039" t="s">
        <v>1602</v>
      </c>
      <c r="G1039">
        <v>1984</v>
      </c>
      <c r="H1039">
        <v>12</v>
      </c>
      <c r="I1039">
        <v>16</v>
      </c>
      <c r="J1039" t="s">
        <v>93</v>
      </c>
      <c r="K1039">
        <v>208.67</v>
      </c>
      <c r="L1039">
        <v>1</v>
      </c>
      <c r="M1039">
        <v>208.67</v>
      </c>
      <c r="N1039" t="s">
        <v>67</v>
      </c>
      <c r="O1039" t="s">
        <v>89</v>
      </c>
      <c r="P1039" t="s">
        <v>56</v>
      </c>
    </row>
    <row r="1040" spans="1:16" x14ac:dyDescent="0.25">
      <c r="A1040" t="s">
        <v>1603</v>
      </c>
      <c r="B1040" s="4">
        <v>45821</v>
      </c>
      <c r="C1040" s="3">
        <v>0.51644675925925931</v>
      </c>
      <c r="D1040" t="s">
        <v>16</v>
      </c>
      <c r="E1040" t="s">
        <v>140</v>
      </c>
      <c r="F1040" s="4"/>
      <c r="G1040">
        <v>1976</v>
      </c>
      <c r="H1040">
        <v>10</v>
      </c>
      <c r="I1040">
        <v>17</v>
      </c>
      <c r="J1040" t="s">
        <v>116</v>
      </c>
      <c r="K1040">
        <v>-272.70999999999998</v>
      </c>
      <c r="L1040">
        <v>2</v>
      </c>
      <c r="M1040">
        <v>-545.41999999999996</v>
      </c>
      <c r="N1040" t="s">
        <v>25</v>
      </c>
      <c r="O1040" t="s">
        <v>89</v>
      </c>
      <c r="P1040" t="s">
        <v>27</v>
      </c>
    </row>
    <row r="1041" spans="1:16" x14ac:dyDescent="0.25">
      <c r="A1041" t="s">
        <v>1604</v>
      </c>
      <c r="B1041" s="4">
        <v>45666</v>
      </c>
      <c r="C1041" s="5">
        <v>0.73541666666666672</v>
      </c>
      <c r="D1041" t="s">
        <v>16</v>
      </c>
      <c r="E1041" t="s">
        <v>736</v>
      </c>
      <c r="G1041">
        <v>1979</v>
      </c>
      <c r="H1041">
        <v>11</v>
      </c>
      <c r="I1041">
        <v>27</v>
      </c>
      <c r="J1041" t="s">
        <v>77</v>
      </c>
      <c r="K1041">
        <v>247.57</v>
      </c>
      <c r="L1041">
        <v>2</v>
      </c>
      <c r="M1041">
        <v>495.14</v>
      </c>
      <c r="N1041" t="s">
        <v>67</v>
      </c>
      <c r="O1041" t="s">
        <v>47</v>
      </c>
      <c r="P1041" t="s">
        <v>21</v>
      </c>
    </row>
    <row r="1042" spans="1:16" x14ac:dyDescent="0.25">
      <c r="A1042" t="s">
        <v>1605</v>
      </c>
      <c r="B1042" s="4">
        <v>45972</v>
      </c>
      <c r="C1042" s="2">
        <v>0.50416666666666665</v>
      </c>
      <c r="D1042" t="s">
        <v>16</v>
      </c>
      <c r="E1042" t="s">
        <v>206</v>
      </c>
      <c r="G1042">
        <v>1991</v>
      </c>
      <c r="H1042">
        <v>12</v>
      </c>
      <c r="I1042">
        <v>12</v>
      </c>
      <c r="J1042" t="s">
        <v>129</v>
      </c>
      <c r="K1042">
        <v>144.93</v>
      </c>
      <c r="L1042">
        <v>2</v>
      </c>
      <c r="M1042">
        <v>289.86</v>
      </c>
      <c r="N1042" t="s">
        <v>25</v>
      </c>
      <c r="O1042" t="s">
        <v>61</v>
      </c>
      <c r="P1042" t="s">
        <v>74</v>
      </c>
    </row>
    <row r="1043" spans="1:16" x14ac:dyDescent="0.25">
      <c r="A1043" t="s">
        <v>1606</v>
      </c>
      <c r="B1043" s="1">
        <v>45858</v>
      </c>
      <c r="C1043" s="2">
        <v>0.98333333333333328</v>
      </c>
      <c r="D1043" t="s">
        <v>16</v>
      </c>
      <c r="E1043" t="s">
        <v>338</v>
      </c>
      <c r="G1043">
        <v>1992</v>
      </c>
      <c r="H1043">
        <v>12</v>
      </c>
      <c r="I1043">
        <v>20</v>
      </c>
      <c r="J1043" t="s">
        <v>93</v>
      </c>
      <c r="K1043">
        <v>225.8</v>
      </c>
      <c r="L1043">
        <v>2</v>
      </c>
      <c r="M1043">
        <v>451.6</v>
      </c>
      <c r="N1043" t="s">
        <v>31</v>
      </c>
      <c r="O1043" t="s">
        <v>47</v>
      </c>
      <c r="P1043" t="s">
        <v>48</v>
      </c>
    </row>
    <row r="1044" spans="1:16" x14ac:dyDescent="0.25">
      <c r="A1044" t="s">
        <v>1607</v>
      </c>
      <c r="B1044" s="1">
        <v>45931</v>
      </c>
      <c r="C1044" s="2">
        <v>0.42499999999999999</v>
      </c>
      <c r="D1044" t="s">
        <v>16</v>
      </c>
      <c r="E1044" t="s">
        <v>652</v>
      </c>
      <c r="F1044" s="1"/>
      <c r="G1044">
        <v>1993</v>
      </c>
      <c r="H1044">
        <v>7</v>
      </c>
      <c r="I1044">
        <v>25</v>
      </c>
      <c r="J1044" t="s">
        <v>30</v>
      </c>
      <c r="L1044">
        <v>2</v>
      </c>
      <c r="N1044" t="s">
        <v>67</v>
      </c>
      <c r="O1044" t="s">
        <v>20</v>
      </c>
      <c r="P1044" t="s">
        <v>74</v>
      </c>
    </row>
    <row r="1045" spans="1:16" x14ac:dyDescent="0.25">
      <c r="A1045" t="s">
        <v>1608</v>
      </c>
      <c r="B1045" s="4">
        <v>45730</v>
      </c>
      <c r="C1045" s="2">
        <v>0.65763888888888888</v>
      </c>
      <c r="D1045" t="s">
        <v>16</v>
      </c>
      <c r="E1045" t="s">
        <v>307</v>
      </c>
      <c r="F1045" s="4"/>
      <c r="G1045">
        <v>1980</v>
      </c>
      <c r="H1045">
        <v>12</v>
      </c>
      <c r="I1045">
        <v>7</v>
      </c>
      <c r="J1045" t="s">
        <v>73</v>
      </c>
      <c r="K1045" t="s">
        <v>1609</v>
      </c>
      <c r="L1045">
        <v>3</v>
      </c>
      <c r="M1045">
        <v>168.05</v>
      </c>
      <c r="N1045" t="s">
        <v>31</v>
      </c>
      <c r="O1045" t="s">
        <v>55</v>
      </c>
    </row>
    <row r="1046" spans="1:16" x14ac:dyDescent="0.25">
      <c r="A1046" t="s">
        <v>1610</v>
      </c>
      <c r="B1046" s="4">
        <v>45723</v>
      </c>
      <c r="C1046" s="3">
        <v>0.68008101851851854</v>
      </c>
      <c r="D1046" t="s">
        <v>16</v>
      </c>
      <c r="E1046" t="s">
        <v>169</v>
      </c>
      <c r="F1046" s="1"/>
      <c r="G1046">
        <v>2000</v>
      </c>
      <c r="H1046">
        <v>9</v>
      </c>
      <c r="I1046">
        <v>12</v>
      </c>
      <c r="J1046" t="s">
        <v>213</v>
      </c>
      <c r="K1046">
        <v>-232.82</v>
      </c>
      <c r="L1046">
        <v>2</v>
      </c>
      <c r="M1046">
        <v>-465.64</v>
      </c>
      <c r="N1046" t="s">
        <v>64</v>
      </c>
      <c r="O1046" t="s">
        <v>26</v>
      </c>
      <c r="P1046" t="s">
        <v>105</v>
      </c>
    </row>
    <row r="1047" spans="1:16" x14ac:dyDescent="0.25">
      <c r="A1047" t="s">
        <v>1611</v>
      </c>
      <c r="B1047" t="s">
        <v>1612</v>
      </c>
      <c r="C1047" s="3">
        <v>0.9692708333333333</v>
      </c>
      <c r="D1047" t="s">
        <v>16</v>
      </c>
      <c r="E1047" t="s">
        <v>204</v>
      </c>
      <c r="F1047" s="4"/>
      <c r="G1047">
        <v>1986</v>
      </c>
      <c r="H1047">
        <v>8</v>
      </c>
      <c r="I1047">
        <v>26</v>
      </c>
      <c r="J1047" t="s">
        <v>259</v>
      </c>
      <c r="K1047">
        <v>116.39</v>
      </c>
      <c r="L1047">
        <v>2</v>
      </c>
      <c r="M1047">
        <v>232.78</v>
      </c>
      <c r="N1047" t="s">
        <v>67</v>
      </c>
      <c r="O1047" t="s">
        <v>61</v>
      </c>
    </row>
    <row r="1048" spans="1:16" x14ac:dyDescent="0.25">
      <c r="A1048" t="s">
        <v>1613</v>
      </c>
      <c r="B1048" t="s">
        <v>941</v>
      </c>
      <c r="C1048" s="2">
        <v>0.48402777777777778</v>
      </c>
      <c r="D1048" t="s">
        <v>16</v>
      </c>
      <c r="E1048" t="s">
        <v>63</v>
      </c>
      <c r="F1048" s="4"/>
      <c r="G1048">
        <v>1986</v>
      </c>
      <c r="H1048">
        <v>6</v>
      </c>
      <c r="I1048">
        <v>2</v>
      </c>
      <c r="J1048" t="s">
        <v>53</v>
      </c>
      <c r="K1048">
        <v>88.1</v>
      </c>
      <c r="L1048">
        <v>2</v>
      </c>
      <c r="M1048">
        <v>176.2</v>
      </c>
      <c r="N1048" t="s">
        <v>41</v>
      </c>
      <c r="O1048" t="s">
        <v>89</v>
      </c>
      <c r="P1048" t="s">
        <v>33</v>
      </c>
    </row>
    <row r="1049" spans="1:16" x14ac:dyDescent="0.25">
      <c r="A1049" t="s">
        <v>1614</v>
      </c>
      <c r="B1049" s="4">
        <v>45769</v>
      </c>
      <c r="C1049" s="3">
        <v>0.63649305555555558</v>
      </c>
      <c r="D1049" t="s">
        <v>16</v>
      </c>
      <c r="E1049" t="s">
        <v>332</v>
      </c>
      <c r="F1049" s="4"/>
      <c r="G1049">
        <v>1976</v>
      </c>
      <c r="H1049">
        <v>11</v>
      </c>
      <c r="I1049">
        <v>12</v>
      </c>
      <c r="J1049" t="s">
        <v>30</v>
      </c>
      <c r="K1049" t="s">
        <v>1615</v>
      </c>
      <c r="L1049">
        <v>1</v>
      </c>
      <c r="M1049">
        <v>244.96</v>
      </c>
      <c r="N1049" t="s">
        <v>25</v>
      </c>
      <c r="O1049" t="s">
        <v>61</v>
      </c>
      <c r="P1049" t="s">
        <v>74</v>
      </c>
    </row>
    <row r="1050" spans="1:16" x14ac:dyDescent="0.25">
      <c r="A1050" t="s">
        <v>1616</v>
      </c>
      <c r="B1050" s="4">
        <v>45915</v>
      </c>
      <c r="C1050" s="5">
        <v>0.67013888888888884</v>
      </c>
      <c r="D1050" t="s">
        <v>16</v>
      </c>
      <c r="E1050" t="s">
        <v>1617</v>
      </c>
      <c r="F1050" s="4"/>
      <c r="G1050">
        <v>2006</v>
      </c>
      <c r="H1050">
        <v>11</v>
      </c>
      <c r="I1050">
        <v>13</v>
      </c>
      <c r="J1050" t="s">
        <v>202</v>
      </c>
      <c r="K1050" t="s">
        <v>1618</v>
      </c>
      <c r="L1050">
        <v>2</v>
      </c>
      <c r="M1050">
        <v>324.36</v>
      </c>
      <c r="N1050" t="s">
        <v>67</v>
      </c>
      <c r="O1050" t="s">
        <v>32</v>
      </c>
      <c r="P1050" t="s">
        <v>27</v>
      </c>
    </row>
    <row r="1051" spans="1:16" x14ac:dyDescent="0.25">
      <c r="A1051" t="s">
        <v>1619</v>
      </c>
      <c r="B1051" t="s">
        <v>930</v>
      </c>
      <c r="C1051" s="5">
        <v>0.42083333333333334</v>
      </c>
      <c r="D1051" t="s">
        <v>16</v>
      </c>
      <c r="E1051" t="s">
        <v>1620</v>
      </c>
      <c r="F1051" s="4"/>
      <c r="G1051">
        <v>1971</v>
      </c>
      <c r="H1051">
        <v>3</v>
      </c>
      <c r="I1051">
        <v>19</v>
      </c>
      <c r="J1051" t="s">
        <v>199</v>
      </c>
      <c r="K1051">
        <v>168.17</v>
      </c>
      <c r="L1051">
        <v>3</v>
      </c>
      <c r="M1051">
        <v>549.51</v>
      </c>
      <c r="N1051" t="s">
        <v>19</v>
      </c>
      <c r="O1051" t="s">
        <v>89</v>
      </c>
      <c r="P1051" t="s">
        <v>21</v>
      </c>
    </row>
    <row r="1052" spans="1:16" x14ac:dyDescent="0.25">
      <c r="A1052" t="s">
        <v>1621</v>
      </c>
      <c r="B1052" s="1">
        <v>45714</v>
      </c>
      <c r="C1052" s="3">
        <v>0.45581018518518518</v>
      </c>
      <c r="D1052" t="s">
        <v>16</v>
      </c>
      <c r="E1052" t="s">
        <v>712</v>
      </c>
      <c r="F1052" s="1"/>
      <c r="G1052">
        <v>2007</v>
      </c>
      <c r="H1052">
        <v>4</v>
      </c>
      <c r="I1052">
        <v>27</v>
      </c>
      <c r="J1052" t="s">
        <v>164</v>
      </c>
      <c r="K1052">
        <v>296.79000000000002</v>
      </c>
      <c r="L1052">
        <v>3</v>
      </c>
      <c r="M1052">
        <v>890.37</v>
      </c>
      <c r="N1052" t="s">
        <v>64</v>
      </c>
      <c r="O1052" t="s">
        <v>55</v>
      </c>
    </row>
    <row r="1053" spans="1:16" x14ac:dyDescent="0.25">
      <c r="A1053" t="s">
        <v>1622</v>
      </c>
      <c r="B1053" t="s">
        <v>1623</v>
      </c>
      <c r="C1053" s="5">
        <v>0.46458333333333335</v>
      </c>
      <c r="D1053" t="s">
        <v>16</v>
      </c>
      <c r="E1053" t="s">
        <v>39</v>
      </c>
      <c r="G1053">
        <v>2006</v>
      </c>
      <c r="H1053">
        <v>6</v>
      </c>
      <c r="I1053">
        <v>6</v>
      </c>
      <c r="J1053" t="s">
        <v>24</v>
      </c>
      <c r="K1053">
        <v>258.89999999999998</v>
      </c>
      <c r="L1053">
        <v>2</v>
      </c>
      <c r="M1053">
        <v>517.79999999999995</v>
      </c>
      <c r="N1053" t="s">
        <v>41</v>
      </c>
      <c r="O1053" t="s">
        <v>61</v>
      </c>
      <c r="P1053" t="s">
        <v>48</v>
      </c>
    </row>
    <row r="1054" spans="1:16" x14ac:dyDescent="0.25">
      <c r="A1054" t="s">
        <v>1624</v>
      </c>
      <c r="C1054" s="2">
        <v>0.67083333333333328</v>
      </c>
      <c r="D1054" t="s">
        <v>16</v>
      </c>
      <c r="E1054" t="s">
        <v>328</v>
      </c>
      <c r="F1054" s="4"/>
      <c r="G1054">
        <v>1972</v>
      </c>
      <c r="H1054">
        <v>11</v>
      </c>
      <c r="I1054">
        <v>8</v>
      </c>
      <c r="J1054" t="s">
        <v>73</v>
      </c>
      <c r="K1054">
        <v>42.36</v>
      </c>
      <c r="L1054">
        <v>1</v>
      </c>
      <c r="M1054">
        <v>42.36</v>
      </c>
      <c r="N1054" t="s">
        <v>41</v>
      </c>
      <c r="O1054" t="s">
        <v>47</v>
      </c>
      <c r="P1054" t="s">
        <v>33</v>
      </c>
    </row>
    <row r="1055" spans="1:16" x14ac:dyDescent="0.25">
      <c r="A1055" t="s">
        <v>1625</v>
      </c>
      <c r="B1055" s="1">
        <v>45717</v>
      </c>
      <c r="C1055" s="2">
        <v>0.65069444444444446</v>
      </c>
      <c r="D1055" t="s">
        <v>16</v>
      </c>
      <c r="E1055" t="s">
        <v>189</v>
      </c>
      <c r="F1055" s="1"/>
      <c r="G1055">
        <v>1973</v>
      </c>
      <c r="H1055">
        <v>7</v>
      </c>
      <c r="I1055">
        <v>26</v>
      </c>
      <c r="J1055" t="s">
        <v>45</v>
      </c>
      <c r="K1055">
        <v>199</v>
      </c>
      <c r="L1055">
        <v>1</v>
      </c>
      <c r="M1055">
        <v>199</v>
      </c>
      <c r="N1055" t="s">
        <v>54</v>
      </c>
      <c r="O1055" t="s">
        <v>89</v>
      </c>
      <c r="P1055" t="s">
        <v>56</v>
      </c>
    </row>
    <row r="1056" spans="1:16" x14ac:dyDescent="0.25">
      <c r="A1056" t="s">
        <v>1626</v>
      </c>
      <c r="B1056" s="4">
        <v>45632</v>
      </c>
      <c r="C1056" s="5">
        <v>0.46458333333333335</v>
      </c>
      <c r="D1056" t="s">
        <v>16</v>
      </c>
      <c r="E1056" t="s">
        <v>1627</v>
      </c>
      <c r="F1056" s="1"/>
      <c r="G1056">
        <v>1987</v>
      </c>
      <c r="H1056">
        <v>2</v>
      </c>
      <c r="I1056">
        <v>23</v>
      </c>
      <c r="J1056" t="s">
        <v>24</v>
      </c>
      <c r="K1056">
        <v>281.02999999999997</v>
      </c>
      <c r="L1056">
        <v>1</v>
      </c>
      <c r="M1056">
        <v>281.02999999999997</v>
      </c>
      <c r="N1056" t="s">
        <v>25</v>
      </c>
      <c r="O1056" t="s">
        <v>89</v>
      </c>
      <c r="P1056" t="s">
        <v>56</v>
      </c>
    </row>
    <row r="1057" spans="1:16" x14ac:dyDescent="0.25">
      <c r="A1057" t="s">
        <v>1628</v>
      </c>
      <c r="B1057" s="4">
        <v>45632</v>
      </c>
      <c r="C1057" s="2">
        <v>0.82152777777777775</v>
      </c>
      <c r="D1057" t="s">
        <v>16</v>
      </c>
      <c r="E1057" t="s">
        <v>1629</v>
      </c>
      <c r="G1057">
        <v>1999</v>
      </c>
      <c r="H1057">
        <v>5</v>
      </c>
      <c r="I1057">
        <v>11</v>
      </c>
      <c r="J1057" t="s">
        <v>60</v>
      </c>
      <c r="K1057">
        <v>147.25</v>
      </c>
      <c r="L1057">
        <v>2</v>
      </c>
      <c r="M1057">
        <v>294.5</v>
      </c>
      <c r="O1057" t="s">
        <v>20</v>
      </c>
      <c r="P1057" t="s">
        <v>27</v>
      </c>
    </row>
    <row r="1058" spans="1:16" x14ac:dyDescent="0.25">
      <c r="A1058" t="s">
        <v>1630</v>
      </c>
      <c r="B1058" s="1">
        <v>45778</v>
      </c>
      <c r="C1058" s="3">
        <v>0.72624999999999995</v>
      </c>
      <c r="D1058" t="s">
        <v>16</v>
      </c>
      <c r="E1058" t="s">
        <v>659</v>
      </c>
      <c r="F1058" s="1"/>
      <c r="G1058">
        <v>1982</v>
      </c>
      <c r="H1058">
        <v>1</v>
      </c>
      <c r="I1058">
        <v>4</v>
      </c>
      <c r="J1058" t="s">
        <v>104</v>
      </c>
      <c r="K1058">
        <v>272.33</v>
      </c>
      <c r="L1058">
        <v>2</v>
      </c>
      <c r="M1058">
        <v>544.66</v>
      </c>
      <c r="N1058" t="s">
        <v>31</v>
      </c>
      <c r="O1058" t="s">
        <v>26</v>
      </c>
      <c r="P1058" t="s">
        <v>21</v>
      </c>
    </row>
    <row r="1059" spans="1:16" x14ac:dyDescent="0.25">
      <c r="A1059" t="s">
        <v>1631</v>
      </c>
      <c r="B1059" t="s">
        <v>1080</v>
      </c>
      <c r="C1059" s="5">
        <v>0.66666666666666663</v>
      </c>
      <c r="D1059" t="s">
        <v>16</v>
      </c>
      <c r="E1059" t="s">
        <v>118</v>
      </c>
      <c r="F1059" s="4"/>
      <c r="G1059">
        <v>1995</v>
      </c>
      <c r="H1059">
        <v>9</v>
      </c>
      <c r="I1059">
        <v>20</v>
      </c>
      <c r="J1059" t="s">
        <v>104</v>
      </c>
      <c r="K1059">
        <v>263.5</v>
      </c>
      <c r="L1059">
        <v>2</v>
      </c>
      <c r="M1059">
        <v>527</v>
      </c>
      <c r="N1059" t="s">
        <v>41</v>
      </c>
      <c r="O1059" t="s">
        <v>47</v>
      </c>
      <c r="P1059" t="s">
        <v>21</v>
      </c>
    </row>
    <row r="1060" spans="1:16" x14ac:dyDescent="0.25">
      <c r="A1060" t="s">
        <v>1632</v>
      </c>
      <c r="B1060" s="1">
        <v>45692</v>
      </c>
      <c r="C1060" s="5">
        <v>0.5083333333333333</v>
      </c>
      <c r="D1060" t="s">
        <v>16</v>
      </c>
      <c r="E1060" t="s">
        <v>274</v>
      </c>
      <c r="F1060" s="1"/>
      <c r="G1060">
        <v>1990</v>
      </c>
      <c r="H1060">
        <v>12</v>
      </c>
      <c r="I1060">
        <v>27</v>
      </c>
      <c r="J1060" t="s">
        <v>178</v>
      </c>
      <c r="K1060" t="s">
        <v>1633</v>
      </c>
      <c r="L1060">
        <v>1</v>
      </c>
      <c r="M1060">
        <v>238.5</v>
      </c>
      <c r="N1060" t="s">
        <v>67</v>
      </c>
      <c r="O1060" t="s">
        <v>26</v>
      </c>
    </row>
    <row r="1061" spans="1:16" x14ac:dyDescent="0.25">
      <c r="A1061" t="s">
        <v>1634</v>
      </c>
      <c r="B1061" t="s">
        <v>1635</v>
      </c>
      <c r="C1061" s="2">
        <v>0.43125000000000002</v>
      </c>
      <c r="D1061" t="s">
        <v>16</v>
      </c>
      <c r="E1061" t="s">
        <v>434</v>
      </c>
      <c r="J1061" t="s">
        <v>164</v>
      </c>
      <c r="K1061">
        <v>348.81</v>
      </c>
      <c r="L1061">
        <v>2</v>
      </c>
      <c r="M1061">
        <v>697.62</v>
      </c>
      <c r="N1061" t="s">
        <v>19</v>
      </c>
      <c r="O1061" t="s">
        <v>89</v>
      </c>
      <c r="P1061" t="s">
        <v>105</v>
      </c>
    </row>
    <row r="1062" spans="1:16" x14ac:dyDescent="0.25">
      <c r="A1062" t="s">
        <v>1636</v>
      </c>
      <c r="B1062" t="s">
        <v>1637</v>
      </c>
      <c r="C1062" s="2">
        <v>0.75972222222222219</v>
      </c>
      <c r="D1062" t="s">
        <v>16</v>
      </c>
      <c r="E1062" t="s">
        <v>425</v>
      </c>
      <c r="F1062" s="1"/>
      <c r="G1062">
        <v>2004</v>
      </c>
      <c r="H1062">
        <v>3</v>
      </c>
      <c r="I1062">
        <v>23</v>
      </c>
      <c r="J1062" t="s">
        <v>145</v>
      </c>
      <c r="K1062">
        <v>263.64999999999998</v>
      </c>
      <c r="L1062">
        <v>1</v>
      </c>
      <c r="M1062">
        <v>263.64999999999998</v>
      </c>
      <c r="N1062" t="s">
        <v>31</v>
      </c>
      <c r="O1062" t="s">
        <v>37</v>
      </c>
      <c r="P1062" t="s">
        <v>48</v>
      </c>
    </row>
    <row r="1063" spans="1:16" x14ac:dyDescent="0.25">
      <c r="A1063" t="s">
        <v>1638</v>
      </c>
      <c r="B1063" s="1">
        <v>45700</v>
      </c>
      <c r="C1063" s="2">
        <v>0.73124999999999996</v>
      </c>
      <c r="D1063" t="s">
        <v>16</v>
      </c>
      <c r="E1063" t="s">
        <v>95</v>
      </c>
      <c r="G1063">
        <v>2000</v>
      </c>
      <c r="H1063">
        <v>8</v>
      </c>
      <c r="I1063">
        <v>10</v>
      </c>
      <c r="J1063" t="s">
        <v>145</v>
      </c>
      <c r="K1063">
        <v>137.52000000000001</v>
      </c>
      <c r="L1063">
        <v>1</v>
      </c>
      <c r="M1063">
        <v>137.52000000000001</v>
      </c>
      <c r="N1063" t="s">
        <v>64</v>
      </c>
      <c r="O1063" t="s">
        <v>26</v>
      </c>
      <c r="P1063" t="s">
        <v>21</v>
      </c>
    </row>
    <row r="1064" spans="1:16" x14ac:dyDescent="0.25">
      <c r="A1064" t="s">
        <v>1639</v>
      </c>
      <c r="B1064" s="4">
        <v>45855</v>
      </c>
      <c r="C1064" s="5">
        <v>0.75069444444444444</v>
      </c>
      <c r="D1064" t="s">
        <v>16</v>
      </c>
      <c r="E1064" t="s">
        <v>434</v>
      </c>
      <c r="F1064" s="1"/>
      <c r="G1064">
        <v>2003</v>
      </c>
      <c r="H1064">
        <v>3</v>
      </c>
      <c r="I1064">
        <v>17</v>
      </c>
      <c r="J1064" t="s">
        <v>73</v>
      </c>
      <c r="K1064">
        <v>43.59</v>
      </c>
      <c r="L1064">
        <v>3</v>
      </c>
      <c r="M1064">
        <v>130.77000000000001</v>
      </c>
      <c r="N1064" t="s">
        <v>41</v>
      </c>
      <c r="O1064" t="s">
        <v>55</v>
      </c>
    </row>
    <row r="1065" spans="1:16" x14ac:dyDescent="0.25">
      <c r="A1065" t="s">
        <v>1640</v>
      </c>
      <c r="B1065" s="4">
        <v>45777</v>
      </c>
      <c r="C1065" s="2">
        <v>0.91527777777777775</v>
      </c>
      <c r="D1065" t="s">
        <v>16</v>
      </c>
      <c r="E1065" t="s">
        <v>206</v>
      </c>
      <c r="F1065" s="4"/>
      <c r="G1065">
        <v>1978</v>
      </c>
      <c r="H1065">
        <v>7</v>
      </c>
      <c r="I1065">
        <v>5</v>
      </c>
      <c r="J1065" t="s">
        <v>110</v>
      </c>
      <c r="K1065">
        <v>-129.52000000000001</v>
      </c>
      <c r="L1065">
        <v>2</v>
      </c>
      <c r="M1065">
        <v>-259.04000000000002</v>
      </c>
      <c r="N1065" t="s">
        <v>64</v>
      </c>
      <c r="O1065" t="s">
        <v>37</v>
      </c>
      <c r="P1065" t="s">
        <v>74</v>
      </c>
    </row>
    <row r="1066" spans="1:16" x14ac:dyDescent="0.25">
      <c r="A1066" t="s">
        <v>1641</v>
      </c>
      <c r="B1066" t="s">
        <v>892</v>
      </c>
      <c r="C1066" s="5">
        <v>0.59513888888888888</v>
      </c>
      <c r="D1066" t="s">
        <v>16</v>
      </c>
      <c r="E1066" t="s">
        <v>370</v>
      </c>
      <c r="G1066">
        <v>2000</v>
      </c>
      <c r="H1066">
        <v>2</v>
      </c>
      <c r="I1066">
        <v>26</v>
      </c>
      <c r="J1066" t="s">
        <v>213</v>
      </c>
      <c r="K1066">
        <v>163.97</v>
      </c>
      <c r="L1066">
        <v>1</v>
      </c>
      <c r="M1066">
        <v>163.97</v>
      </c>
      <c r="N1066" t="s">
        <v>25</v>
      </c>
      <c r="O1066" t="s">
        <v>89</v>
      </c>
    </row>
    <row r="1067" spans="1:16" x14ac:dyDescent="0.25">
      <c r="A1067" t="s">
        <v>1642</v>
      </c>
      <c r="B1067" s="1">
        <v>45803</v>
      </c>
      <c r="C1067" s="3">
        <v>0.98315972222222225</v>
      </c>
      <c r="D1067" t="s">
        <v>16</v>
      </c>
      <c r="E1067" t="s">
        <v>494</v>
      </c>
      <c r="F1067" s="4"/>
      <c r="G1067">
        <v>1975</v>
      </c>
      <c r="H1067">
        <v>8</v>
      </c>
      <c r="I1067">
        <v>17</v>
      </c>
      <c r="J1067" t="s">
        <v>104</v>
      </c>
      <c r="K1067">
        <v>259.95999999999998</v>
      </c>
      <c r="L1067">
        <v>1</v>
      </c>
      <c r="M1067">
        <v>259.95999999999998</v>
      </c>
      <c r="N1067" t="s">
        <v>54</v>
      </c>
      <c r="O1067" t="s">
        <v>47</v>
      </c>
      <c r="P1067" t="s">
        <v>33</v>
      </c>
    </row>
    <row r="1068" spans="1:16" x14ac:dyDescent="0.25">
      <c r="A1068" t="s">
        <v>1643</v>
      </c>
      <c r="B1068" s="4">
        <v>45677</v>
      </c>
      <c r="C1068" s="3">
        <v>0.58030092592592597</v>
      </c>
      <c r="D1068" t="s">
        <v>16</v>
      </c>
      <c r="E1068" t="s">
        <v>545</v>
      </c>
      <c r="F1068" s="4"/>
      <c r="G1068">
        <v>1970</v>
      </c>
      <c r="H1068">
        <v>5</v>
      </c>
      <c r="I1068">
        <v>15</v>
      </c>
      <c r="J1068" t="s">
        <v>213</v>
      </c>
      <c r="K1068">
        <v>270.89</v>
      </c>
      <c r="L1068">
        <v>2</v>
      </c>
      <c r="M1068">
        <v>541.78</v>
      </c>
      <c r="N1068" t="s">
        <v>64</v>
      </c>
      <c r="O1068" t="s">
        <v>20</v>
      </c>
      <c r="P1068" t="s">
        <v>105</v>
      </c>
    </row>
    <row r="1069" spans="1:16" x14ac:dyDescent="0.25">
      <c r="A1069" t="s">
        <v>1644</v>
      </c>
      <c r="B1069" t="s">
        <v>1645</v>
      </c>
      <c r="C1069" s="5">
        <v>0.69791666666666663</v>
      </c>
      <c r="D1069" t="s">
        <v>16</v>
      </c>
      <c r="E1069" t="s">
        <v>377</v>
      </c>
      <c r="F1069" s="4"/>
      <c r="G1069">
        <v>2004</v>
      </c>
      <c r="H1069">
        <v>3</v>
      </c>
      <c r="I1069">
        <v>4</v>
      </c>
      <c r="J1069" t="s">
        <v>116</v>
      </c>
      <c r="K1069">
        <v>129.51</v>
      </c>
      <c r="L1069">
        <v>1</v>
      </c>
      <c r="M1069">
        <v>129.51</v>
      </c>
      <c r="N1069" t="s">
        <v>64</v>
      </c>
      <c r="O1069" t="s">
        <v>20</v>
      </c>
      <c r="P1069" t="s">
        <v>27</v>
      </c>
    </row>
    <row r="1070" spans="1:16" x14ac:dyDescent="0.25">
      <c r="A1070" t="s">
        <v>1646</v>
      </c>
      <c r="B1070" t="s">
        <v>1647</v>
      </c>
      <c r="C1070" s="5">
        <v>0.6958333333333333</v>
      </c>
      <c r="D1070" t="s">
        <v>16</v>
      </c>
      <c r="E1070" t="s">
        <v>158</v>
      </c>
      <c r="G1070">
        <v>1981</v>
      </c>
      <c r="H1070">
        <v>4</v>
      </c>
      <c r="I1070">
        <v>9</v>
      </c>
      <c r="J1070" t="s">
        <v>60</v>
      </c>
      <c r="K1070">
        <v>167.98</v>
      </c>
      <c r="L1070">
        <v>1</v>
      </c>
      <c r="M1070">
        <v>167.98</v>
      </c>
      <c r="N1070" t="s">
        <v>54</v>
      </c>
      <c r="O1070" t="s">
        <v>20</v>
      </c>
      <c r="P1070" t="s">
        <v>33</v>
      </c>
    </row>
    <row r="1071" spans="1:16" x14ac:dyDescent="0.25">
      <c r="A1071" t="s">
        <v>1648</v>
      </c>
      <c r="B1071" s="4">
        <v>45856</v>
      </c>
      <c r="C1071" s="5">
        <v>0.7416666666666667</v>
      </c>
      <c r="D1071" t="s">
        <v>16</v>
      </c>
      <c r="E1071" t="s">
        <v>158</v>
      </c>
      <c r="G1071">
        <v>1994</v>
      </c>
      <c r="H1071">
        <v>5</v>
      </c>
      <c r="I1071">
        <v>21</v>
      </c>
      <c r="J1071" t="s">
        <v>40</v>
      </c>
      <c r="K1071">
        <v>215.74</v>
      </c>
      <c r="L1071">
        <v>1</v>
      </c>
      <c r="M1071">
        <v>215.74</v>
      </c>
      <c r="N1071" t="s">
        <v>19</v>
      </c>
      <c r="O1071" t="s">
        <v>47</v>
      </c>
      <c r="P1071" t="s">
        <v>74</v>
      </c>
    </row>
    <row r="1072" spans="1:16" x14ac:dyDescent="0.25">
      <c r="A1072" t="s">
        <v>1649</v>
      </c>
      <c r="B1072" t="s">
        <v>1168</v>
      </c>
      <c r="C1072" s="5">
        <v>0.65</v>
      </c>
      <c r="D1072" t="s">
        <v>16</v>
      </c>
      <c r="E1072" t="s">
        <v>187</v>
      </c>
      <c r="G1072">
        <v>2000</v>
      </c>
      <c r="H1072">
        <v>8</v>
      </c>
      <c r="I1072">
        <v>12</v>
      </c>
      <c r="J1072" t="s">
        <v>164</v>
      </c>
      <c r="K1072">
        <v>297.12</v>
      </c>
      <c r="L1072">
        <v>3</v>
      </c>
      <c r="M1072">
        <v>891.36</v>
      </c>
      <c r="N1072" t="s">
        <v>41</v>
      </c>
      <c r="O1072" t="s">
        <v>20</v>
      </c>
    </row>
    <row r="1073" spans="1:16" x14ac:dyDescent="0.25">
      <c r="A1073" t="s">
        <v>1650</v>
      </c>
      <c r="B1073" s="4">
        <v>45683</v>
      </c>
      <c r="C1073" s="3">
        <v>0.86910879629629634</v>
      </c>
      <c r="D1073" t="s">
        <v>16</v>
      </c>
      <c r="E1073" t="s">
        <v>690</v>
      </c>
      <c r="J1073" t="s">
        <v>141</v>
      </c>
      <c r="K1073">
        <v>119.01</v>
      </c>
      <c r="L1073">
        <v>3</v>
      </c>
      <c r="M1073">
        <v>307.02999999999997</v>
      </c>
      <c r="N1073" t="s">
        <v>31</v>
      </c>
      <c r="O1073" t="s">
        <v>26</v>
      </c>
      <c r="P1073" t="s">
        <v>74</v>
      </c>
    </row>
    <row r="1074" spans="1:16" x14ac:dyDescent="0.25">
      <c r="A1074" t="s">
        <v>1651</v>
      </c>
      <c r="B1074" s="4">
        <v>45745</v>
      </c>
      <c r="C1074" s="2">
        <v>0.62013888888888891</v>
      </c>
      <c r="D1074" t="s">
        <v>16</v>
      </c>
      <c r="E1074" t="s">
        <v>360</v>
      </c>
      <c r="J1074" t="s">
        <v>243</v>
      </c>
      <c r="K1074">
        <v>144.79</v>
      </c>
      <c r="L1074">
        <v>2</v>
      </c>
      <c r="M1074">
        <v>289.58</v>
      </c>
      <c r="N1074" t="s">
        <v>67</v>
      </c>
      <c r="O1074" t="s">
        <v>61</v>
      </c>
      <c r="P1074" t="s">
        <v>27</v>
      </c>
    </row>
    <row r="1075" spans="1:16" x14ac:dyDescent="0.25">
      <c r="A1075" t="s">
        <v>1652</v>
      </c>
      <c r="B1075" s="4">
        <v>45838</v>
      </c>
      <c r="C1075" s="3">
        <v>0.43300925925925926</v>
      </c>
      <c r="D1075" t="s">
        <v>16</v>
      </c>
      <c r="E1075" t="s">
        <v>360</v>
      </c>
      <c r="G1075">
        <v>1987</v>
      </c>
      <c r="H1075">
        <v>6</v>
      </c>
      <c r="I1075">
        <v>20</v>
      </c>
      <c r="J1075" t="s">
        <v>36</v>
      </c>
      <c r="K1075">
        <v>96.72</v>
      </c>
      <c r="L1075">
        <v>3</v>
      </c>
      <c r="M1075">
        <v>290.16000000000003</v>
      </c>
      <c r="O1075" t="s">
        <v>47</v>
      </c>
      <c r="P1075" t="s">
        <v>27</v>
      </c>
    </row>
    <row r="1076" spans="1:16" x14ac:dyDescent="0.25">
      <c r="A1076" t="s">
        <v>1653</v>
      </c>
      <c r="C1076" s="3">
        <v>0.81078703703703703</v>
      </c>
      <c r="D1076" t="s">
        <v>16</v>
      </c>
      <c r="E1076" t="s">
        <v>191</v>
      </c>
      <c r="F1076" s="1"/>
      <c r="G1076">
        <v>2005</v>
      </c>
      <c r="H1076">
        <v>7</v>
      </c>
      <c r="I1076">
        <v>25</v>
      </c>
      <c r="J1076" t="s">
        <v>30</v>
      </c>
      <c r="K1076">
        <v>315.3</v>
      </c>
      <c r="L1076">
        <v>1</v>
      </c>
      <c r="M1076">
        <v>315.3</v>
      </c>
      <c r="N1076" t="s">
        <v>31</v>
      </c>
      <c r="O1076" t="s">
        <v>89</v>
      </c>
      <c r="P1076" t="s">
        <v>48</v>
      </c>
    </row>
    <row r="1077" spans="1:16" x14ac:dyDescent="0.25">
      <c r="A1077" t="s">
        <v>1654</v>
      </c>
      <c r="B1077" t="s">
        <v>1655</v>
      </c>
      <c r="C1077" s="3">
        <v>0.54827546296296292</v>
      </c>
      <c r="D1077" t="s">
        <v>16</v>
      </c>
      <c r="E1077" t="s">
        <v>187</v>
      </c>
      <c r="F1077" s="1"/>
      <c r="G1077">
        <v>1992</v>
      </c>
      <c r="H1077">
        <v>10</v>
      </c>
      <c r="I1077">
        <v>13</v>
      </c>
      <c r="J1077" t="s">
        <v>53</v>
      </c>
      <c r="K1077">
        <v>108.86</v>
      </c>
      <c r="L1077">
        <v>1</v>
      </c>
      <c r="M1077">
        <v>108.86</v>
      </c>
      <c r="N1077" t="s">
        <v>25</v>
      </c>
      <c r="O1077" t="s">
        <v>32</v>
      </c>
      <c r="P1077" t="s">
        <v>105</v>
      </c>
    </row>
    <row r="1078" spans="1:16" x14ac:dyDescent="0.25">
      <c r="A1078" t="s">
        <v>1656</v>
      </c>
      <c r="B1078" s="4">
        <v>45943</v>
      </c>
      <c r="C1078" s="3">
        <v>0.93281250000000004</v>
      </c>
      <c r="D1078" t="s">
        <v>16</v>
      </c>
      <c r="E1078" t="s">
        <v>1657</v>
      </c>
      <c r="G1078">
        <v>1987</v>
      </c>
      <c r="H1078">
        <v>11</v>
      </c>
      <c r="I1078">
        <v>27</v>
      </c>
      <c r="J1078" t="s">
        <v>129</v>
      </c>
      <c r="K1078">
        <v>214.2</v>
      </c>
      <c r="L1078">
        <v>2</v>
      </c>
      <c r="M1078">
        <v>428.4</v>
      </c>
      <c r="N1078" t="s">
        <v>67</v>
      </c>
      <c r="O1078" t="s">
        <v>47</v>
      </c>
    </row>
    <row r="1079" spans="1:16" x14ac:dyDescent="0.25">
      <c r="A1079" t="s">
        <v>1658</v>
      </c>
      <c r="B1079" s="4">
        <v>45807</v>
      </c>
      <c r="C1079" s="5">
        <v>0.53194444444444444</v>
      </c>
      <c r="D1079" t="s">
        <v>16</v>
      </c>
      <c r="E1079" t="s">
        <v>84</v>
      </c>
      <c r="G1079">
        <v>1991</v>
      </c>
      <c r="H1079">
        <v>12</v>
      </c>
      <c r="I1079">
        <v>12</v>
      </c>
      <c r="J1079" t="s">
        <v>18</v>
      </c>
      <c r="K1079">
        <v>90.34</v>
      </c>
      <c r="L1079">
        <v>1</v>
      </c>
      <c r="M1079">
        <v>90.34</v>
      </c>
      <c r="N1079" t="s">
        <v>54</v>
      </c>
      <c r="O1079" t="s">
        <v>32</v>
      </c>
      <c r="P1079" t="s">
        <v>21</v>
      </c>
    </row>
    <row r="1080" spans="1:16" x14ac:dyDescent="0.25">
      <c r="A1080" t="s">
        <v>1659</v>
      </c>
      <c r="B1080" s="4">
        <v>45640</v>
      </c>
      <c r="C1080" s="5">
        <v>0.68263888888888891</v>
      </c>
      <c r="D1080" t="s">
        <v>16</v>
      </c>
      <c r="E1080" t="s">
        <v>189</v>
      </c>
      <c r="F1080" s="1"/>
      <c r="G1080">
        <v>1982</v>
      </c>
      <c r="H1080">
        <v>5</v>
      </c>
      <c r="I1080">
        <v>13</v>
      </c>
      <c r="J1080" t="s">
        <v>73</v>
      </c>
      <c r="K1080">
        <v>50.91</v>
      </c>
      <c r="L1080">
        <v>3</v>
      </c>
      <c r="M1080">
        <v>152.72999999999999</v>
      </c>
      <c r="N1080" t="s">
        <v>41</v>
      </c>
      <c r="O1080" t="s">
        <v>55</v>
      </c>
      <c r="P1080" t="s">
        <v>48</v>
      </c>
    </row>
    <row r="1081" spans="1:16" x14ac:dyDescent="0.25">
      <c r="A1081" t="s">
        <v>1660</v>
      </c>
      <c r="B1081" s="4">
        <v>45652</v>
      </c>
      <c r="C1081" s="3">
        <v>0.42476851851851855</v>
      </c>
      <c r="D1081" t="s">
        <v>16</v>
      </c>
      <c r="E1081" t="s">
        <v>594</v>
      </c>
      <c r="F1081" s="1"/>
      <c r="G1081">
        <v>2008</v>
      </c>
      <c r="H1081">
        <v>6</v>
      </c>
      <c r="I1081">
        <v>4</v>
      </c>
      <c r="J1081" t="s">
        <v>60</v>
      </c>
      <c r="K1081">
        <v>181.55</v>
      </c>
      <c r="L1081">
        <v>2</v>
      </c>
      <c r="M1081">
        <v>363.1</v>
      </c>
      <c r="N1081" t="s">
        <v>25</v>
      </c>
      <c r="O1081" t="s">
        <v>61</v>
      </c>
    </row>
    <row r="1082" spans="1:16" x14ac:dyDescent="0.25">
      <c r="A1082" t="s">
        <v>1661</v>
      </c>
      <c r="B1082" s="1">
        <v>45919</v>
      </c>
      <c r="C1082" s="3">
        <v>0.45275462962962965</v>
      </c>
      <c r="D1082" t="s">
        <v>16</v>
      </c>
      <c r="E1082" t="s">
        <v>128</v>
      </c>
      <c r="F1082" s="4"/>
      <c r="G1082">
        <v>1999</v>
      </c>
      <c r="H1082">
        <v>1</v>
      </c>
      <c r="I1082">
        <v>24</v>
      </c>
      <c r="J1082" t="s">
        <v>116</v>
      </c>
      <c r="K1082">
        <v>255.83</v>
      </c>
      <c r="L1082">
        <v>2</v>
      </c>
      <c r="M1082">
        <v>511.66</v>
      </c>
      <c r="N1082" t="s">
        <v>19</v>
      </c>
      <c r="O1082" t="s">
        <v>37</v>
      </c>
      <c r="P1082" t="s">
        <v>33</v>
      </c>
    </row>
    <row r="1083" spans="1:16" x14ac:dyDescent="0.25">
      <c r="A1083" t="s">
        <v>1662</v>
      </c>
      <c r="B1083" s="1">
        <v>45868</v>
      </c>
      <c r="C1083" s="2">
        <v>0.82013888888888886</v>
      </c>
      <c r="D1083" t="s">
        <v>16</v>
      </c>
      <c r="E1083" t="s">
        <v>528</v>
      </c>
      <c r="F1083" s="4"/>
      <c r="G1083">
        <v>1985</v>
      </c>
      <c r="H1083">
        <v>8</v>
      </c>
      <c r="I1083">
        <v>14</v>
      </c>
      <c r="J1083" t="s">
        <v>116</v>
      </c>
      <c r="K1083" t="s">
        <v>1663</v>
      </c>
      <c r="L1083">
        <v>2</v>
      </c>
      <c r="M1083" t="s">
        <v>1664</v>
      </c>
      <c r="N1083" t="s">
        <v>31</v>
      </c>
      <c r="O1083" t="s">
        <v>89</v>
      </c>
      <c r="P1083" t="s">
        <v>105</v>
      </c>
    </row>
    <row r="1084" spans="1:16" x14ac:dyDescent="0.25">
      <c r="A1084" t="s">
        <v>1665</v>
      </c>
      <c r="B1084" t="s">
        <v>1666</v>
      </c>
      <c r="C1084" s="2">
        <v>0.75902777777777775</v>
      </c>
      <c r="D1084" t="s">
        <v>16</v>
      </c>
      <c r="E1084" t="s">
        <v>225</v>
      </c>
      <c r="J1084" t="s">
        <v>110</v>
      </c>
      <c r="K1084">
        <v>115.88</v>
      </c>
      <c r="L1084">
        <v>1</v>
      </c>
      <c r="M1084">
        <v>115.88</v>
      </c>
      <c r="N1084" t="s">
        <v>41</v>
      </c>
      <c r="O1084" t="s">
        <v>61</v>
      </c>
      <c r="P1084" t="s">
        <v>27</v>
      </c>
    </row>
    <row r="1085" spans="1:16" x14ac:dyDescent="0.25">
      <c r="A1085" t="s">
        <v>1667</v>
      </c>
      <c r="B1085" s="4">
        <v>45880</v>
      </c>
      <c r="C1085" s="3">
        <v>0.54716435185185186</v>
      </c>
      <c r="D1085" t="s">
        <v>16</v>
      </c>
      <c r="E1085" t="s">
        <v>237</v>
      </c>
      <c r="G1085">
        <v>1994</v>
      </c>
      <c r="H1085">
        <v>5</v>
      </c>
      <c r="I1085">
        <v>8</v>
      </c>
      <c r="J1085" t="s">
        <v>110</v>
      </c>
      <c r="K1085">
        <v>139.69</v>
      </c>
      <c r="L1085">
        <v>1</v>
      </c>
      <c r="M1085">
        <v>139.69</v>
      </c>
      <c r="N1085" t="s">
        <v>54</v>
      </c>
      <c r="O1085" t="s">
        <v>61</v>
      </c>
      <c r="P1085" t="s">
        <v>56</v>
      </c>
    </row>
    <row r="1086" spans="1:16" x14ac:dyDescent="0.25">
      <c r="A1086" t="s">
        <v>1668</v>
      </c>
      <c r="C1086" s="5">
        <v>0.91111111111111109</v>
      </c>
      <c r="D1086" t="s">
        <v>16</v>
      </c>
      <c r="E1086" t="s">
        <v>107</v>
      </c>
      <c r="F1086" s="1"/>
      <c r="G1086">
        <v>1993</v>
      </c>
      <c r="H1086">
        <v>3</v>
      </c>
      <c r="I1086">
        <v>7</v>
      </c>
      <c r="J1086" t="s">
        <v>53</v>
      </c>
      <c r="K1086" t="s">
        <v>1669</v>
      </c>
      <c r="L1086">
        <v>1</v>
      </c>
      <c r="M1086">
        <v>89.81</v>
      </c>
      <c r="N1086" t="s">
        <v>64</v>
      </c>
      <c r="O1086" t="s">
        <v>89</v>
      </c>
      <c r="P1086" t="s">
        <v>105</v>
      </c>
    </row>
    <row r="1087" spans="1:16" x14ac:dyDescent="0.25">
      <c r="A1087" t="s">
        <v>1670</v>
      </c>
      <c r="C1087" s="5">
        <v>0.82013888888888886</v>
      </c>
      <c r="D1087" t="s">
        <v>16</v>
      </c>
      <c r="E1087" t="s">
        <v>173</v>
      </c>
      <c r="G1087">
        <v>1981</v>
      </c>
      <c r="H1087">
        <v>11</v>
      </c>
      <c r="I1087">
        <v>15</v>
      </c>
      <c r="J1087" t="s">
        <v>30</v>
      </c>
      <c r="L1087">
        <v>3</v>
      </c>
      <c r="N1087" t="s">
        <v>41</v>
      </c>
      <c r="O1087" t="s">
        <v>55</v>
      </c>
      <c r="P1087" t="s">
        <v>74</v>
      </c>
    </row>
    <row r="1088" spans="1:16" x14ac:dyDescent="0.25">
      <c r="A1088" t="s">
        <v>1671</v>
      </c>
      <c r="B1088" s="4">
        <v>45881</v>
      </c>
      <c r="C1088" s="5">
        <v>0.60624999999999996</v>
      </c>
      <c r="D1088" t="s">
        <v>16</v>
      </c>
      <c r="E1088" t="s">
        <v>258</v>
      </c>
      <c r="F1088" s="1"/>
      <c r="G1088">
        <v>1973</v>
      </c>
      <c r="H1088">
        <v>6</v>
      </c>
      <c r="I1088">
        <v>10</v>
      </c>
      <c r="J1088" t="s">
        <v>85</v>
      </c>
      <c r="K1088">
        <v>45.71</v>
      </c>
      <c r="L1088">
        <v>2</v>
      </c>
      <c r="M1088">
        <v>91.42</v>
      </c>
      <c r="N1088" t="s">
        <v>19</v>
      </c>
      <c r="O1088" t="s">
        <v>32</v>
      </c>
      <c r="P1088" t="s">
        <v>21</v>
      </c>
    </row>
    <row r="1089" spans="1:16" x14ac:dyDescent="0.25">
      <c r="A1089" t="s">
        <v>1672</v>
      </c>
      <c r="B1089" s="4">
        <v>45891</v>
      </c>
      <c r="C1089" s="2">
        <v>0.98819444444444449</v>
      </c>
      <c r="D1089" t="s">
        <v>16</v>
      </c>
      <c r="E1089" t="s">
        <v>328</v>
      </c>
      <c r="F1089" s="1"/>
      <c r="G1089">
        <v>2007</v>
      </c>
      <c r="H1089">
        <v>6</v>
      </c>
      <c r="I1089">
        <v>28</v>
      </c>
      <c r="J1089" t="s">
        <v>36</v>
      </c>
      <c r="K1089">
        <v>296.01</v>
      </c>
      <c r="L1089">
        <v>3</v>
      </c>
      <c r="M1089">
        <v>888.03</v>
      </c>
      <c r="N1089" t="s">
        <v>64</v>
      </c>
      <c r="O1089" t="s">
        <v>89</v>
      </c>
      <c r="P1089" t="s">
        <v>48</v>
      </c>
    </row>
    <row r="1090" spans="1:16" x14ac:dyDescent="0.25">
      <c r="A1090" t="s">
        <v>1673</v>
      </c>
      <c r="B1090" s="4">
        <v>45873</v>
      </c>
      <c r="C1090" s="5">
        <v>0.86875000000000002</v>
      </c>
      <c r="D1090" t="s">
        <v>16</v>
      </c>
      <c r="E1090" t="s">
        <v>76</v>
      </c>
      <c r="G1090">
        <v>1977</v>
      </c>
      <c r="H1090">
        <v>12</v>
      </c>
      <c r="I1090">
        <v>28</v>
      </c>
      <c r="J1090" t="s">
        <v>73</v>
      </c>
      <c r="K1090" t="s">
        <v>1674</v>
      </c>
      <c r="L1090">
        <v>2</v>
      </c>
      <c r="M1090">
        <v>100.48</v>
      </c>
      <c r="N1090" t="s">
        <v>64</v>
      </c>
      <c r="O1090" t="s">
        <v>47</v>
      </c>
      <c r="P1090" t="s">
        <v>56</v>
      </c>
    </row>
    <row r="1091" spans="1:16" x14ac:dyDescent="0.25">
      <c r="A1091" t="s">
        <v>1675</v>
      </c>
      <c r="B1091" s="4">
        <v>45787</v>
      </c>
      <c r="C1091" s="2">
        <v>0.9604166666666667</v>
      </c>
      <c r="D1091" t="s">
        <v>16</v>
      </c>
      <c r="E1091" t="s">
        <v>35</v>
      </c>
      <c r="F1091" s="4"/>
      <c r="G1091">
        <v>1989</v>
      </c>
      <c r="H1091">
        <v>8</v>
      </c>
      <c r="I1091">
        <v>25</v>
      </c>
      <c r="J1091" t="s">
        <v>40</v>
      </c>
      <c r="K1091">
        <v>177.13</v>
      </c>
      <c r="L1091">
        <v>1</v>
      </c>
      <c r="M1091">
        <v>177.13</v>
      </c>
      <c r="N1091" t="s">
        <v>54</v>
      </c>
      <c r="O1091" t="s">
        <v>55</v>
      </c>
    </row>
    <row r="1092" spans="1:16" x14ac:dyDescent="0.25">
      <c r="A1092" t="s">
        <v>1676</v>
      </c>
      <c r="B1092" s="1">
        <v>45648</v>
      </c>
      <c r="C1092" s="2">
        <v>0.65138888888888891</v>
      </c>
      <c r="D1092" t="s">
        <v>16</v>
      </c>
      <c r="E1092" t="s">
        <v>118</v>
      </c>
      <c r="G1092">
        <v>1986</v>
      </c>
      <c r="H1092">
        <v>12</v>
      </c>
      <c r="I1092">
        <v>28</v>
      </c>
      <c r="J1092" t="s">
        <v>213</v>
      </c>
      <c r="K1092">
        <v>282.77999999999997</v>
      </c>
      <c r="L1092">
        <v>2</v>
      </c>
      <c r="M1092">
        <v>565.55999999999995</v>
      </c>
      <c r="N1092" t="s">
        <v>54</v>
      </c>
      <c r="O1092" t="s">
        <v>20</v>
      </c>
      <c r="P1092" t="s">
        <v>48</v>
      </c>
    </row>
    <row r="1093" spans="1:16" x14ac:dyDescent="0.25">
      <c r="A1093" t="s">
        <v>1677</v>
      </c>
      <c r="B1093" s="4">
        <v>45680</v>
      </c>
      <c r="C1093" s="3">
        <v>0.71508101851851846</v>
      </c>
      <c r="D1093" t="s">
        <v>16</v>
      </c>
      <c r="E1093" t="s">
        <v>520</v>
      </c>
      <c r="F1093" s="4"/>
      <c r="G1093">
        <v>1988</v>
      </c>
      <c r="H1093">
        <v>6</v>
      </c>
      <c r="I1093">
        <v>4</v>
      </c>
      <c r="J1093" t="s">
        <v>24</v>
      </c>
      <c r="K1093">
        <v>224.59</v>
      </c>
      <c r="L1093">
        <v>2</v>
      </c>
      <c r="M1093">
        <v>449.18</v>
      </c>
      <c r="N1093" t="s">
        <v>19</v>
      </c>
      <c r="O1093" t="s">
        <v>20</v>
      </c>
    </row>
    <row r="1094" spans="1:16" x14ac:dyDescent="0.25">
      <c r="A1094" t="s">
        <v>1678</v>
      </c>
      <c r="B1094" s="1">
        <v>45956</v>
      </c>
      <c r="C1094" s="3">
        <v>0.958125</v>
      </c>
      <c r="D1094" t="s">
        <v>16</v>
      </c>
      <c r="E1094" t="s">
        <v>131</v>
      </c>
      <c r="J1094" t="s">
        <v>213</v>
      </c>
      <c r="K1094" t="s">
        <v>1679</v>
      </c>
      <c r="L1094">
        <v>2</v>
      </c>
      <c r="M1094">
        <v>404.68</v>
      </c>
      <c r="N1094" t="s">
        <v>64</v>
      </c>
      <c r="O1094" t="s">
        <v>32</v>
      </c>
    </row>
    <row r="1095" spans="1:16" x14ac:dyDescent="0.25">
      <c r="A1095" t="s">
        <v>1680</v>
      </c>
      <c r="B1095" s="4">
        <v>45903</v>
      </c>
      <c r="C1095" s="2">
        <v>0.4861111111111111</v>
      </c>
      <c r="D1095" t="s">
        <v>16</v>
      </c>
      <c r="E1095" t="s">
        <v>387</v>
      </c>
      <c r="F1095" s="1"/>
      <c r="G1095">
        <v>1994</v>
      </c>
      <c r="H1095">
        <v>1</v>
      </c>
      <c r="I1095">
        <v>25</v>
      </c>
      <c r="J1095" t="s">
        <v>24</v>
      </c>
      <c r="K1095">
        <v>243.97</v>
      </c>
      <c r="L1095">
        <v>1</v>
      </c>
      <c r="M1095">
        <v>240.97</v>
      </c>
      <c r="N1095" t="s">
        <v>67</v>
      </c>
      <c r="O1095" t="s">
        <v>26</v>
      </c>
      <c r="P1095" t="s">
        <v>21</v>
      </c>
    </row>
    <row r="1096" spans="1:16" x14ac:dyDescent="0.25">
      <c r="A1096" t="s">
        <v>1681</v>
      </c>
      <c r="B1096" s="4">
        <v>45672</v>
      </c>
      <c r="C1096" s="3">
        <v>0.50150462962962961</v>
      </c>
      <c r="D1096" t="s">
        <v>16</v>
      </c>
      <c r="E1096" t="s">
        <v>1126</v>
      </c>
      <c r="F1096" s="4"/>
      <c r="G1096">
        <v>1985</v>
      </c>
      <c r="H1096">
        <v>12</v>
      </c>
      <c r="I1096">
        <v>7</v>
      </c>
      <c r="J1096" t="s">
        <v>36</v>
      </c>
      <c r="K1096">
        <v>215.16</v>
      </c>
      <c r="L1096">
        <v>3</v>
      </c>
      <c r="M1096">
        <v>645.48</v>
      </c>
      <c r="N1096" t="s">
        <v>25</v>
      </c>
      <c r="O1096" t="s">
        <v>61</v>
      </c>
    </row>
    <row r="1097" spans="1:16" x14ac:dyDescent="0.25">
      <c r="A1097" t="s">
        <v>1682</v>
      </c>
      <c r="B1097" t="s">
        <v>1683</v>
      </c>
      <c r="C1097" s="3">
        <v>0.93642361111111116</v>
      </c>
      <c r="D1097" t="s">
        <v>16</v>
      </c>
      <c r="E1097" t="s">
        <v>434</v>
      </c>
      <c r="F1097" s="1"/>
      <c r="G1097">
        <v>1970</v>
      </c>
      <c r="H1097">
        <v>9</v>
      </c>
      <c r="I1097">
        <v>8</v>
      </c>
      <c r="J1097" t="s">
        <v>73</v>
      </c>
      <c r="K1097">
        <v>41.84</v>
      </c>
      <c r="L1097">
        <v>3</v>
      </c>
      <c r="M1097">
        <v>125.52</v>
      </c>
      <c r="N1097" t="s">
        <v>41</v>
      </c>
      <c r="O1097" t="s">
        <v>61</v>
      </c>
      <c r="P1097" t="s">
        <v>74</v>
      </c>
    </row>
    <row r="1098" spans="1:16" x14ac:dyDescent="0.25">
      <c r="A1098" t="s">
        <v>1684</v>
      </c>
      <c r="B1098" s="1">
        <v>45825</v>
      </c>
      <c r="C1098" s="2">
        <v>0.75347222222222221</v>
      </c>
      <c r="D1098" t="s">
        <v>16</v>
      </c>
      <c r="E1098" t="s">
        <v>189</v>
      </c>
      <c r="G1098">
        <v>1987</v>
      </c>
      <c r="H1098">
        <v>10</v>
      </c>
      <c r="I1098">
        <v>19</v>
      </c>
      <c r="J1098" t="s">
        <v>53</v>
      </c>
      <c r="K1098">
        <v>117.7</v>
      </c>
      <c r="L1098">
        <v>2</v>
      </c>
      <c r="M1098">
        <v>235.4</v>
      </c>
      <c r="N1098" t="s">
        <v>67</v>
      </c>
      <c r="O1098" t="s">
        <v>89</v>
      </c>
      <c r="P1098" t="s">
        <v>105</v>
      </c>
    </row>
    <row r="1099" spans="1:16" x14ac:dyDescent="0.25">
      <c r="A1099" t="s">
        <v>1685</v>
      </c>
      <c r="B1099" s="4">
        <v>45695</v>
      </c>
      <c r="C1099" s="3">
        <v>0.98305555555555557</v>
      </c>
      <c r="D1099" t="s">
        <v>16</v>
      </c>
      <c r="E1099" t="s">
        <v>118</v>
      </c>
      <c r="F1099" s="4"/>
      <c r="G1099">
        <v>2003</v>
      </c>
      <c r="H1099">
        <v>2</v>
      </c>
      <c r="I1099">
        <v>4</v>
      </c>
      <c r="J1099" t="s">
        <v>18</v>
      </c>
      <c r="K1099">
        <v>98.6</v>
      </c>
      <c r="L1099">
        <v>1</v>
      </c>
      <c r="M1099">
        <v>98.6</v>
      </c>
      <c r="O1099" t="s">
        <v>89</v>
      </c>
      <c r="P1099" t="s">
        <v>105</v>
      </c>
    </row>
    <row r="1100" spans="1:16" x14ac:dyDescent="0.25">
      <c r="A1100" t="s">
        <v>1686</v>
      </c>
      <c r="B1100" s="4">
        <v>45815</v>
      </c>
      <c r="C1100" s="3">
        <v>0.56418981481481478</v>
      </c>
      <c r="D1100" t="s">
        <v>16</v>
      </c>
      <c r="E1100" t="s">
        <v>158</v>
      </c>
      <c r="G1100">
        <v>1985</v>
      </c>
      <c r="H1100">
        <v>1</v>
      </c>
      <c r="I1100">
        <v>9</v>
      </c>
      <c r="J1100" t="s">
        <v>36</v>
      </c>
      <c r="K1100">
        <v>101.22</v>
      </c>
      <c r="L1100">
        <v>2</v>
      </c>
      <c r="M1100" t="s">
        <v>1687</v>
      </c>
      <c r="N1100" t="s">
        <v>64</v>
      </c>
      <c r="O1100" t="s">
        <v>32</v>
      </c>
      <c r="P1100" t="s">
        <v>21</v>
      </c>
    </row>
    <row r="1101" spans="1:16" x14ac:dyDescent="0.25">
      <c r="A1101" t="s">
        <v>1688</v>
      </c>
      <c r="B1101" t="s">
        <v>1689</v>
      </c>
      <c r="C1101" s="2">
        <v>0.8520833333333333</v>
      </c>
      <c r="D1101" t="s">
        <v>16</v>
      </c>
      <c r="E1101" t="s">
        <v>118</v>
      </c>
      <c r="F1101" s="4"/>
      <c r="G1101">
        <v>1984</v>
      </c>
      <c r="H1101">
        <v>3</v>
      </c>
      <c r="I1101">
        <v>15</v>
      </c>
      <c r="J1101" t="s">
        <v>110</v>
      </c>
      <c r="K1101">
        <v>129.97999999999999</v>
      </c>
      <c r="L1101">
        <v>2</v>
      </c>
      <c r="M1101">
        <v>259.95999999999998</v>
      </c>
      <c r="N1101" t="s">
        <v>41</v>
      </c>
      <c r="O1101" t="s">
        <v>55</v>
      </c>
      <c r="P1101" t="s">
        <v>33</v>
      </c>
    </row>
    <row r="1102" spans="1:16" x14ac:dyDescent="0.25">
      <c r="A1102" t="s">
        <v>1690</v>
      </c>
      <c r="B1102" s="4">
        <v>45783</v>
      </c>
      <c r="C1102" s="2">
        <v>0.81458333333333333</v>
      </c>
      <c r="D1102" t="s">
        <v>16</v>
      </c>
      <c r="E1102" t="s">
        <v>346</v>
      </c>
      <c r="F1102" s="4"/>
      <c r="G1102">
        <v>2010</v>
      </c>
      <c r="H1102">
        <v>2</v>
      </c>
      <c r="I1102">
        <v>8</v>
      </c>
      <c r="J1102" t="s">
        <v>202</v>
      </c>
      <c r="K1102">
        <v>237.06</v>
      </c>
      <c r="L1102">
        <v>2</v>
      </c>
      <c r="M1102">
        <v>474.12</v>
      </c>
      <c r="O1102" t="s">
        <v>55</v>
      </c>
      <c r="P1102" t="s">
        <v>48</v>
      </c>
    </row>
    <row r="1103" spans="1:16" x14ac:dyDescent="0.25">
      <c r="A1103" t="s">
        <v>1691</v>
      </c>
      <c r="B1103" s="4">
        <v>45682</v>
      </c>
      <c r="C1103" s="2">
        <v>0.43402777777777779</v>
      </c>
      <c r="D1103" t="s">
        <v>16</v>
      </c>
      <c r="E1103" t="s">
        <v>169</v>
      </c>
      <c r="F1103" s="1"/>
      <c r="G1103">
        <v>2001</v>
      </c>
      <c r="H1103">
        <v>1</v>
      </c>
      <c r="I1103">
        <v>2</v>
      </c>
      <c r="J1103" t="s">
        <v>202</v>
      </c>
      <c r="K1103">
        <v>118.51</v>
      </c>
      <c r="L1103">
        <v>2</v>
      </c>
      <c r="M1103">
        <v>210.02</v>
      </c>
      <c r="N1103" t="s">
        <v>31</v>
      </c>
      <c r="O1103" t="s">
        <v>26</v>
      </c>
      <c r="P1103" t="s">
        <v>21</v>
      </c>
    </row>
    <row r="1104" spans="1:16" x14ac:dyDescent="0.25">
      <c r="A1104" t="s">
        <v>1692</v>
      </c>
      <c r="B1104" s="4">
        <v>45765</v>
      </c>
      <c r="C1104" s="5">
        <v>0.42986111111111114</v>
      </c>
      <c r="D1104" t="s">
        <v>16</v>
      </c>
      <c r="E1104" t="s">
        <v>1427</v>
      </c>
      <c r="F1104" s="4"/>
      <c r="G1104">
        <v>1993</v>
      </c>
      <c r="H1104">
        <v>2</v>
      </c>
      <c r="I1104">
        <v>8</v>
      </c>
      <c r="J1104" t="s">
        <v>104</v>
      </c>
      <c r="K1104">
        <v>264.17</v>
      </c>
      <c r="L1104">
        <v>2</v>
      </c>
      <c r="M1104">
        <v>528.34</v>
      </c>
      <c r="N1104" t="s">
        <v>54</v>
      </c>
      <c r="O1104" t="s">
        <v>89</v>
      </c>
      <c r="P1104" t="s">
        <v>33</v>
      </c>
    </row>
    <row r="1105" spans="1:16" x14ac:dyDescent="0.25">
      <c r="A1105" t="s">
        <v>1693</v>
      </c>
      <c r="B1105" t="s">
        <v>1694</v>
      </c>
      <c r="C1105" s="5">
        <v>0.59375</v>
      </c>
      <c r="D1105" t="s">
        <v>16</v>
      </c>
      <c r="E1105" t="s">
        <v>328</v>
      </c>
      <c r="F1105" s="4"/>
      <c r="G1105">
        <v>1972</v>
      </c>
      <c r="H1105">
        <v>3</v>
      </c>
      <c r="I1105">
        <v>8</v>
      </c>
      <c r="J1105" t="s">
        <v>73</v>
      </c>
      <c r="K1105">
        <v>51.26</v>
      </c>
      <c r="L1105">
        <v>1</v>
      </c>
      <c r="M1105">
        <v>51.26</v>
      </c>
      <c r="N1105" t="s">
        <v>54</v>
      </c>
      <c r="O1105" t="s">
        <v>37</v>
      </c>
    </row>
    <row r="1106" spans="1:16" x14ac:dyDescent="0.25">
      <c r="A1106" t="s">
        <v>1695</v>
      </c>
      <c r="B1106" s="4">
        <v>45777</v>
      </c>
      <c r="C1106" s="2">
        <v>0.6645833333333333</v>
      </c>
      <c r="D1106" t="s">
        <v>16</v>
      </c>
      <c r="E1106" t="s">
        <v>191</v>
      </c>
      <c r="F1106" s="4"/>
      <c r="G1106">
        <v>1970</v>
      </c>
      <c r="H1106">
        <v>6</v>
      </c>
      <c r="I1106">
        <v>15</v>
      </c>
      <c r="J1106" t="s">
        <v>53</v>
      </c>
      <c r="K1106">
        <v>101.41</v>
      </c>
      <c r="L1106">
        <v>1</v>
      </c>
      <c r="M1106">
        <v>101.41</v>
      </c>
      <c r="N1106" t="s">
        <v>54</v>
      </c>
      <c r="O1106" t="s">
        <v>32</v>
      </c>
      <c r="P1106" t="s">
        <v>48</v>
      </c>
    </row>
    <row r="1107" spans="1:16" x14ac:dyDescent="0.25">
      <c r="A1107" t="s">
        <v>1696</v>
      </c>
      <c r="B1107" s="1">
        <v>45888</v>
      </c>
      <c r="C1107" s="3">
        <v>0.49716435185185187</v>
      </c>
      <c r="D1107" t="s">
        <v>16</v>
      </c>
      <c r="E1107" t="s">
        <v>451</v>
      </c>
      <c r="G1107">
        <v>2007</v>
      </c>
      <c r="H1107">
        <v>5</v>
      </c>
      <c r="I1107">
        <v>7</v>
      </c>
      <c r="J1107" t="s">
        <v>178</v>
      </c>
      <c r="K1107">
        <v>274.49</v>
      </c>
      <c r="L1107">
        <v>3</v>
      </c>
      <c r="M1107">
        <v>865.47</v>
      </c>
      <c r="N1107" t="s">
        <v>19</v>
      </c>
      <c r="O1107" t="s">
        <v>26</v>
      </c>
      <c r="P1107" t="s">
        <v>56</v>
      </c>
    </row>
    <row r="1108" spans="1:16" x14ac:dyDescent="0.25">
      <c r="A1108" t="s">
        <v>1697</v>
      </c>
      <c r="B1108" s="4">
        <v>45980</v>
      </c>
      <c r="C1108" s="5">
        <v>0.93055555555555558</v>
      </c>
      <c r="D1108" t="s">
        <v>16</v>
      </c>
      <c r="E1108" t="s">
        <v>198</v>
      </c>
      <c r="J1108" t="s">
        <v>116</v>
      </c>
      <c r="K1108">
        <v>218.64</v>
      </c>
      <c r="L1108">
        <v>2</v>
      </c>
      <c r="M1108">
        <v>437.28</v>
      </c>
      <c r="N1108" t="s">
        <v>25</v>
      </c>
      <c r="O1108" t="s">
        <v>47</v>
      </c>
    </row>
    <row r="1109" spans="1:16" x14ac:dyDescent="0.25">
      <c r="A1109" t="s">
        <v>1698</v>
      </c>
      <c r="B1109" s="4">
        <v>45846</v>
      </c>
      <c r="C1109" s="5">
        <v>0.49305555555555558</v>
      </c>
      <c r="D1109" t="s">
        <v>16</v>
      </c>
      <c r="E1109" t="s">
        <v>76</v>
      </c>
      <c r="F1109" s="4"/>
      <c r="G1109">
        <v>1981</v>
      </c>
      <c r="H1109">
        <v>6</v>
      </c>
      <c r="I1109">
        <v>23</v>
      </c>
      <c r="J1109" t="s">
        <v>30</v>
      </c>
      <c r="K1109">
        <v>312.85000000000002</v>
      </c>
      <c r="L1109">
        <v>2</v>
      </c>
      <c r="M1109">
        <v>625.70000000000005</v>
      </c>
      <c r="O1109" t="s">
        <v>32</v>
      </c>
      <c r="P1109" t="s">
        <v>105</v>
      </c>
    </row>
    <row r="1110" spans="1:16" x14ac:dyDescent="0.25">
      <c r="A1110" t="s">
        <v>1699</v>
      </c>
      <c r="B1110" t="s">
        <v>970</v>
      </c>
      <c r="C1110" s="2">
        <v>0.88541666666666663</v>
      </c>
      <c r="D1110" t="s">
        <v>16</v>
      </c>
      <c r="E1110" t="s">
        <v>855</v>
      </c>
      <c r="F1110" s="4"/>
      <c r="G1110">
        <v>1973</v>
      </c>
      <c r="H1110">
        <v>11</v>
      </c>
      <c r="I1110">
        <v>12</v>
      </c>
      <c r="J1110" t="s">
        <v>18</v>
      </c>
      <c r="K1110">
        <v>100.7</v>
      </c>
      <c r="L1110">
        <v>3</v>
      </c>
      <c r="M1110">
        <v>302.10000000000002</v>
      </c>
      <c r="N1110" t="s">
        <v>25</v>
      </c>
      <c r="O1110" t="s">
        <v>55</v>
      </c>
      <c r="P1110" t="s">
        <v>74</v>
      </c>
    </row>
    <row r="1111" spans="1:16" x14ac:dyDescent="0.25">
      <c r="A1111" t="s">
        <v>1700</v>
      </c>
      <c r="B1111" s="1">
        <v>45796</v>
      </c>
      <c r="C1111" s="5">
        <v>0.97361111111111109</v>
      </c>
      <c r="D1111" t="s">
        <v>16</v>
      </c>
      <c r="E1111" t="s">
        <v>151</v>
      </c>
      <c r="F1111" s="4"/>
      <c r="G1111">
        <v>1993</v>
      </c>
      <c r="H1111">
        <v>8</v>
      </c>
      <c r="I1111">
        <v>1</v>
      </c>
      <c r="J1111" t="s">
        <v>60</v>
      </c>
      <c r="K1111">
        <v>186.32</v>
      </c>
      <c r="L1111">
        <v>1</v>
      </c>
      <c r="M1111">
        <v>186.32</v>
      </c>
      <c r="N1111" t="s">
        <v>41</v>
      </c>
      <c r="O1111" t="s">
        <v>20</v>
      </c>
      <c r="P1111" t="s">
        <v>105</v>
      </c>
    </row>
    <row r="1112" spans="1:16" x14ac:dyDescent="0.25">
      <c r="A1112" t="s">
        <v>1701</v>
      </c>
      <c r="B1112" t="s">
        <v>1702</v>
      </c>
      <c r="C1112" s="5">
        <v>0.94930555555555551</v>
      </c>
      <c r="D1112" t="s">
        <v>16</v>
      </c>
      <c r="E1112" t="s">
        <v>17</v>
      </c>
      <c r="J1112" t="s">
        <v>77</v>
      </c>
      <c r="K1112">
        <v>164.36</v>
      </c>
      <c r="L1112">
        <v>3</v>
      </c>
      <c r="M1112">
        <v>502.08</v>
      </c>
      <c r="N1112" t="s">
        <v>67</v>
      </c>
      <c r="O1112" t="s">
        <v>37</v>
      </c>
    </row>
    <row r="1113" spans="1:16" x14ac:dyDescent="0.25">
      <c r="A1113" t="s">
        <v>1703</v>
      </c>
      <c r="B1113" s="4">
        <v>45970</v>
      </c>
      <c r="C1113" s="2">
        <v>0.75069444444444444</v>
      </c>
      <c r="D1113" t="s">
        <v>16</v>
      </c>
      <c r="E1113" t="s">
        <v>256</v>
      </c>
      <c r="F1113" s="4"/>
      <c r="G1113">
        <v>2001</v>
      </c>
      <c r="H1113">
        <v>1</v>
      </c>
      <c r="I1113">
        <v>3</v>
      </c>
      <c r="J1113" t="s">
        <v>104</v>
      </c>
      <c r="K1113">
        <v>228.62</v>
      </c>
      <c r="L1113">
        <v>2</v>
      </c>
      <c r="M1113">
        <v>457.24</v>
      </c>
      <c r="N1113" t="s">
        <v>64</v>
      </c>
      <c r="O1113" t="s">
        <v>20</v>
      </c>
      <c r="P1113" t="s">
        <v>21</v>
      </c>
    </row>
    <row r="1114" spans="1:16" x14ac:dyDescent="0.25">
      <c r="A1114" t="s">
        <v>1704</v>
      </c>
      <c r="B1114" s="4">
        <v>45920</v>
      </c>
      <c r="C1114" s="5">
        <v>0.43194444444444446</v>
      </c>
      <c r="D1114" t="s">
        <v>16</v>
      </c>
      <c r="E1114" t="s">
        <v>411</v>
      </c>
      <c r="F1114" s="4"/>
      <c r="G1114">
        <v>2006</v>
      </c>
      <c r="H1114">
        <v>12</v>
      </c>
      <c r="I1114">
        <v>22</v>
      </c>
      <c r="J1114" t="s">
        <v>40</v>
      </c>
      <c r="K1114">
        <v>156.82</v>
      </c>
      <c r="L1114">
        <v>2</v>
      </c>
      <c r="M1114">
        <v>313.64</v>
      </c>
      <c r="N1114" t="s">
        <v>41</v>
      </c>
      <c r="O1114" t="s">
        <v>26</v>
      </c>
    </row>
    <row r="1115" spans="1:16" x14ac:dyDescent="0.25">
      <c r="A1115" t="s">
        <v>1705</v>
      </c>
      <c r="B1115" t="s">
        <v>1655</v>
      </c>
      <c r="C1115" s="2">
        <v>0.60486111111111107</v>
      </c>
      <c r="D1115" t="s">
        <v>16</v>
      </c>
      <c r="E1115" t="s">
        <v>411</v>
      </c>
      <c r="G1115">
        <v>2009</v>
      </c>
      <c r="H1115">
        <v>11</v>
      </c>
      <c r="I1115">
        <v>22</v>
      </c>
      <c r="J1115" t="s">
        <v>53</v>
      </c>
      <c r="K1115">
        <v>108.2</v>
      </c>
      <c r="L1115">
        <v>1</v>
      </c>
      <c r="M1115">
        <v>106.2</v>
      </c>
      <c r="N1115" t="s">
        <v>31</v>
      </c>
      <c r="O1115" t="s">
        <v>26</v>
      </c>
      <c r="P1115" t="s">
        <v>27</v>
      </c>
    </row>
    <row r="1116" spans="1:16" x14ac:dyDescent="0.25">
      <c r="A1116" t="s">
        <v>1706</v>
      </c>
      <c r="B1116" s="4">
        <v>45812</v>
      </c>
      <c r="C1116" s="3">
        <v>0.79555555555555557</v>
      </c>
      <c r="D1116" t="s">
        <v>16</v>
      </c>
      <c r="E1116" t="s">
        <v>360</v>
      </c>
      <c r="G1116">
        <v>1972</v>
      </c>
      <c r="H1116">
        <v>4</v>
      </c>
      <c r="I1116">
        <v>21</v>
      </c>
      <c r="J1116" t="s">
        <v>202</v>
      </c>
      <c r="K1116">
        <v>267.99</v>
      </c>
      <c r="L1116">
        <v>1</v>
      </c>
      <c r="M1116">
        <v>267.99</v>
      </c>
      <c r="N1116" t="s">
        <v>41</v>
      </c>
      <c r="O1116" t="s">
        <v>89</v>
      </c>
    </row>
    <row r="1117" spans="1:16" x14ac:dyDescent="0.25">
      <c r="A1117" t="s">
        <v>1707</v>
      </c>
      <c r="B1117" s="4">
        <v>45868</v>
      </c>
      <c r="C1117" s="5">
        <v>0.46597222222222223</v>
      </c>
      <c r="D1117" t="s">
        <v>16</v>
      </c>
      <c r="E1117" t="s">
        <v>107</v>
      </c>
      <c r="F1117" s="4"/>
      <c r="G1117">
        <v>1988</v>
      </c>
      <c r="H1117">
        <v>12</v>
      </c>
      <c r="I1117">
        <v>12</v>
      </c>
      <c r="J1117" t="s">
        <v>60</v>
      </c>
      <c r="K1117">
        <v>225.92</v>
      </c>
      <c r="L1117">
        <v>2</v>
      </c>
      <c r="M1117">
        <v>451.84</v>
      </c>
      <c r="O1117" t="s">
        <v>32</v>
      </c>
      <c r="P1117" t="s">
        <v>105</v>
      </c>
    </row>
    <row r="1118" spans="1:16" x14ac:dyDescent="0.25">
      <c r="A1118" t="s">
        <v>1708</v>
      </c>
      <c r="B1118" t="s">
        <v>1709</v>
      </c>
      <c r="C1118" s="2">
        <v>0.90416666666666667</v>
      </c>
      <c r="D1118" t="s">
        <v>16</v>
      </c>
      <c r="E1118" t="s">
        <v>387</v>
      </c>
      <c r="F1118" s="4"/>
      <c r="G1118">
        <v>1974</v>
      </c>
      <c r="H1118">
        <v>3</v>
      </c>
      <c r="I1118">
        <v>22</v>
      </c>
      <c r="J1118" t="s">
        <v>164</v>
      </c>
      <c r="K1118">
        <v>323.69</v>
      </c>
      <c r="L1118">
        <v>2</v>
      </c>
      <c r="M1118">
        <v>647.38</v>
      </c>
      <c r="N1118" t="s">
        <v>67</v>
      </c>
      <c r="O1118" t="s">
        <v>20</v>
      </c>
      <c r="P1118" t="s">
        <v>56</v>
      </c>
    </row>
    <row r="1119" spans="1:16" x14ac:dyDescent="0.25">
      <c r="A1119" t="s">
        <v>1710</v>
      </c>
      <c r="B1119" t="s">
        <v>1711</v>
      </c>
      <c r="C1119" s="3">
        <v>0.53934027777777782</v>
      </c>
      <c r="D1119" t="s">
        <v>16</v>
      </c>
      <c r="E1119" t="s">
        <v>628</v>
      </c>
      <c r="G1119">
        <v>1994</v>
      </c>
      <c r="H1119">
        <v>8</v>
      </c>
      <c r="I1119">
        <v>1</v>
      </c>
      <c r="J1119" t="s">
        <v>18</v>
      </c>
      <c r="K1119">
        <v>102.96</v>
      </c>
      <c r="L1119">
        <v>2</v>
      </c>
      <c r="M1119">
        <v>205.92</v>
      </c>
      <c r="O1119" t="s">
        <v>89</v>
      </c>
      <c r="P1119" t="s">
        <v>33</v>
      </c>
    </row>
    <row r="1120" spans="1:16" x14ac:dyDescent="0.25">
      <c r="A1120" t="s">
        <v>1712</v>
      </c>
      <c r="B1120" s="4">
        <v>45795</v>
      </c>
      <c r="C1120" s="5">
        <v>0.49861111111111112</v>
      </c>
      <c r="D1120" t="s">
        <v>16</v>
      </c>
      <c r="E1120" t="s">
        <v>23</v>
      </c>
      <c r="F1120" s="4"/>
      <c r="G1120">
        <v>2009</v>
      </c>
      <c r="H1120">
        <v>7</v>
      </c>
      <c r="I1120">
        <v>20</v>
      </c>
      <c r="J1120" t="s">
        <v>40</v>
      </c>
      <c r="K1120">
        <v>191.11</v>
      </c>
      <c r="L1120">
        <v>2</v>
      </c>
      <c r="M1120">
        <v>382.22</v>
      </c>
      <c r="N1120" t="s">
        <v>67</v>
      </c>
      <c r="O1120" t="s">
        <v>89</v>
      </c>
    </row>
    <row r="1121" spans="1:16" x14ac:dyDescent="0.25">
      <c r="A1121" t="s">
        <v>1713</v>
      </c>
      <c r="B1121" s="4">
        <v>45806</v>
      </c>
      <c r="C1121" s="3">
        <v>0.99543981481481481</v>
      </c>
      <c r="D1121" t="s">
        <v>16</v>
      </c>
      <c r="E1121" t="s">
        <v>128</v>
      </c>
      <c r="F1121" s="4"/>
      <c r="G1121">
        <v>1991</v>
      </c>
      <c r="H1121">
        <v>6</v>
      </c>
      <c r="I1121">
        <v>10</v>
      </c>
      <c r="J1121" t="s">
        <v>129</v>
      </c>
      <c r="K1121">
        <v>200.72</v>
      </c>
      <c r="L1121">
        <v>2</v>
      </c>
      <c r="M1121">
        <v>401.44</v>
      </c>
      <c r="O1121" t="s">
        <v>47</v>
      </c>
      <c r="P1121" t="s">
        <v>48</v>
      </c>
    </row>
    <row r="1122" spans="1:16" x14ac:dyDescent="0.25">
      <c r="A1122" t="s">
        <v>1714</v>
      </c>
      <c r="B1122" t="s">
        <v>593</v>
      </c>
      <c r="C1122" s="2">
        <v>0.45694444444444443</v>
      </c>
      <c r="D1122" t="s">
        <v>16</v>
      </c>
      <c r="E1122" t="s">
        <v>173</v>
      </c>
      <c r="F1122" s="4"/>
      <c r="G1122">
        <v>1973</v>
      </c>
      <c r="H1122">
        <v>7</v>
      </c>
      <c r="I1122">
        <v>2</v>
      </c>
      <c r="J1122" t="s">
        <v>24</v>
      </c>
      <c r="K1122">
        <v>235.36</v>
      </c>
      <c r="L1122">
        <v>1</v>
      </c>
      <c r="M1122" t="s">
        <v>1715</v>
      </c>
      <c r="N1122" t="s">
        <v>41</v>
      </c>
      <c r="O1122" t="s">
        <v>37</v>
      </c>
      <c r="P1122" t="s">
        <v>48</v>
      </c>
    </row>
    <row r="1123" spans="1:16" x14ac:dyDescent="0.25">
      <c r="A1123" t="s">
        <v>1716</v>
      </c>
      <c r="B1123" s="1">
        <v>45941</v>
      </c>
      <c r="C1123" s="2">
        <v>0.6694444444444444</v>
      </c>
      <c r="D1123" t="s">
        <v>16</v>
      </c>
      <c r="E1123" t="s">
        <v>334</v>
      </c>
      <c r="F1123" s="4"/>
      <c r="G1123">
        <v>1975</v>
      </c>
      <c r="H1123">
        <v>9</v>
      </c>
      <c r="I1123">
        <v>24</v>
      </c>
      <c r="J1123" t="s">
        <v>73</v>
      </c>
      <c r="K1123">
        <v>-43.84</v>
      </c>
      <c r="L1123">
        <v>3</v>
      </c>
      <c r="M1123">
        <v>-131.52000000000001</v>
      </c>
      <c r="N1123" t="s">
        <v>31</v>
      </c>
      <c r="O1123" t="s">
        <v>32</v>
      </c>
    </row>
    <row r="1124" spans="1:16" x14ac:dyDescent="0.25">
      <c r="A1124" t="s">
        <v>1717</v>
      </c>
      <c r="B1124" s="4">
        <v>45676</v>
      </c>
      <c r="C1124" s="3">
        <v>0.84983796296296299</v>
      </c>
      <c r="D1124" t="s">
        <v>16</v>
      </c>
      <c r="E1124" t="s">
        <v>377</v>
      </c>
      <c r="F1124" s="4"/>
      <c r="G1124">
        <v>1981</v>
      </c>
      <c r="H1124">
        <v>12</v>
      </c>
      <c r="I1124">
        <v>26</v>
      </c>
      <c r="J1124" t="s">
        <v>202</v>
      </c>
      <c r="K1124">
        <v>152.21</v>
      </c>
      <c r="L1124">
        <v>1</v>
      </c>
      <c r="M1124">
        <v>152.21</v>
      </c>
      <c r="N1124" t="s">
        <v>64</v>
      </c>
      <c r="O1124" t="s">
        <v>20</v>
      </c>
      <c r="P1124" t="s">
        <v>33</v>
      </c>
    </row>
    <row r="1125" spans="1:16" x14ac:dyDescent="0.25">
      <c r="A1125" t="s">
        <v>1718</v>
      </c>
      <c r="B1125" s="4">
        <v>45914</v>
      </c>
      <c r="C1125" s="5">
        <v>0.68055555555555558</v>
      </c>
      <c r="D1125" t="s">
        <v>16</v>
      </c>
      <c r="E1125" t="s">
        <v>1719</v>
      </c>
      <c r="G1125">
        <v>1998</v>
      </c>
      <c r="H1125">
        <v>5</v>
      </c>
      <c r="I1125">
        <v>2</v>
      </c>
      <c r="J1125" t="s">
        <v>73</v>
      </c>
      <c r="K1125">
        <v>48.37</v>
      </c>
      <c r="L1125">
        <v>3</v>
      </c>
      <c r="M1125">
        <v>145.11000000000001</v>
      </c>
      <c r="N1125" t="s">
        <v>19</v>
      </c>
      <c r="O1125" t="s">
        <v>47</v>
      </c>
      <c r="P1125" t="s">
        <v>74</v>
      </c>
    </row>
    <row r="1126" spans="1:16" x14ac:dyDescent="0.25">
      <c r="A1126" t="s">
        <v>1720</v>
      </c>
      <c r="B1126" s="1">
        <v>45851</v>
      </c>
      <c r="C1126" s="3">
        <v>0.79650462962962965</v>
      </c>
      <c r="D1126" t="s">
        <v>16</v>
      </c>
      <c r="E1126" t="s">
        <v>299</v>
      </c>
      <c r="F1126" s="4"/>
      <c r="G1126">
        <v>1990</v>
      </c>
      <c r="H1126">
        <v>4</v>
      </c>
      <c r="I1126">
        <v>26</v>
      </c>
      <c r="J1126" t="s">
        <v>30</v>
      </c>
      <c r="K1126">
        <v>214.09</v>
      </c>
      <c r="L1126">
        <v>1</v>
      </c>
      <c r="M1126">
        <v>214.09</v>
      </c>
      <c r="N1126" t="s">
        <v>54</v>
      </c>
      <c r="O1126" t="s">
        <v>37</v>
      </c>
      <c r="P1126" t="s">
        <v>27</v>
      </c>
    </row>
    <row r="1127" spans="1:16" x14ac:dyDescent="0.25">
      <c r="A1127" t="s">
        <v>1721</v>
      </c>
      <c r="B1127" t="s">
        <v>1722</v>
      </c>
      <c r="C1127" s="2">
        <v>0.74513888888888891</v>
      </c>
      <c r="D1127" t="s">
        <v>16</v>
      </c>
      <c r="E1127" t="s">
        <v>692</v>
      </c>
      <c r="F1127" s="1"/>
      <c r="G1127">
        <v>1985</v>
      </c>
      <c r="H1127">
        <v>5</v>
      </c>
      <c r="I1127">
        <v>6</v>
      </c>
      <c r="J1127" t="s">
        <v>53</v>
      </c>
      <c r="K1127">
        <v>82.33</v>
      </c>
      <c r="L1127">
        <v>3</v>
      </c>
      <c r="M1127">
        <v>246.99</v>
      </c>
      <c r="N1127" t="s">
        <v>31</v>
      </c>
      <c r="O1127" t="s">
        <v>20</v>
      </c>
    </row>
    <row r="1128" spans="1:16" x14ac:dyDescent="0.25">
      <c r="A1128" t="s">
        <v>1723</v>
      </c>
      <c r="B1128" t="s">
        <v>1163</v>
      </c>
      <c r="C1128" s="5">
        <v>0.74652777777777779</v>
      </c>
      <c r="D1128" t="s">
        <v>16</v>
      </c>
      <c r="E1128" t="s">
        <v>640</v>
      </c>
      <c r="J1128" t="s">
        <v>30</v>
      </c>
      <c r="K1128">
        <v>287.38</v>
      </c>
      <c r="L1128">
        <v>2</v>
      </c>
      <c r="M1128">
        <v>574.76</v>
      </c>
      <c r="O1128" t="s">
        <v>37</v>
      </c>
      <c r="P1128" t="s">
        <v>56</v>
      </c>
    </row>
    <row r="1129" spans="1:16" x14ac:dyDescent="0.25">
      <c r="A1129" t="s">
        <v>1724</v>
      </c>
      <c r="B1129" s="1">
        <v>45758</v>
      </c>
      <c r="C1129" s="3">
        <v>0.6222685185185185</v>
      </c>
      <c r="D1129" t="s">
        <v>16</v>
      </c>
      <c r="E1129" t="s">
        <v>29</v>
      </c>
      <c r="G1129">
        <v>1981</v>
      </c>
      <c r="H1129">
        <v>8</v>
      </c>
      <c r="I1129">
        <v>28</v>
      </c>
      <c r="J1129" t="s">
        <v>126</v>
      </c>
      <c r="K1129">
        <v>262.54000000000002</v>
      </c>
      <c r="L1129">
        <v>1</v>
      </c>
      <c r="M1129">
        <v>262.54000000000002</v>
      </c>
      <c r="O1129" t="s">
        <v>20</v>
      </c>
    </row>
    <row r="1130" spans="1:16" x14ac:dyDescent="0.25">
      <c r="A1130" t="s">
        <v>1725</v>
      </c>
      <c r="B1130" s="4">
        <v>45627</v>
      </c>
      <c r="C1130" s="5">
        <v>0.59097222222222223</v>
      </c>
      <c r="D1130" t="s">
        <v>16</v>
      </c>
      <c r="E1130" t="s">
        <v>451</v>
      </c>
      <c r="F1130" s="4"/>
      <c r="G1130">
        <v>2003</v>
      </c>
      <c r="H1130">
        <v>10</v>
      </c>
      <c r="I1130">
        <v>20</v>
      </c>
      <c r="J1130" t="s">
        <v>36</v>
      </c>
      <c r="K1130">
        <v>257.33</v>
      </c>
      <c r="L1130">
        <v>0</v>
      </c>
      <c r="M1130">
        <v>0</v>
      </c>
      <c r="N1130" t="s">
        <v>54</v>
      </c>
      <c r="O1130" t="s">
        <v>61</v>
      </c>
    </row>
    <row r="1131" spans="1:16" x14ac:dyDescent="0.25">
      <c r="A1131" t="s">
        <v>1726</v>
      </c>
      <c r="C1131" s="3">
        <v>0.77497685185185183</v>
      </c>
      <c r="D1131" t="s">
        <v>16</v>
      </c>
      <c r="E1131" t="s">
        <v>466</v>
      </c>
      <c r="F1131" s="4"/>
      <c r="G1131">
        <v>1995</v>
      </c>
      <c r="H1131">
        <v>4</v>
      </c>
      <c r="I1131">
        <v>26</v>
      </c>
      <c r="J1131" t="s">
        <v>85</v>
      </c>
      <c r="K1131">
        <v>213.96</v>
      </c>
      <c r="L1131">
        <v>3</v>
      </c>
      <c r="M1131">
        <v>641.88</v>
      </c>
      <c r="N1131" t="s">
        <v>41</v>
      </c>
      <c r="O1131" t="s">
        <v>37</v>
      </c>
      <c r="P1131" t="s">
        <v>56</v>
      </c>
    </row>
    <row r="1132" spans="1:16" x14ac:dyDescent="0.25">
      <c r="A1132" t="s">
        <v>1727</v>
      </c>
      <c r="B1132" s="4">
        <v>45915</v>
      </c>
      <c r="C1132" s="5">
        <v>0.57777777777777772</v>
      </c>
      <c r="D1132" t="s">
        <v>16</v>
      </c>
      <c r="E1132" t="s">
        <v>258</v>
      </c>
      <c r="F1132" s="4"/>
      <c r="G1132">
        <v>1992</v>
      </c>
      <c r="H1132">
        <v>5</v>
      </c>
      <c r="I1132">
        <v>4</v>
      </c>
      <c r="J1132" t="s">
        <v>199</v>
      </c>
      <c r="K1132">
        <v>215.7</v>
      </c>
      <c r="L1132">
        <v>2</v>
      </c>
      <c r="M1132">
        <v>431.4</v>
      </c>
      <c r="N1132" t="s">
        <v>54</v>
      </c>
      <c r="O1132" t="s">
        <v>32</v>
      </c>
      <c r="P1132" t="s">
        <v>105</v>
      </c>
    </row>
    <row r="1133" spans="1:16" x14ac:dyDescent="0.25">
      <c r="A1133" t="s">
        <v>1728</v>
      </c>
      <c r="B1133" s="4">
        <v>45745</v>
      </c>
      <c r="C1133" s="5">
        <v>0.74722222222222223</v>
      </c>
      <c r="D1133" t="s">
        <v>16</v>
      </c>
      <c r="E1133" t="s">
        <v>492</v>
      </c>
      <c r="F1133" s="4"/>
      <c r="G1133">
        <v>2001</v>
      </c>
      <c r="H1133">
        <v>9</v>
      </c>
      <c r="I1133">
        <v>26</v>
      </c>
      <c r="J1133" t="s">
        <v>36</v>
      </c>
      <c r="K1133">
        <v>262.14</v>
      </c>
      <c r="L1133">
        <v>3</v>
      </c>
      <c r="M1133">
        <v>786.42</v>
      </c>
      <c r="N1133" t="s">
        <v>67</v>
      </c>
      <c r="O1133" t="s">
        <v>32</v>
      </c>
      <c r="P1133" t="s">
        <v>48</v>
      </c>
    </row>
    <row r="1134" spans="1:16" x14ac:dyDescent="0.25">
      <c r="A1134" t="s">
        <v>1729</v>
      </c>
      <c r="B1134" s="1">
        <v>45962</v>
      </c>
      <c r="C1134" s="5">
        <v>0.53611111111111109</v>
      </c>
      <c r="D1134" t="s">
        <v>16</v>
      </c>
      <c r="E1134" t="s">
        <v>358</v>
      </c>
      <c r="F1134" s="4"/>
      <c r="G1134">
        <v>1997</v>
      </c>
      <c r="H1134">
        <v>4</v>
      </c>
      <c r="I1134">
        <v>25</v>
      </c>
      <c r="J1134" t="s">
        <v>18</v>
      </c>
      <c r="K1134">
        <v>-111.62</v>
      </c>
      <c r="L1134">
        <v>1</v>
      </c>
      <c r="M1134">
        <v>-106.62</v>
      </c>
      <c r="N1134" t="s">
        <v>64</v>
      </c>
      <c r="O1134" t="s">
        <v>89</v>
      </c>
      <c r="P1134" t="s">
        <v>105</v>
      </c>
    </row>
    <row r="1135" spans="1:16" x14ac:dyDescent="0.25">
      <c r="A1135" t="s">
        <v>1730</v>
      </c>
      <c r="B1135" s="4">
        <v>45630</v>
      </c>
      <c r="C1135" s="5">
        <v>0.78541666666666665</v>
      </c>
      <c r="D1135" t="s">
        <v>16</v>
      </c>
      <c r="E1135" t="s">
        <v>131</v>
      </c>
      <c r="G1135">
        <v>1975</v>
      </c>
      <c r="H1135">
        <v>11</v>
      </c>
      <c r="I1135">
        <v>2</v>
      </c>
      <c r="J1135" t="s">
        <v>199</v>
      </c>
      <c r="K1135">
        <v>210.96</v>
      </c>
      <c r="L1135">
        <v>3</v>
      </c>
      <c r="M1135">
        <v>632.88</v>
      </c>
      <c r="N1135" t="s">
        <v>67</v>
      </c>
      <c r="O1135" t="s">
        <v>37</v>
      </c>
      <c r="P1135" t="s">
        <v>21</v>
      </c>
    </row>
    <row r="1136" spans="1:16" x14ac:dyDescent="0.25">
      <c r="A1136" t="s">
        <v>1731</v>
      </c>
      <c r="B1136" t="s">
        <v>1732</v>
      </c>
      <c r="C1136" s="5">
        <v>0.99861111111111112</v>
      </c>
      <c r="D1136" t="s">
        <v>16</v>
      </c>
      <c r="E1136" t="s">
        <v>39</v>
      </c>
      <c r="F1136" s="4"/>
      <c r="G1136">
        <v>1989</v>
      </c>
      <c r="H1136">
        <v>11</v>
      </c>
      <c r="I1136">
        <v>16</v>
      </c>
      <c r="J1136" t="s">
        <v>73</v>
      </c>
      <c r="K1136">
        <v>43.22</v>
      </c>
      <c r="L1136">
        <v>1</v>
      </c>
      <c r="M1136">
        <v>43.22</v>
      </c>
      <c r="N1136" t="s">
        <v>64</v>
      </c>
      <c r="O1136" t="s">
        <v>32</v>
      </c>
    </row>
    <row r="1137" spans="1:16" x14ac:dyDescent="0.25">
      <c r="A1137" t="s">
        <v>1733</v>
      </c>
      <c r="B1137" s="4">
        <v>45909</v>
      </c>
      <c r="C1137" s="5">
        <v>0.89583333333333337</v>
      </c>
      <c r="D1137" t="s">
        <v>16</v>
      </c>
      <c r="E1137" t="s">
        <v>128</v>
      </c>
      <c r="F1137" s="1"/>
      <c r="G1137">
        <v>1992</v>
      </c>
      <c r="H1137">
        <v>7</v>
      </c>
      <c r="I1137">
        <v>25</v>
      </c>
      <c r="J1137" t="s">
        <v>213</v>
      </c>
      <c r="K1137">
        <v>84.45</v>
      </c>
      <c r="L1137">
        <v>3</v>
      </c>
      <c r="M1137">
        <v>253.35</v>
      </c>
      <c r="O1137" t="s">
        <v>20</v>
      </c>
    </row>
    <row r="1138" spans="1:16" x14ac:dyDescent="0.25">
      <c r="A1138" t="s">
        <v>1734</v>
      </c>
      <c r="B1138" s="4">
        <v>45841</v>
      </c>
      <c r="C1138" s="3">
        <v>0.56423611111111116</v>
      </c>
      <c r="D1138" t="s">
        <v>16</v>
      </c>
      <c r="E1138" t="s">
        <v>494</v>
      </c>
      <c r="F1138" s="4"/>
      <c r="G1138">
        <v>2004</v>
      </c>
      <c r="H1138">
        <v>2</v>
      </c>
      <c r="I1138">
        <v>18</v>
      </c>
      <c r="J1138" t="s">
        <v>24</v>
      </c>
      <c r="K1138">
        <v>218.16</v>
      </c>
      <c r="L1138">
        <v>2</v>
      </c>
      <c r="M1138">
        <v>436.32</v>
      </c>
      <c r="N1138" t="s">
        <v>19</v>
      </c>
      <c r="O1138" t="s">
        <v>61</v>
      </c>
      <c r="P1138" t="s">
        <v>33</v>
      </c>
    </row>
    <row r="1139" spans="1:16" x14ac:dyDescent="0.25">
      <c r="A1139" t="s">
        <v>1735</v>
      </c>
      <c r="B1139" s="4">
        <v>45760</v>
      </c>
      <c r="C1139" s="3">
        <v>0.73451388888888891</v>
      </c>
      <c r="D1139" t="s">
        <v>16</v>
      </c>
      <c r="E1139" t="s">
        <v>136</v>
      </c>
      <c r="F1139" s="4"/>
      <c r="G1139">
        <v>1976</v>
      </c>
      <c r="H1139">
        <v>6</v>
      </c>
      <c r="I1139">
        <v>16</v>
      </c>
      <c r="J1139" t="s">
        <v>85</v>
      </c>
      <c r="K1139">
        <v>121.88</v>
      </c>
      <c r="L1139">
        <v>1</v>
      </c>
      <c r="M1139">
        <v>121.88</v>
      </c>
      <c r="O1139" t="s">
        <v>26</v>
      </c>
      <c r="P1139" t="s">
        <v>56</v>
      </c>
    </row>
    <row r="1140" spans="1:16" x14ac:dyDescent="0.25">
      <c r="A1140" t="s">
        <v>1736</v>
      </c>
      <c r="B1140" t="s">
        <v>1722</v>
      </c>
      <c r="C1140" s="3">
        <v>0.56481481481481477</v>
      </c>
      <c r="D1140" t="s">
        <v>16</v>
      </c>
      <c r="E1140" t="s">
        <v>88</v>
      </c>
      <c r="F1140" s="4"/>
      <c r="G1140">
        <v>1999</v>
      </c>
      <c r="H1140">
        <v>11</v>
      </c>
      <c r="I1140">
        <v>3</v>
      </c>
      <c r="J1140" t="s">
        <v>36</v>
      </c>
      <c r="K1140">
        <v>128.78</v>
      </c>
      <c r="L1140">
        <v>1</v>
      </c>
      <c r="M1140">
        <v>128.78</v>
      </c>
      <c r="N1140" t="s">
        <v>31</v>
      </c>
      <c r="O1140" t="s">
        <v>61</v>
      </c>
    </row>
    <row r="1141" spans="1:16" x14ac:dyDescent="0.25">
      <c r="A1141" t="s">
        <v>1737</v>
      </c>
      <c r="B1141" s="4">
        <v>45974</v>
      </c>
      <c r="C1141" s="2">
        <v>0.86458333333333337</v>
      </c>
      <c r="D1141" t="s">
        <v>16</v>
      </c>
      <c r="E1141" t="s">
        <v>1738</v>
      </c>
      <c r="J1141" t="s">
        <v>85</v>
      </c>
      <c r="K1141">
        <v>126.62</v>
      </c>
      <c r="L1141">
        <v>2</v>
      </c>
      <c r="M1141">
        <v>253.24</v>
      </c>
      <c r="N1141" t="s">
        <v>54</v>
      </c>
      <c r="O1141" t="s">
        <v>89</v>
      </c>
      <c r="P1141" t="s">
        <v>21</v>
      </c>
    </row>
    <row r="1142" spans="1:16" x14ac:dyDescent="0.25">
      <c r="A1142" t="s">
        <v>1739</v>
      </c>
      <c r="B1142" s="1">
        <v>45628</v>
      </c>
      <c r="C1142" s="3">
        <v>0.76905092592592594</v>
      </c>
      <c r="D1142" t="s">
        <v>16</v>
      </c>
      <c r="E1142" t="s">
        <v>17</v>
      </c>
      <c r="G1142">
        <v>1979</v>
      </c>
      <c r="H1142">
        <v>7</v>
      </c>
      <c r="I1142">
        <v>5</v>
      </c>
      <c r="J1142" t="s">
        <v>60</v>
      </c>
      <c r="K1142">
        <v>110.72</v>
      </c>
      <c r="L1142">
        <v>1</v>
      </c>
      <c r="M1142">
        <v>110.72</v>
      </c>
      <c r="N1142" t="s">
        <v>54</v>
      </c>
      <c r="O1142" t="s">
        <v>89</v>
      </c>
      <c r="P1142" t="s">
        <v>48</v>
      </c>
    </row>
    <row r="1143" spans="1:16" x14ac:dyDescent="0.25">
      <c r="A1143" t="s">
        <v>1740</v>
      </c>
      <c r="B1143" s="4">
        <v>45731</v>
      </c>
      <c r="C1143" s="3">
        <v>0.71884259259259264</v>
      </c>
      <c r="D1143" t="s">
        <v>16</v>
      </c>
      <c r="E1143" t="s">
        <v>204</v>
      </c>
      <c r="F1143" s="4"/>
      <c r="G1143">
        <v>2009</v>
      </c>
      <c r="H1143">
        <v>8</v>
      </c>
      <c r="I1143">
        <v>22</v>
      </c>
      <c r="J1143" t="s">
        <v>202</v>
      </c>
      <c r="K1143">
        <v>83.57</v>
      </c>
      <c r="L1143">
        <v>3</v>
      </c>
      <c r="M1143">
        <v>250.71</v>
      </c>
      <c r="N1143" t="s">
        <v>25</v>
      </c>
      <c r="O1143" t="s">
        <v>20</v>
      </c>
      <c r="P1143" t="s">
        <v>27</v>
      </c>
    </row>
    <row r="1144" spans="1:16" x14ac:dyDescent="0.25">
      <c r="A1144" t="s">
        <v>1741</v>
      </c>
      <c r="B1144" s="1">
        <v>45762</v>
      </c>
      <c r="C1144" s="5">
        <v>0.98124999999999996</v>
      </c>
      <c r="D1144" t="s">
        <v>16</v>
      </c>
      <c r="E1144" t="s">
        <v>1742</v>
      </c>
      <c r="G1144">
        <v>1988</v>
      </c>
      <c r="H1144">
        <v>4</v>
      </c>
      <c r="I1144">
        <v>5</v>
      </c>
      <c r="J1144" t="s">
        <v>104</v>
      </c>
      <c r="K1144">
        <v>277.20999999999998</v>
      </c>
      <c r="L1144">
        <v>2</v>
      </c>
      <c r="M1144">
        <v>554.41999999999996</v>
      </c>
      <c r="N1144" t="s">
        <v>25</v>
      </c>
      <c r="O1144" t="s">
        <v>47</v>
      </c>
      <c r="P1144" t="s">
        <v>27</v>
      </c>
    </row>
    <row r="1145" spans="1:16" x14ac:dyDescent="0.25">
      <c r="A1145" t="s">
        <v>1743</v>
      </c>
      <c r="B1145" t="s">
        <v>970</v>
      </c>
      <c r="C1145" s="2">
        <v>0.58402777777777781</v>
      </c>
      <c r="D1145" t="s">
        <v>16</v>
      </c>
      <c r="E1145" t="s">
        <v>92</v>
      </c>
      <c r="F1145" s="4"/>
      <c r="G1145">
        <v>1979</v>
      </c>
      <c r="H1145">
        <v>4</v>
      </c>
      <c r="I1145">
        <v>4</v>
      </c>
      <c r="J1145" t="s">
        <v>202</v>
      </c>
      <c r="K1145" t="s">
        <v>1744</v>
      </c>
      <c r="L1145">
        <v>3</v>
      </c>
      <c r="M1145">
        <v>712.83</v>
      </c>
      <c r="N1145" t="s">
        <v>64</v>
      </c>
      <c r="O1145" t="s">
        <v>37</v>
      </c>
      <c r="P1145" t="s">
        <v>27</v>
      </c>
    </row>
    <row r="1146" spans="1:16" x14ac:dyDescent="0.25">
      <c r="A1146" t="s">
        <v>1745</v>
      </c>
      <c r="B1146" s="1">
        <v>45655</v>
      </c>
      <c r="C1146" s="3">
        <v>0.59075231481481483</v>
      </c>
      <c r="D1146" t="s">
        <v>16</v>
      </c>
      <c r="E1146" t="s">
        <v>307</v>
      </c>
      <c r="F1146" s="1"/>
      <c r="G1146">
        <v>1982</v>
      </c>
      <c r="H1146">
        <v>9</v>
      </c>
      <c r="I1146">
        <v>9</v>
      </c>
      <c r="J1146" t="s">
        <v>104</v>
      </c>
      <c r="K1146">
        <v>331.6</v>
      </c>
      <c r="L1146">
        <v>1</v>
      </c>
      <c r="M1146">
        <v>331.6</v>
      </c>
      <c r="N1146" t="s">
        <v>64</v>
      </c>
      <c r="O1146" t="s">
        <v>32</v>
      </c>
      <c r="P1146" t="s">
        <v>33</v>
      </c>
    </row>
    <row r="1147" spans="1:16" x14ac:dyDescent="0.25">
      <c r="A1147" t="s">
        <v>1746</v>
      </c>
      <c r="B1147" s="1">
        <v>45841</v>
      </c>
      <c r="C1147" s="2">
        <v>0.75624999999999998</v>
      </c>
      <c r="D1147" t="s">
        <v>16</v>
      </c>
      <c r="E1147" t="s">
        <v>770</v>
      </c>
      <c r="F1147" s="4"/>
      <c r="G1147">
        <v>1987</v>
      </c>
      <c r="H1147">
        <v>10</v>
      </c>
      <c r="I1147">
        <v>19</v>
      </c>
      <c r="J1147" t="s">
        <v>93</v>
      </c>
      <c r="K1147">
        <v>169.56</v>
      </c>
      <c r="L1147">
        <v>2</v>
      </c>
      <c r="M1147">
        <v>339.12</v>
      </c>
      <c r="N1147" t="s">
        <v>54</v>
      </c>
      <c r="O1147" t="s">
        <v>32</v>
      </c>
      <c r="P1147" t="s">
        <v>105</v>
      </c>
    </row>
    <row r="1148" spans="1:16" x14ac:dyDescent="0.25">
      <c r="A1148" t="s">
        <v>1747</v>
      </c>
      <c r="B1148" t="s">
        <v>1666</v>
      </c>
      <c r="C1148" s="5">
        <v>0.90416666666666667</v>
      </c>
      <c r="D1148" t="s">
        <v>16</v>
      </c>
      <c r="E1148" t="s">
        <v>50</v>
      </c>
      <c r="G1148">
        <v>1988</v>
      </c>
      <c r="H1148">
        <v>3</v>
      </c>
      <c r="I1148">
        <v>12</v>
      </c>
      <c r="J1148" t="s">
        <v>141</v>
      </c>
      <c r="K1148">
        <v>154.72</v>
      </c>
      <c r="L1148">
        <v>1</v>
      </c>
      <c r="M1148">
        <v>105.72</v>
      </c>
      <c r="N1148" t="s">
        <v>41</v>
      </c>
      <c r="O1148" t="s">
        <v>20</v>
      </c>
      <c r="P1148" t="s">
        <v>48</v>
      </c>
    </row>
    <row r="1149" spans="1:16" x14ac:dyDescent="0.25">
      <c r="A1149" t="s">
        <v>1748</v>
      </c>
      <c r="B1149" t="s">
        <v>1144</v>
      </c>
      <c r="C1149" s="5">
        <v>0.66041666666666665</v>
      </c>
      <c r="D1149" t="s">
        <v>16</v>
      </c>
      <c r="E1149" t="s">
        <v>98</v>
      </c>
      <c r="F1149" s="4"/>
      <c r="G1149">
        <v>2005</v>
      </c>
      <c r="H1149">
        <v>6</v>
      </c>
      <c r="I1149">
        <v>21</v>
      </c>
      <c r="J1149" t="s">
        <v>104</v>
      </c>
      <c r="K1149">
        <v>-218.66</v>
      </c>
      <c r="L1149">
        <v>2</v>
      </c>
      <c r="M1149">
        <v>-437.32</v>
      </c>
      <c r="N1149" t="s">
        <v>54</v>
      </c>
      <c r="O1149" t="s">
        <v>26</v>
      </c>
      <c r="P1149" t="s">
        <v>74</v>
      </c>
    </row>
    <row r="1150" spans="1:16" x14ac:dyDescent="0.25">
      <c r="A1150" t="s">
        <v>1749</v>
      </c>
      <c r="B1150" s="4">
        <v>45647</v>
      </c>
      <c r="C1150" s="2">
        <v>0.53680555555555554</v>
      </c>
      <c r="D1150" t="s">
        <v>16</v>
      </c>
      <c r="E1150" t="s">
        <v>1750</v>
      </c>
      <c r="F1150" s="4"/>
      <c r="G1150">
        <v>1995</v>
      </c>
      <c r="H1150">
        <v>3</v>
      </c>
      <c r="I1150">
        <v>12</v>
      </c>
      <c r="J1150" t="s">
        <v>104</v>
      </c>
      <c r="K1150">
        <v>298.27999999999997</v>
      </c>
      <c r="L1150">
        <v>3</v>
      </c>
      <c r="M1150">
        <v>894.84</v>
      </c>
      <c r="N1150" t="s">
        <v>25</v>
      </c>
      <c r="O1150" t="s">
        <v>89</v>
      </c>
      <c r="P1150" t="s">
        <v>27</v>
      </c>
    </row>
    <row r="1151" spans="1:16" x14ac:dyDescent="0.25">
      <c r="A1151" t="s">
        <v>1751</v>
      </c>
      <c r="B1151" s="1">
        <v>45852</v>
      </c>
      <c r="C1151" s="5">
        <v>0.52986111111111112</v>
      </c>
      <c r="D1151" t="s">
        <v>16</v>
      </c>
      <c r="E1151" t="s">
        <v>882</v>
      </c>
      <c r="G1151">
        <v>1986</v>
      </c>
      <c r="H1151">
        <v>10</v>
      </c>
      <c r="I1151">
        <v>14</v>
      </c>
      <c r="J1151" t="s">
        <v>126</v>
      </c>
      <c r="K1151">
        <v>129.24</v>
      </c>
      <c r="L1151">
        <v>2</v>
      </c>
      <c r="M1151">
        <v>258.48</v>
      </c>
      <c r="N1151" t="s">
        <v>41</v>
      </c>
      <c r="O1151" t="s">
        <v>61</v>
      </c>
      <c r="P1151" t="s">
        <v>21</v>
      </c>
    </row>
    <row r="1152" spans="1:16" x14ac:dyDescent="0.25">
      <c r="A1152" t="s">
        <v>1752</v>
      </c>
      <c r="B1152" s="4">
        <v>45887</v>
      </c>
      <c r="C1152" s="5">
        <v>0.84513888888888888</v>
      </c>
      <c r="D1152" t="s">
        <v>16</v>
      </c>
      <c r="E1152" t="s">
        <v>492</v>
      </c>
      <c r="G1152">
        <v>1978</v>
      </c>
      <c r="H1152">
        <v>8</v>
      </c>
      <c r="I1152">
        <v>13</v>
      </c>
      <c r="J1152" t="s">
        <v>24</v>
      </c>
      <c r="K1152">
        <v>218.21</v>
      </c>
      <c r="L1152">
        <v>1</v>
      </c>
      <c r="M1152">
        <v>218.21</v>
      </c>
      <c r="N1152" t="s">
        <v>64</v>
      </c>
      <c r="O1152" t="s">
        <v>55</v>
      </c>
      <c r="P1152" t="s">
        <v>27</v>
      </c>
    </row>
    <row r="1153" spans="1:16" x14ac:dyDescent="0.25">
      <c r="A1153" t="s">
        <v>1753</v>
      </c>
      <c r="B1153" s="4">
        <v>45979</v>
      </c>
      <c r="C1153" s="5">
        <v>0.78125</v>
      </c>
      <c r="D1153" t="s">
        <v>16</v>
      </c>
      <c r="E1153" t="s">
        <v>640</v>
      </c>
      <c r="F1153" s="4"/>
      <c r="G1153">
        <v>2010</v>
      </c>
      <c r="H1153">
        <v>6</v>
      </c>
      <c r="I1153">
        <v>19</v>
      </c>
      <c r="J1153" t="s">
        <v>243</v>
      </c>
      <c r="K1153">
        <v>154.79</v>
      </c>
      <c r="L1153">
        <v>2</v>
      </c>
      <c r="M1153">
        <v>309.58</v>
      </c>
      <c r="O1153" t="s">
        <v>47</v>
      </c>
      <c r="P1153" t="s">
        <v>27</v>
      </c>
    </row>
    <row r="1154" spans="1:16" x14ac:dyDescent="0.25">
      <c r="A1154" t="s">
        <v>1754</v>
      </c>
      <c r="B1154" s="4">
        <v>45842</v>
      </c>
      <c r="C1154" s="2">
        <v>0.80972222222222223</v>
      </c>
      <c r="D1154" t="s">
        <v>16</v>
      </c>
      <c r="E1154" t="s">
        <v>161</v>
      </c>
      <c r="J1154" t="s">
        <v>243</v>
      </c>
      <c r="K1154">
        <v>153.4</v>
      </c>
      <c r="L1154">
        <v>3</v>
      </c>
      <c r="M1154">
        <v>460.2</v>
      </c>
      <c r="N1154" t="s">
        <v>64</v>
      </c>
      <c r="O1154" t="s">
        <v>47</v>
      </c>
    </row>
    <row r="1155" spans="1:16" x14ac:dyDescent="0.25">
      <c r="A1155" t="s">
        <v>1755</v>
      </c>
      <c r="B1155" s="1">
        <v>45651</v>
      </c>
      <c r="C1155" s="5">
        <v>0.71875</v>
      </c>
      <c r="D1155" t="s">
        <v>16</v>
      </c>
      <c r="E1155" t="s">
        <v>1756</v>
      </c>
      <c r="F1155" s="4"/>
      <c r="G1155">
        <v>1982</v>
      </c>
      <c r="H1155">
        <v>2</v>
      </c>
      <c r="I1155">
        <v>18</v>
      </c>
      <c r="J1155" t="s">
        <v>116</v>
      </c>
      <c r="K1155">
        <v>120.58</v>
      </c>
      <c r="L1155">
        <v>1</v>
      </c>
      <c r="M1155">
        <v>120.58</v>
      </c>
      <c r="N1155" t="s">
        <v>19</v>
      </c>
      <c r="O1155" t="s">
        <v>89</v>
      </c>
    </row>
    <row r="1156" spans="1:16" x14ac:dyDescent="0.25">
      <c r="A1156" t="s">
        <v>1757</v>
      </c>
      <c r="B1156" s="4">
        <v>45791</v>
      </c>
      <c r="C1156" s="2">
        <v>0.86388888888888893</v>
      </c>
      <c r="D1156" t="s">
        <v>16</v>
      </c>
      <c r="E1156" t="s">
        <v>206</v>
      </c>
      <c r="G1156">
        <v>1991</v>
      </c>
      <c r="H1156">
        <v>12</v>
      </c>
      <c r="I1156">
        <v>12</v>
      </c>
      <c r="J1156" t="s">
        <v>24</v>
      </c>
      <c r="K1156">
        <v>238.57</v>
      </c>
      <c r="L1156">
        <v>3</v>
      </c>
      <c r="M1156">
        <v>715.71</v>
      </c>
      <c r="N1156" t="s">
        <v>25</v>
      </c>
      <c r="O1156" t="s">
        <v>32</v>
      </c>
      <c r="P1156" t="s">
        <v>27</v>
      </c>
    </row>
    <row r="1157" spans="1:16" x14ac:dyDescent="0.25">
      <c r="A1157" t="s">
        <v>1758</v>
      </c>
      <c r="B1157" s="1">
        <v>45742</v>
      </c>
      <c r="C1157" s="5">
        <v>0.80972222222222223</v>
      </c>
      <c r="D1157" t="s">
        <v>16</v>
      </c>
      <c r="E1157" t="s">
        <v>492</v>
      </c>
      <c r="F1157" s="4"/>
      <c r="G1157">
        <v>2009</v>
      </c>
      <c r="H1157">
        <v>10</v>
      </c>
      <c r="I1157">
        <v>17</v>
      </c>
      <c r="J1157" t="s">
        <v>30</v>
      </c>
      <c r="K1157" t="s">
        <v>1759</v>
      </c>
      <c r="L1157">
        <v>1</v>
      </c>
      <c r="M1157">
        <v>226.25</v>
      </c>
      <c r="N1157" t="s">
        <v>25</v>
      </c>
      <c r="O1157" t="s">
        <v>26</v>
      </c>
    </row>
    <row r="1158" spans="1:16" x14ac:dyDescent="0.25">
      <c r="A1158" t="s">
        <v>1760</v>
      </c>
      <c r="C1158" s="5">
        <v>0.94861111111111107</v>
      </c>
      <c r="D1158" t="s">
        <v>16</v>
      </c>
      <c r="E1158" t="s">
        <v>1387</v>
      </c>
      <c r="G1158">
        <v>2004</v>
      </c>
      <c r="H1158">
        <v>7</v>
      </c>
      <c r="I1158">
        <v>16</v>
      </c>
      <c r="J1158" t="s">
        <v>199</v>
      </c>
      <c r="K1158">
        <v>214.89</v>
      </c>
      <c r="L1158">
        <v>1</v>
      </c>
      <c r="M1158">
        <v>214.89</v>
      </c>
      <c r="N1158" t="s">
        <v>31</v>
      </c>
      <c r="O1158" t="s">
        <v>37</v>
      </c>
    </row>
    <row r="1159" spans="1:16" x14ac:dyDescent="0.25">
      <c r="A1159" t="s">
        <v>1761</v>
      </c>
      <c r="B1159" s="1">
        <v>45708</v>
      </c>
      <c r="C1159" s="5">
        <v>0.48194444444444445</v>
      </c>
      <c r="D1159" t="s">
        <v>16</v>
      </c>
      <c r="E1159" t="s">
        <v>1397</v>
      </c>
      <c r="G1159">
        <v>1984</v>
      </c>
      <c r="H1159">
        <v>11</v>
      </c>
      <c r="I1159">
        <v>18</v>
      </c>
      <c r="J1159" t="s">
        <v>53</v>
      </c>
      <c r="K1159">
        <v>87.58</v>
      </c>
      <c r="L1159">
        <v>3</v>
      </c>
      <c r="M1159">
        <v>262.74</v>
      </c>
      <c r="N1159" t="s">
        <v>31</v>
      </c>
      <c r="O1159" t="s">
        <v>61</v>
      </c>
      <c r="P1159" t="s">
        <v>48</v>
      </c>
    </row>
    <row r="1160" spans="1:16" x14ac:dyDescent="0.25">
      <c r="A1160" t="s">
        <v>1762</v>
      </c>
      <c r="B1160" t="s">
        <v>576</v>
      </c>
      <c r="C1160" s="2">
        <v>0.81388888888888888</v>
      </c>
      <c r="D1160" t="s">
        <v>16</v>
      </c>
      <c r="E1160" t="s">
        <v>379</v>
      </c>
      <c r="F1160" s="1"/>
      <c r="G1160">
        <v>1974</v>
      </c>
      <c r="H1160">
        <v>2</v>
      </c>
      <c r="I1160">
        <v>2</v>
      </c>
      <c r="J1160" t="s">
        <v>141</v>
      </c>
      <c r="K1160">
        <v>164.98</v>
      </c>
      <c r="L1160">
        <v>2</v>
      </c>
      <c r="M1160">
        <v>329.96</v>
      </c>
      <c r="N1160" t="s">
        <v>41</v>
      </c>
      <c r="O1160" t="s">
        <v>89</v>
      </c>
      <c r="P1160" t="s">
        <v>33</v>
      </c>
    </row>
    <row r="1161" spans="1:16" x14ac:dyDescent="0.25">
      <c r="A1161" t="s">
        <v>1763</v>
      </c>
      <c r="B1161" s="1">
        <v>45673</v>
      </c>
      <c r="C1161" s="2">
        <v>0.65486111111111112</v>
      </c>
      <c r="D1161" t="s">
        <v>16</v>
      </c>
      <c r="E1161" t="s">
        <v>377</v>
      </c>
      <c r="J1161" t="s">
        <v>243</v>
      </c>
      <c r="K1161" t="s">
        <v>1764</v>
      </c>
      <c r="L1161">
        <v>2</v>
      </c>
      <c r="M1161">
        <v>231.32</v>
      </c>
      <c r="N1161" t="s">
        <v>64</v>
      </c>
      <c r="O1161" t="s">
        <v>20</v>
      </c>
      <c r="P1161" t="s">
        <v>27</v>
      </c>
    </row>
    <row r="1162" spans="1:16" x14ac:dyDescent="0.25">
      <c r="A1162" t="s">
        <v>1765</v>
      </c>
      <c r="B1162" s="4">
        <v>45838</v>
      </c>
      <c r="C1162" s="5">
        <v>0.91874999999999996</v>
      </c>
      <c r="D1162" t="s">
        <v>16</v>
      </c>
      <c r="E1162" t="s">
        <v>128</v>
      </c>
      <c r="F1162" s="4"/>
      <c r="G1162">
        <v>1991</v>
      </c>
      <c r="H1162">
        <v>8</v>
      </c>
      <c r="I1162">
        <v>4</v>
      </c>
      <c r="J1162" t="s">
        <v>93</v>
      </c>
      <c r="K1162" t="s">
        <v>1766</v>
      </c>
      <c r="L1162">
        <v>3</v>
      </c>
      <c r="M1162">
        <v>676.41</v>
      </c>
      <c r="N1162" t="s">
        <v>19</v>
      </c>
      <c r="O1162" t="s">
        <v>32</v>
      </c>
      <c r="P1162" t="s">
        <v>33</v>
      </c>
    </row>
    <row r="1163" spans="1:16" x14ac:dyDescent="0.25">
      <c r="A1163" t="s">
        <v>1767</v>
      </c>
      <c r="B1163" s="4">
        <v>45689</v>
      </c>
      <c r="C1163" s="3">
        <v>0.65930555555555559</v>
      </c>
      <c r="D1163" t="s">
        <v>16</v>
      </c>
      <c r="E1163" t="s">
        <v>66</v>
      </c>
      <c r="F1163" s="4"/>
      <c r="G1163">
        <v>1970</v>
      </c>
      <c r="H1163">
        <v>6</v>
      </c>
      <c r="I1163">
        <v>16</v>
      </c>
      <c r="J1163" t="s">
        <v>199</v>
      </c>
      <c r="K1163">
        <v>180.2</v>
      </c>
      <c r="L1163">
        <v>1</v>
      </c>
      <c r="M1163">
        <v>180.2</v>
      </c>
      <c r="N1163" t="s">
        <v>31</v>
      </c>
      <c r="O1163" t="s">
        <v>89</v>
      </c>
    </row>
    <row r="1164" spans="1:16" x14ac:dyDescent="0.25">
      <c r="A1164" t="s">
        <v>1768</v>
      </c>
      <c r="B1164" s="4">
        <v>45842</v>
      </c>
      <c r="C1164" s="5">
        <v>0.89652777777777781</v>
      </c>
      <c r="D1164" t="s">
        <v>16</v>
      </c>
      <c r="E1164" t="s">
        <v>1268</v>
      </c>
      <c r="F1164" s="4"/>
      <c r="G1164">
        <v>1994</v>
      </c>
      <c r="H1164">
        <v>2</v>
      </c>
      <c r="I1164">
        <v>27</v>
      </c>
      <c r="J1164" t="s">
        <v>213</v>
      </c>
      <c r="K1164">
        <v>215.33</v>
      </c>
      <c r="L1164">
        <v>3</v>
      </c>
      <c r="M1164">
        <v>645.99</v>
      </c>
      <c r="N1164" t="s">
        <v>31</v>
      </c>
      <c r="O1164" t="s">
        <v>47</v>
      </c>
    </row>
    <row r="1165" spans="1:16" x14ac:dyDescent="0.25">
      <c r="A1165" t="s">
        <v>1769</v>
      </c>
      <c r="B1165" s="4">
        <v>45976</v>
      </c>
      <c r="C1165" s="3">
        <v>0.96247685185185183</v>
      </c>
      <c r="D1165" t="s">
        <v>16</v>
      </c>
      <c r="E1165" t="s">
        <v>98</v>
      </c>
      <c r="F1165" s="1"/>
      <c r="G1165">
        <v>1990</v>
      </c>
      <c r="H1165">
        <v>5</v>
      </c>
      <c r="I1165">
        <v>12</v>
      </c>
      <c r="J1165" t="s">
        <v>141</v>
      </c>
      <c r="K1165">
        <v>112.02</v>
      </c>
      <c r="L1165">
        <v>3</v>
      </c>
      <c r="M1165">
        <v>336.06</v>
      </c>
      <c r="N1165" t="s">
        <v>31</v>
      </c>
      <c r="O1165" t="s">
        <v>47</v>
      </c>
      <c r="P1165" t="s">
        <v>48</v>
      </c>
    </row>
    <row r="1166" spans="1:16" x14ac:dyDescent="0.25">
      <c r="A1166" t="s">
        <v>1770</v>
      </c>
      <c r="B1166" s="4">
        <v>45968</v>
      </c>
      <c r="C1166" s="5">
        <v>0.84027777777777779</v>
      </c>
      <c r="D1166" t="s">
        <v>16</v>
      </c>
      <c r="E1166" t="s">
        <v>44</v>
      </c>
      <c r="G1166">
        <v>1991</v>
      </c>
      <c r="H1166">
        <v>12</v>
      </c>
      <c r="I1166">
        <v>12</v>
      </c>
      <c r="J1166" t="s">
        <v>126</v>
      </c>
      <c r="K1166">
        <v>38.46</v>
      </c>
      <c r="L1166">
        <v>2</v>
      </c>
      <c r="M1166">
        <v>76.92</v>
      </c>
      <c r="O1166" t="s">
        <v>26</v>
      </c>
      <c r="P1166" t="s">
        <v>56</v>
      </c>
    </row>
    <row r="1167" spans="1:16" x14ac:dyDescent="0.25">
      <c r="A1167" t="s">
        <v>1771</v>
      </c>
      <c r="B1167" t="s">
        <v>1772</v>
      </c>
      <c r="C1167" s="3">
        <v>0.86416666666666664</v>
      </c>
      <c r="D1167" t="s">
        <v>16</v>
      </c>
      <c r="E1167" t="s">
        <v>351</v>
      </c>
      <c r="F1167" s="1"/>
      <c r="G1167">
        <v>1984</v>
      </c>
      <c r="H1167">
        <v>10</v>
      </c>
      <c r="I1167">
        <v>3</v>
      </c>
      <c r="J1167" t="s">
        <v>202</v>
      </c>
      <c r="K1167">
        <v>263.52999999999997</v>
      </c>
      <c r="L1167">
        <v>2</v>
      </c>
      <c r="M1167">
        <v>527.05999999999995</v>
      </c>
      <c r="O1167" t="s">
        <v>20</v>
      </c>
      <c r="P1167" t="s">
        <v>105</v>
      </c>
    </row>
    <row r="1168" spans="1:16" x14ac:dyDescent="0.25">
      <c r="A1168" t="s">
        <v>1773</v>
      </c>
      <c r="B1168" s="4">
        <v>45904</v>
      </c>
      <c r="C1168" s="3">
        <v>0.77971064814814817</v>
      </c>
      <c r="D1168" t="s">
        <v>16</v>
      </c>
      <c r="E1168" t="s">
        <v>128</v>
      </c>
      <c r="F1168" s="1"/>
      <c r="G1168">
        <v>1990</v>
      </c>
      <c r="H1168">
        <v>3</v>
      </c>
      <c r="I1168">
        <v>3</v>
      </c>
      <c r="J1168" t="s">
        <v>145</v>
      </c>
      <c r="K1168">
        <v>311.13</v>
      </c>
      <c r="L1168">
        <v>2</v>
      </c>
      <c r="M1168">
        <v>622.26</v>
      </c>
      <c r="N1168" t="s">
        <v>64</v>
      </c>
      <c r="O1168" t="s">
        <v>55</v>
      </c>
      <c r="P1168" t="s">
        <v>74</v>
      </c>
    </row>
    <row r="1169" spans="1:16" x14ac:dyDescent="0.25">
      <c r="A1169" t="s">
        <v>1774</v>
      </c>
      <c r="B1169" t="s">
        <v>1775</v>
      </c>
      <c r="C1169" s="2">
        <v>0.94652777777777775</v>
      </c>
      <c r="D1169" t="s">
        <v>16</v>
      </c>
      <c r="E1169" t="s">
        <v>338</v>
      </c>
      <c r="F1169" s="4"/>
      <c r="G1169">
        <v>1973</v>
      </c>
      <c r="H1169">
        <v>7</v>
      </c>
      <c r="I1169">
        <v>26</v>
      </c>
      <c r="J1169" t="s">
        <v>18</v>
      </c>
      <c r="K1169">
        <v>78.489999999999995</v>
      </c>
      <c r="L1169">
        <v>1</v>
      </c>
      <c r="M1169" t="s">
        <v>1776</v>
      </c>
      <c r="N1169" t="s">
        <v>19</v>
      </c>
      <c r="O1169" t="s">
        <v>26</v>
      </c>
      <c r="P1169" t="s">
        <v>21</v>
      </c>
    </row>
    <row r="1170" spans="1:16" x14ac:dyDescent="0.25">
      <c r="A1170" t="s">
        <v>1777</v>
      </c>
      <c r="B1170" s="4">
        <v>45877</v>
      </c>
      <c r="C1170" s="2">
        <v>0.68194444444444446</v>
      </c>
      <c r="D1170" t="s">
        <v>16</v>
      </c>
      <c r="E1170" t="s">
        <v>218</v>
      </c>
      <c r="G1170">
        <v>1993</v>
      </c>
      <c r="H1170">
        <v>3</v>
      </c>
      <c r="I1170">
        <v>23</v>
      </c>
      <c r="J1170" t="s">
        <v>30</v>
      </c>
      <c r="K1170">
        <v>254.39</v>
      </c>
      <c r="L1170">
        <v>2</v>
      </c>
      <c r="M1170">
        <v>508.78</v>
      </c>
      <c r="N1170" t="s">
        <v>67</v>
      </c>
      <c r="O1170" t="s">
        <v>61</v>
      </c>
      <c r="P1170" t="s">
        <v>21</v>
      </c>
    </row>
    <row r="1171" spans="1:16" x14ac:dyDescent="0.25">
      <c r="A1171" t="s">
        <v>1778</v>
      </c>
      <c r="B1171" s="1">
        <v>45953</v>
      </c>
      <c r="C1171" s="2">
        <v>0.68541666666666667</v>
      </c>
      <c r="D1171" t="s">
        <v>16</v>
      </c>
      <c r="E1171" t="s">
        <v>95</v>
      </c>
      <c r="G1171">
        <v>2004</v>
      </c>
      <c r="H1171">
        <v>12</v>
      </c>
      <c r="I1171">
        <v>26</v>
      </c>
      <c r="J1171" t="s">
        <v>164</v>
      </c>
      <c r="K1171">
        <v>294.32</v>
      </c>
      <c r="L1171">
        <v>3</v>
      </c>
      <c r="M1171">
        <v>882.96</v>
      </c>
      <c r="N1171" t="s">
        <v>31</v>
      </c>
      <c r="O1171" t="s">
        <v>37</v>
      </c>
      <c r="P1171" t="s">
        <v>48</v>
      </c>
    </row>
    <row r="1172" spans="1:16" x14ac:dyDescent="0.25">
      <c r="A1172" t="s">
        <v>1779</v>
      </c>
      <c r="B1172" s="1">
        <v>45834</v>
      </c>
      <c r="C1172" s="2">
        <v>0.85416666666666663</v>
      </c>
      <c r="D1172" t="s">
        <v>16</v>
      </c>
      <c r="E1172" t="s">
        <v>770</v>
      </c>
      <c r="F1172" s="1"/>
      <c r="G1172">
        <v>2004</v>
      </c>
      <c r="H1172">
        <v>5</v>
      </c>
      <c r="I1172">
        <v>5</v>
      </c>
      <c r="J1172" t="s">
        <v>30</v>
      </c>
      <c r="K1172">
        <v>256.92</v>
      </c>
      <c r="L1172">
        <v>-1</v>
      </c>
      <c r="M1172">
        <v>-256.92</v>
      </c>
      <c r="O1172" t="s">
        <v>26</v>
      </c>
      <c r="P1172" t="s">
        <v>105</v>
      </c>
    </row>
    <row r="1173" spans="1:16" x14ac:dyDescent="0.25">
      <c r="A1173" t="s">
        <v>1780</v>
      </c>
      <c r="B1173" s="1">
        <v>45964</v>
      </c>
      <c r="C1173" s="2">
        <v>0.99027777777777781</v>
      </c>
      <c r="D1173" t="s">
        <v>16</v>
      </c>
      <c r="E1173" t="s">
        <v>59</v>
      </c>
      <c r="F1173" s="4"/>
      <c r="G1173">
        <v>1999</v>
      </c>
      <c r="H1173">
        <v>3</v>
      </c>
      <c r="I1173">
        <v>4</v>
      </c>
      <c r="J1173" t="s">
        <v>60</v>
      </c>
      <c r="K1173">
        <v>219.05</v>
      </c>
      <c r="L1173">
        <v>2</v>
      </c>
      <c r="M1173">
        <v>438.1</v>
      </c>
      <c r="N1173" t="s">
        <v>19</v>
      </c>
      <c r="O1173" t="s">
        <v>20</v>
      </c>
      <c r="P1173" t="s">
        <v>56</v>
      </c>
    </row>
    <row r="1174" spans="1:16" x14ac:dyDescent="0.25">
      <c r="A1174" t="s">
        <v>1781</v>
      </c>
      <c r="B1174" s="4">
        <v>45834</v>
      </c>
      <c r="C1174" s="3">
        <v>0.8011921296296296</v>
      </c>
      <c r="D1174" t="s">
        <v>16</v>
      </c>
      <c r="E1174" t="s">
        <v>512</v>
      </c>
      <c r="F1174" s="4"/>
      <c r="G1174">
        <v>1978</v>
      </c>
      <c r="H1174">
        <v>7</v>
      </c>
      <c r="I1174">
        <v>5</v>
      </c>
      <c r="J1174" t="s">
        <v>24</v>
      </c>
      <c r="K1174">
        <v>256.54000000000002</v>
      </c>
      <c r="L1174">
        <v>1</v>
      </c>
      <c r="M1174">
        <v>242.54</v>
      </c>
      <c r="N1174" t="s">
        <v>67</v>
      </c>
      <c r="O1174" t="s">
        <v>32</v>
      </c>
      <c r="P1174" t="s">
        <v>105</v>
      </c>
    </row>
    <row r="1175" spans="1:16" x14ac:dyDescent="0.25">
      <c r="A1175" t="s">
        <v>1782</v>
      </c>
      <c r="B1175" s="4">
        <v>45866</v>
      </c>
      <c r="C1175" s="5">
        <v>0.94930555555555551</v>
      </c>
      <c r="D1175" t="s">
        <v>16</v>
      </c>
      <c r="E1175" t="s">
        <v>44</v>
      </c>
      <c r="G1175">
        <v>2007</v>
      </c>
      <c r="H1175">
        <v>11</v>
      </c>
      <c r="I1175">
        <v>19</v>
      </c>
      <c r="J1175" t="s">
        <v>213</v>
      </c>
      <c r="K1175">
        <v>-226.32</v>
      </c>
      <c r="L1175">
        <v>1</v>
      </c>
      <c r="M1175">
        <v>-226.32</v>
      </c>
      <c r="N1175" t="s">
        <v>67</v>
      </c>
      <c r="O1175" t="s">
        <v>37</v>
      </c>
    </row>
    <row r="1176" spans="1:16" x14ac:dyDescent="0.25">
      <c r="A1176" t="s">
        <v>1783</v>
      </c>
      <c r="B1176" s="4">
        <v>45860</v>
      </c>
      <c r="C1176" s="3">
        <v>0.72733796296296294</v>
      </c>
      <c r="D1176" t="s">
        <v>16</v>
      </c>
      <c r="E1176" t="s">
        <v>166</v>
      </c>
      <c r="G1176">
        <v>1998</v>
      </c>
      <c r="H1176">
        <v>6</v>
      </c>
      <c r="I1176">
        <v>16</v>
      </c>
      <c r="J1176" t="s">
        <v>243</v>
      </c>
      <c r="K1176">
        <v>164.26</v>
      </c>
      <c r="L1176">
        <v>3</v>
      </c>
      <c r="M1176">
        <v>492.78</v>
      </c>
      <c r="N1176" t="s">
        <v>25</v>
      </c>
      <c r="O1176" t="s">
        <v>37</v>
      </c>
    </row>
    <row r="1177" spans="1:16" x14ac:dyDescent="0.25">
      <c r="A1177" t="s">
        <v>1784</v>
      </c>
      <c r="B1177" s="4">
        <v>45979</v>
      </c>
      <c r="C1177" s="2">
        <v>0.47361111111111109</v>
      </c>
      <c r="D1177" t="s">
        <v>16</v>
      </c>
      <c r="E1177" t="s">
        <v>52</v>
      </c>
      <c r="G1177">
        <v>1984</v>
      </c>
      <c r="H1177">
        <v>11</v>
      </c>
      <c r="I1177">
        <v>8</v>
      </c>
      <c r="J1177" t="s">
        <v>145</v>
      </c>
      <c r="K1177">
        <v>349.91</v>
      </c>
      <c r="L1177">
        <v>3</v>
      </c>
      <c r="M1177">
        <v>1049.73</v>
      </c>
      <c r="N1177" t="s">
        <v>67</v>
      </c>
      <c r="O1177" t="s">
        <v>61</v>
      </c>
      <c r="P1177" t="s">
        <v>21</v>
      </c>
    </row>
    <row r="1178" spans="1:16" x14ac:dyDescent="0.25">
      <c r="A1178" t="s">
        <v>1785</v>
      </c>
      <c r="B1178" s="4">
        <v>45969</v>
      </c>
      <c r="C1178" s="5">
        <v>0.72361111111111109</v>
      </c>
      <c r="D1178" t="s">
        <v>16</v>
      </c>
      <c r="E1178" t="s">
        <v>332</v>
      </c>
      <c r="F1178" s="4"/>
      <c r="G1178">
        <v>1975</v>
      </c>
      <c r="H1178">
        <v>5</v>
      </c>
      <c r="I1178">
        <v>26</v>
      </c>
      <c r="J1178" t="s">
        <v>178</v>
      </c>
      <c r="K1178">
        <v>229.2</v>
      </c>
      <c r="L1178">
        <v>2</v>
      </c>
      <c r="M1178">
        <v>458.4</v>
      </c>
      <c r="N1178" t="s">
        <v>25</v>
      </c>
      <c r="O1178" t="s">
        <v>47</v>
      </c>
      <c r="P1178" t="s">
        <v>74</v>
      </c>
    </row>
    <row r="1179" spans="1:16" x14ac:dyDescent="0.25">
      <c r="A1179" t="s">
        <v>1786</v>
      </c>
      <c r="B1179" s="4">
        <v>45753</v>
      </c>
      <c r="C1179" s="2">
        <v>0.96527777777777779</v>
      </c>
      <c r="D1179" t="s">
        <v>16</v>
      </c>
      <c r="E1179" t="s">
        <v>107</v>
      </c>
      <c r="F1179" s="1"/>
      <c r="G1179">
        <v>1970</v>
      </c>
      <c r="H1179">
        <v>11</v>
      </c>
      <c r="I1179">
        <v>2</v>
      </c>
      <c r="J1179" t="s">
        <v>126</v>
      </c>
      <c r="K1179">
        <v>101.95</v>
      </c>
      <c r="L1179">
        <v>3</v>
      </c>
      <c r="M1179">
        <v>305.85000000000002</v>
      </c>
      <c r="N1179" t="s">
        <v>54</v>
      </c>
      <c r="O1179" t="s">
        <v>47</v>
      </c>
      <c r="P1179" t="s">
        <v>33</v>
      </c>
    </row>
    <row r="1180" spans="1:16" x14ac:dyDescent="0.25">
      <c r="A1180" t="s">
        <v>1787</v>
      </c>
      <c r="B1180" s="4">
        <v>45893</v>
      </c>
      <c r="C1180" s="2">
        <v>0.41666666666666669</v>
      </c>
      <c r="D1180" t="s">
        <v>16</v>
      </c>
      <c r="E1180" t="s">
        <v>66</v>
      </c>
      <c r="G1180">
        <v>1978</v>
      </c>
      <c r="H1180">
        <v>6</v>
      </c>
      <c r="I1180">
        <v>17</v>
      </c>
      <c r="J1180" t="s">
        <v>141</v>
      </c>
      <c r="K1180">
        <v>132.15</v>
      </c>
      <c r="L1180">
        <v>1</v>
      </c>
      <c r="M1180">
        <v>132.15</v>
      </c>
      <c r="N1180" t="s">
        <v>67</v>
      </c>
      <c r="O1180" t="s">
        <v>47</v>
      </c>
      <c r="P1180" t="s">
        <v>27</v>
      </c>
    </row>
    <row r="1181" spans="1:16" x14ac:dyDescent="0.25">
      <c r="A1181" t="s">
        <v>1788</v>
      </c>
      <c r="B1181" t="s">
        <v>1789</v>
      </c>
      <c r="C1181" s="2">
        <v>0.65347222222222223</v>
      </c>
      <c r="D1181" t="s">
        <v>16</v>
      </c>
      <c r="E1181" t="s">
        <v>191</v>
      </c>
      <c r="F1181" s="1"/>
      <c r="G1181">
        <v>1974</v>
      </c>
      <c r="H1181">
        <v>6</v>
      </c>
      <c r="I1181">
        <v>10</v>
      </c>
      <c r="J1181" t="s">
        <v>30</v>
      </c>
      <c r="K1181">
        <v>243.06</v>
      </c>
      <c r="L1181">
        <v>2</v>
      </c>
      <c r="M1181">
        <v>486.12</v>
      </c>
      <c r="N1181" t="s">
        <v>64</v>
      </c>
      <c r="O1181" t="s">
        <v>32</v>
      </c>
      <c r="P1181" t="s">
        <v>74</v>
      </c>
    </row>
    <row r="1182" spans="1:16" x14ac:dyDescent="0.25">
      <c r="A1182" t="s">
        <v>1790</v>
      </c>
      <c r="B1182" s="4">
        <v>45784</v>
      </c>
      <c r="C1182" s="2">
        <v>0.4513888888888889</v>
      </c>
      <c r="D1182" t="s">
        <v>16</v>
      </c>
      <c r="E1182" t="s">
        <v>628</v>
      </c>
      <c r="F1182" s="4"/>
      <c r="G1182">
        <v>1981</v>
      </c>
      <c r="H1182">
        <v>10</v>
      </c>
      <c r="I1182">
        <v>27</v>
      </c>
      <c r="J1182" t="s">
        <v>60</v>
      </c>
      <c r="K1182">
        <v>257.92</v>
      </c>
      <c r="L1182">
        <v>2</v>
      </c>
      <c r="M1182">
        <v>515.84</v>
      </c>
      <c r="N1182" t="s">
        <v>41</v>
      </c>
      <c r="O1182" t="s">
        <v>47</v>
      </c>
    </row>
    <row r="1183" spans="1:16" x14ac:dyDescent="0.25">
      <c r="A1183" t="s">
        <v>1791</v>
      </c>
      <c r="B1183" s="1">
        <v>45820</v>
      </c>
      <c r="C1183" s="3">
        <v>0.47093750000000001</v>
      </c>
      <c r="D1183" t="s">
        <v>16</v>
      </c>
      <c r="E1183" t="s">
        <v>349</v>
      </c>
      <c r="F1183" s="4"/>
      <c r="G1183">
        <v>2000</v>
      </c>
      <c r="H1183">
        <v>1</v>
      </c>
      <c r="I1183">
        <v>18</v>
      </c>
      <c r="J1183" t="s">
        <v>104</v>
      </c>
      <c r="K1183">
        <v>217.94</v>
      </c>
      <c r="L1183">
        <v>1</v>
      </c>
      <c r="M1183">
        <v>217.94</v>
      </c>
      <c r="N1183" t="s">
        <v>54</v>
      </c>
      <c r="O1183" t="s">
        <v>26</v>
      </c>
      <c r="P1183" t="s">
        <v>48</v>
      </c>
    </row>
    <row r="1184" spans="1:16" x14ac:dyDescent="0.25">
      <c r="A1184" t="s">
        <v>1792</v>
      </c>
      <c r="B1184" s="4">
        <v>45907</v>
      </c>
      <c r="C1184" s="3">
        <v>0.76112268518518522</v>
      </c>
      <c r="D1184" t="s">
        <v>16</v>
      </c>
      <c r="E1184" t="s">
        <v>107</v>
      </c>
      <c r="F1184" s="1"/>
      <c r="G1184">
        <v>1973</v>
      </c>
      <c r="H1184">
        <v>9</v>
      </c>
      <c r="I1184">
        <v>15</v>
      </c>
      <c r="J1184" t="s">
        <v>53</v>
      </c>
      <c r="K1184">
        <v>101.61</v>
      </c>
      <c r="L1184">
        <v>2</v>
      </c>
      <c r="M1184">
        <v>203.22</v>
      </c>
      <c r="N1184" t="s">
        <v>67</v>
      </c>
      <c r="O1184" t="s">
        <v>20</v>
      </c>
      <c r="P1184" t="s">
        <v>105</v>
      </c>
    </row>
    <row r="1185" spans="1:16" x14ac:dyDescent="0.25">
      <c r="A1185" t="s">
        <v>1793</v>
      </c>
      <c r="B1185" s="1">
        <v>45965</v>
      </c>
      <c r="C1185" s="2">
        <v>0.56458333333333333</v>
      </c>
      <c r="D1185" t="s">
        <v>16</v>
      </c>
      <c r="E1185" t="s">
        <v>1794</v>
      </c>
      <c r="F1185" s="4"/>
      <c r="G1185">
        <v>1990</v>
      </c>
      <c r="H1185">
        <v>6</v>
      </c>
      <c r="I1185">
        <v>19</v>
      </c>
      <c r="J1185" t="s">
        <v>53</v>
      </c>
      <c r="K1185">
        <v>98.11</v>
      </c>
      <c r="L1185">
        <v>1</v>
      </c>
      <c r="M1185">
        <v>98.11</v>
      </c>
      <c r="N1185" t="s">
        <v>25</v>
      </c>
      <c r="O1185" t="s">
        <v>20</v>
      </c>
    </row>
    <row r="1186" spans="1:16" x14ac:dyDescent="0.25">
      <c r="A1186" t="s">
        <v>1795</v>
      </c>
      <c r="B1186" t="s">
        <v>1775</v>
      </c>
      <c r="C1186" s="3">
        <v>0.4491087962962963</v>
      </c>
      <c r="D1186" t="s">
        <v>16</v>
      </c>
      <c r="E1186" t="s">
        <v>82</v>
      </c>
      <c r="F1186" s="4"/>
      <c r="G1186">
        <v>1985</v>
      </c>
      <c r="H1186">
        <v>5</v>
      </c>
      <c r="I1186">
        <v>21</v>
      </c>
      <c r="J1186" t="s">
        <v>40</v>
      </c>
      <c r="K1186">
        <v>161.51</v>
      </c>
      <c r="L1186">
        <v>3</v>
      </c>
      <c r="M1186">
        <v>484.53</v>
      </c>
      <c r="N1186" t="s">
        <v>31</v>
      </c>
      <c r="O1186" t="s">
        <v>61</v>
      </c>
      <c r="P1186" t="s">
        <v>27</v>
      </c>
    </row>
    <row r="1187" spans="1:16" x14ac:dyDescent="0.25">
      <c r="A1187" t="s">
        <v>1796</v>
      </c>
      <c r="B1187" s="1">
        <v>45756</v>
      </c>
      <c r="C1187" s="2">
        <v>0.45</v>
      </c>
      <c r="D1187" t="s">
        <v>16</v>
      </c>
      <c r="E1187" t="s">
        <v>79</v>
      </c>
      <c r="F1187" s="4"/>
      <c r="G1187">
        <v>1997</v>
      </c>
      <c r="H1187">
        <v>10</v>
      </c>
      <c r="I1187">
        <v>23</v>
      </c>
      <c r="J1187" t="s">
        <v>45</v>
      </c>
      <c r="K1187">
        <v>101.39</v>
      </c>
      <c r="L1187">
        <v>1</v>
      </c>
      <c r="M1187">
        <v>101.39</v>
      </c>
      <c r="N1187" t="s">
        <v>19</v>
      </c>
      <c r="O1187" t="s">
        <v>37</v>
      </c>
      <c r="P1187" t="s">
        <v>33</v>
      </c>
    </row>
    <row r="1188" spans="1:16" x14ac:dyDescent="0.25">
      <c r="A1188" t="s">
        <v>1797</v>
      </c>
      <c r="B1188" s="4">
        <v>45869</v>
      </c>
      <c r="C1188" s="5">
        <v>0.86041666666666672</v>
      </c>
      <c r="D1188" t="s">
        <v>16</v>
      </c>
      <c r="E1188" t="s">
        <v>229</v>
      </c>
      <c r="J1188" t="s">
        <v>93</v>
      </c>
      <c r="K1188">
        <v>173.44</v>
      </c>
      <c r="L1188">
        <v>1</v>
      </c>
      <c r="M1188">
        <v>173.44</v>
      </c>
      <c r="N1188" t="s">
        <v>54</v>
      </c>
      <c r="O1188" t="s">
        <v>37</v>
      </c>
      <c r="P1188" t="s">
        <v>21</v>
      </c>
    </row>
    <row r="1189" spans="1:16" x14ac:dyDescent="0.25">
      <c r="A1189" t="s">
        <v>1798</v>
      </c>
      <c r="B1189" s="4">
        <v>45702</v>
      </c>
      <c r="C1189" s="2">
        <v>0.54652777777777772</v>
      </c>
      <c r="D1189" t="s">
        <v>16</v>
      </c>
      <c r="E1189" t="s">
        <v>267</v>
      </c>
      <c r="F1189" s="1"/>
      <c r="G1189">
        <v>1981</v>
      </c>
      <c r="H1189">
        <v>10</v>
      </c>
      <c r="I1189">
        <v>12</v>
      </c>
      <c r="J1189" t="s">
        <v>116</v>
      </c>
      <c r="L1189">
        <v>3</v>
      </c>
      <c r="N1189" t="s">
        <v>19</v>
      </c>
      <c r="O1189" t="s">
        <v>61</v>
      </c>
      <c r="P1189" t="s">
        <v>74</v>
      </c>
    </row>
    <row r="1190" spans="1:16" x14ac:dyDescent="0.25">
      <c r="A1190" t="s">
        <v>1799</v>
      </c>
      <c r="B1190" s="4">
        <v>45792</v>
      </c>
      <c r="C1190" s="3">
        <v>0.99179398148148146</v>
      </c>
      <c r="D1190" t="s">
        <v>16</v>
      </c>
      <c r="E1190" t="s">
        <v>158</v>
      </c>
      <c r="F1190" s="1"/>
      <c r="G1190">
        <v>2002</v>
      </c>
      <c r="H1190">
        <v>8</v>
      </c>
      <c r="I1190">
        <v>4</v>
      </c>
      <c r="J1190" t="s">
        <v>77</v>
      </c>
      <c r="K1190">
        <v>200.92</v>
      </c>
      <c r="L1190">
        <v>0</v>
      </c>
      <c r="M1190">
        <v>0</v>
      </c>
      <c r="N1190" t="s">
        <v>41</v>
      </c>
      <c r="O1190" t="s">
        <v>55</v>
      </c>
      <c r="P1190" t="s">
        <v>48</v>
      </c>
    </row>
    <row r="1191" spans="1:16" x14ac:dyDescent="0.25">
      <c r="A1191" t="s">
        <v>1800</v>
      </c>
      <c r="B1191" s="4">
        <v>45644</v>
      </c>
      <c r="C1191" s="2">
        <v>0.86527777777777781</v>
      </c>
      <c r="D1191" t="s">
        <v>16</v>
      </c>
      <c r="E1191" t="s">
        <v>512</v>
      </c>
      <c r="F1191" s="4"/>
      <c r="G1191">
        <v>2010</v>
      </c>
      <c r="H1191">
        <v>12</v>
      </c>
      <c r="I1191">
        <v>19</v>
      </c>
      <c r="J1191" t="s">
        <v>199</v>
      </c>
      <c r="K1191">
        <v>195.72</v>
      </c>
      <c r="L1191">
        <v>2</v>
      </c>
      <c r="M1191">
        <v>391.44</v>
      </c>
      <c r="N1191" t="s">
        <v>41</v>
      </c>
      <c r="O1191" t="s">
        <v>32</v>
      </c>
      <c r="P1191" t="s">
        <v>27</v>
      </c>
    </row>
    <row r="1192" spans="1:16" x14ac:dyDescent="0.25">
      <c r="A1192" t="s">
        <v>1801</v>
      </c>
      <c r="B1192" s="4">
        <v>45952</v>
      </c>
      <c r="C1192" s="5">
        <v>0.46805555555555556</v>
      </c>
      <c r="D1192" t="s">
        <v>16</v>
      </c>
      <c r="E1192" t="s">
        <v>267</v>
      </c>
      <c r="J1192" t="s">
        <v>259</v>
      </c>
      <c r="K1192">
        <v>84.75</v>
      </c>
      <c r="L1192">
        <v>3</v>
      </c>
      <c r="M1192">
        <v>254.25</v>
      </c>
      <c r="N1192" t="s">
        <v>54</v>
      </c>
      <c r="O1192" t="s">
        <v>37</v>
      </c>
      <c r="P1192" t="s">
        <v>56</v>
      </c>
    </row>
    <row r="1193" spans="1:16" x14ac:dyDescent="0.25">
      <c r="A1193" t="s">
        <v>1802</v>
      </c>
      <c r="B1193" t="s">
        <v>1803</v>
      </c>
      <c r="C1193" s="5">
        <v>0.96944444444444444</v>
      </c>
      <c r="D1193" t="s">
        <v>16</v>
      </c>
      <c r="E1193" t="s">
        <v>1804</v>
      </c>
      <c r="G1193">
        <v>1980</v>
      </c>
      <c r="H1193">
        <v>1</v>
      </c>
      <c r="I1193">
        <v>20</v>
      </c>
      <c r="J1193" t="s">
        <v>30</v>
      </c>
      <c r="K1193" t="s">
        <v>1805</v>
      </c>
      <c r="L1193">
        <v>1</v>
      </c>
      <c r="M1193">
        <v>280.68</v>
      </c>
      <c r="N1193" t="s">
        <v>19</v>
      </c>
      <c r="O1193" t="s">
        <v>55</v>
      </c>
      <c r="P1193" t="s">
        <v>56</v>
      </c>
    </row>
    <row r="1194" spans="1:16" x14ac:dyDescent="0.25">
      <c r="A1194" t="s">
        <v>1806</v>
      </c>
      <c r="B1194" s="1">
        <v>45631</v>
      </c>
      <c r="C1194" s="2">
        <v>0.43958333333333333</v>
      </c>
      <c r="D1194" t="s">
        <v>16</v>
      </c>
      <c r="E1194" t="s">
        <v>475</v>
      </c>
      <c r="F1194" s="1"/>
      <c r="G1194">
        <v>2001</v>
      </c>
      <c r="H1194">
        <v>8</v>
      </c>
      <c r="I1194">
        <v>2</v>
      </c>
      <c r="J1194" t="s">
        <v>24</v>
      </c>
      <c r="K1194">
        <v>266.05</v>
      </c>
      <c r="L1194">
        <v>1</v>
      </c>
      <c r="M1194">
        <v>266.05</v>
      </c>
      <c r="N1194" t="s">
        <v>64</v>
      </c>
      <c r="O1194" t="s">
        <v>32</v>
      </c>
      <c r="P1194" t="s">
        <v>105</v>
      </c>
    </row>
    <row r="1195" spans="1:16" x14ac:dyDescent="0.25">
      <c r="A1195" t="s">
        <v>1807</v>
      </c>
      <c r="B1195" s="4">
        <v>45660</v>
      </c>
      <c r="C1195" s="2">
        <v>0.71527777777777779</v>
      </c>
      <c r="D1195" t="s">
        <v>16</v>
      </c>
      <c r="E1195" t="s">
        <v>50</v>
      </c>
      <c r="J1195" t="s">
        <v>126</v>
      </c>
      <c r="K1195">
        <v>135.38999999999999</v>
      </c>
      <c r="L1195">
        <v>2</v>
      </c>
      <c r="M1195">
        <v>270.77999999999997</v>
      </c>
      <c r="N1195" t="s">
        <v>54</v>
      </c>
      <c r="O1195" t="s">
        <v>26</v>
      </c>
      <c r="P1195" t="s">
        <v>105</v>
      </c>
    </row>
    <row r="1196" spans="1:16" x14ac:dyDescent="0.25">
      <c r="A1196" t="s">
        <v>1808</v>
      </c>
      <c r="C1196" s="3">
        <v>0.58501157407407411</v>
      </c>
      <c r="D1196" t="s">
        <v>16</v>
      </c>
      <c r="E1196" t="s">
        <v>246</v>
      </c>
      <c r="G1196">
        <v>1987</v>
      </c>
      <c r="H1196">
        <v>8</v>
      </c>
      <c r="I1196">
        <v>26</v>
      </c>
      <c r="J1196" t="s">
        <v>213</v>
      </c>
      <c r="K1196">
        <v>44.8</v>
      </c>
      <c r="L1196">
        <v>2</v>
      </c>
      <c r="M1196">
        <v>89.6</v>
      </c>
      <c r="N1196" t="s">
        <v>54</v>
      </c>
      <c r="O1196" t="s">
        <v>89</v>
      </c>
      <c r="P1196" t="s">
        <v>48</v>
      </c>
    </row>
    <row r="1197" spans="1:16" x14ac:dyDescent="0.25">
      <c r="A1197" t="s">
        <v>1809</v>
      </c>
      <c r="B1197" s="4">
        <v>45895</v>
      </c>
      <c r="C1197" s="5">
        <v>0.77916666666666667</v>
      </c>
      <c r="D1197" t="s">
        <v>16</v>
      </c>
      <c r="E1197" t="s">
        <v>154</v>
      </c>
      <c r="F1197" s="4"/>
      <c r="G1197">
        <v>1987</v>
      </c>
      <c r="H1197">
        <v>6</v>
      </c>
      <c r="I1197">
        <v>23</v>
      </c>
      <c r="J1197" t="s">
        <v>60</v>
      </c>
      <c r="L1197">
        <v>1</v>
      </c>
      <c r="O1197" t="s">
        <v>20</v>
      </c>
      <c r="P1197" t="s">
        <v>48</v>
      </c>
    </row>
    <row r="1198" spans="1:16" x14ac:dyDescent="0.25">
      <c r="A1198" t="s">
        <v>1810</v>
      </c>
      <c r="B1198" t="s">
        <v>271</v>
      </c>
      <c r="C1198" s="5">
        <v>0.97847222222222219</v>
      </c>
      <c r="D1198" t="s">
        <v>16</v>
      </c>
      <c r="E1198" t="s">
        <v>35</v>
      </c>
      <c r="F1198" s="1"/>
      <c r="G1198">
        <v>1986</v>
      </c>
      <c r="H1198">
        <v>12</v>
      </c>
      <c r="I1198">
        <v>12</v>
      </c>
      <c r="J1198" t="s">
        <v>36</v>
      </c>
      <c r="K1198">
        <v>275.94</v>
      </c>
      <c r="L1198">
        <v>3</v>
      </c>
      <c r="M1198">
        <v>827.82</v>
      </c>
      <c r="O1198" t="s">
        <v>47</v>
      </c>
      <c r="P1198" t="s">
        <v>56</v>
      </c>
    </row>
    <row r="1199" spans="1:16" x14ac:dyDescent="0.25">
      <c r="A1199" t="s">
        <v>1811</v>
      </c>
      <c r="B1199" s="4">
        <v>45979</v>
      </c>
      <c r="C1199" s="2">
        <v>0.71527777777777779</v>
      </c>
      <c r="D1199" t="s">
        <v>16</v>
      </c>
      <c r="E1199" t="s">
        <v>628</v>
      </c>
      <c r="J1199" t="s">
        <v>126</v>
      </c>
      <c r="K1199">
        <v>123.3</v>
      </c>
      <c r="L1199">
        <v>3</v>
      </c>
      <c r="M1199">
        <v>369.9</v>
      </c>
      <c r="N1199" t="s">
        <v>25</v>
      </c>
      <c r="O1199" t="s">
        <v>89</v>
      </c>
      <c r="P1199" t="s">
        <v>27</v>
      </c>
    </row>
    <row r="1200" spans="1:16" x14ac:dyDescent="0.25">
      <c r="A1200" t="s">
        <v>1812</v>
      </c>
      <c r="B1200" s="4">
        <v>45963</v>
      </c>
      <c r="C1200" s="3">
        <v>0.65749999999999997</v>
      </c>
      <c r="D1200" t="s">
        <v>16</v>
      </c>
      <c r="E1200" t="s">
        <v>181</v>
      </c>
      <c r="F1200" s="4"/>
      <c r="G1200">
        <v>1974</v>
      </c>
      <c r="H1200">
        <v>9</v>
      </c>
      <c r="I1200">
        <v>24</v>
      </c>
      <c r="J1200" t="s">
        <v>116</v>
      </c>
      <c r="K1200">
        <v>256.02</v>
      </c>
      <c r="L1200">
        <v>0</v>
      </c>
      <c r="M1200">
        <v>0</v>
      </c>
      <c r="N1200" t="s">
        <v>19</v>
      </c>
      <c r="O1200" t="s">
        <v>20</v>
      </c>
      <c r="P1200" t="s">
        <v>74</v>
      </c>
    </row>
    <row r="1201" spans="1:16" x14ac:dyDescent="0.25">
      <c r="A1201" t="s">
        <v>1813</v>
      </c>
      <c r="B1201" s="4">
        <v>45716</v>
      </c>
      <c r="C1201" s="5">
        <v>0.46944444444444444</v>
      </c>
      <c r="D1201" t="s">
        <v>16</v>
      </c>
      <c r="E1201" t="s">
        <v>324</v>
      </c>
      <c r="F1201" s="1"/>
      <c r="G1201">
        <v>1991</v>
      </c>
      <c r="H1201">
        <v>3</v>
      </c>
      <c r="I1201">
        <v>28</v>
      </c>
      <c r="J1201" t="s">
        <v>178</v>
      </c>
      <c r="K1201">
        <v>335.86</v>
      </c>
      <c r="L1201">
        <v>2</v>
      </c>
      <c r="M1201">
        <v>671.72</v>
      </c>
      <c r="N1201" t="s">
        <v>41</v>
      </c>
      <c r="O1201" t="s">
        <v>26</v>
      </c>
      <c r="P1201" t="s">
        <v>21</v>
      </c>
    </row>
    <row r="1202" spans="1:16" x14ac:dyDescent="0.25">
      <c r="A1202" t="s">
        <v>1814</v>
      </c>
      <c r="B1202" s="1">
        <v>45670</v>
      </c>
      <c r="C1202" s="2">
        <v>0.80277777777777781</v>
      </c>
      <c r="D1202" t="s">
        <v>16</v>
      </c>
      <c r="E1202" t="s">
        <v>451</v>
      </c>
      <c r="F1202" s="1"/>
      <c r="G1202">
        <v>1975</v>
      </c>
      <c r="H1202">
        <v>11</v>
      </c>
      <c r="I1202">
        <v>18</v>
      </c>
      <c r="J1202" t="s">
        <v>18</v>
      </c>
      <c r="K1202">
        <v>92.23</v>
      </c>
      <c r="L1202">
        <v>2</v>
      </c>
      <c r="M1202">
        <v>184.46</v>
      </c>
      <c r="N1202" t="s">
        <v>25</v>
      </c>
      <c r="O1202" t="s">
        <v>20</v>
      </c>
      <c r="P1202" t="s">
        <v>48</v>
      </c>
    </row>
    <row r="1203" spans="1:16" x14ac:dyDescent="0.25">
      <c r="A1203" t="s">
        <v>1815</v>
      </c>
      <c r="B1203" t="s">
        <v>1816</v>
      </c>
      <c r="C1203" s="2">
        <v>0.51111111111111107</v>
      </c>
      <c r="D1203" t="s">
        <v>16</v>
      </c>
      <c r="E1203" t="s">
        <v>411</v>
      </c>
      <c r="F1203" s="4"/>
      <c r="G1203">
        <v>2009</v>
      </c>
      <c r="H1203">
        <v>9</v>
      </c>
      <c r="I1203">
        <v>16</v>
      </c>
      <c r="J1203" t="s">
        <v>24</v>
      </c>
      <c r="K1203">
        <v>237.8</v>
      </c>
      <c r="L1203">
        <v>2</v>
      </c>
      <c r="M1203">
        <v>475.6</v>
      </c>
      <c r="N1203" t="s">
        <v>67</v>
      </c>
      <c r="O1203" t="s">
        <v>55</v>
      </c>
      <c r="P1203" t="s">
        <v>56</v>
      </c>
    </row>
    <row r="1204" spans="1:16" x14ac:dyDescent="0.25">
      <c r="A1204" t="s">
        <v>1817</v>
      </c>
      <c r="B1204" s="4">
        <v>45855</v>
      </c>
      <c r="C1204" s="5">
        <v>0.59722222222222221</v>
      </c>
      <c r="D1204" t="s">
        <v>16</v>
      </c>
      <c r="E1204" t="s">
        <v>211</v>
      </c>
      <c r="F1204" s="1"/>
      <c r="G1204">
        <v>1986</v>
      </c>
      <c r="H1204">
        <v>7</v>
      </c>
      <c r="I1204">
        <v>10</v>
      </c>
      <c r="J1204" t="s">
        <v>178</v>
      </c>
      <c r="K1204">
        <v>263.57</v>
      </c>
      <c r="L1204">
        <v>2</v>
      </c>
      <c r="M1204">
        <v>527.14</v>
      </c>
      <c r="N1204" t="s">
        <v>19</v>
      </c>
      <c r="O1204" t="s">
        <v>55</v>
      </c>
      <c r="P1204" t="s">
        <v>74</v>
      </c>
    </row>
    <row r="1205" spans="1:16" x14ac:dyDescent="0.25">
      <c r="A1205" t="s">
        <v>1818</v>
      </c>
      <c r="B1205" s="4">
        <v>45921</v>
      </c>
      <c r="C1205" s="3">
        <v>0.89511574074074074</v>
      </c>
      <c r="D1205" t="s">
        <v>16</v>
      </c>
      <c r="E1205" t="s">
        <v>659</v>
      </c>
      <c r="F1205" s="1"/>
      <c r="G1205">
        <v>1974</v>
      </c>
      <c r="H1205">
        <v>9</v>
      </c>
      <c r="I1205">
        <v>16</v>
      </c>
      <c r="J1205" t="s">
        <v>164</v>
      </c>
      <c r="K1205">
        <v>344.44</v>
      </c>
      <c r="L1205">
        <v>1</v>
      </c>
      <c r="M1205">
        <v>344.44</v>
      </c>
      <c r="N1205" t="s">
        <v>31</v>
      </c>
      <c r="O1205" t="s">
        <v>55</v>
      </c>
      <c r="P1205" t="s">
        <v>105</v>
      </c>
    </row>
    <row r="1206" spans="1:16" x14ac:dyDescent="0.25">
      <c r="A1206" t="s">
        <v>1819</v>
      </c>
      <c r="B1206" s="4">
        <v>45747</v>
      </c>
      <c r="C1206" s="2">
        <v>0.71527777777777779</v>
      </c>
      <c r="D1206" t="s">
        <v>16</v>
      </c>
      <c r="E1206" t="s">
        <v>338</v>
      </c>
      <c r="F1206" s="4"/>
      <c r="G1206">
        <v>2002</v>
      </c>
      <c r="H1206">
        <v>4</v>
      </c>
      <c r="I1206">
        <v>21</v>
      </c>
      <c r="J1206" t="s">
        <v>110</v>
      </c>
      <c r="K1206">
        <v>127.38</v>
      </c>
      <c r="L1206">
        <v>3</v>
      </c>
      <c r="M1206">
        <v>382.14</v>
      </c>
      <c r="O1206" t="s">
        <v>89</v>
      </c>
      <c r="P1206" t="s">
        <v>27</v>
      </c>
    </row>
    <row r="1207" spans="1:16" x14ac:dyDescent="0.25">
      <c r="A1207" t="s">
        <v>1820</v>
      </c>
      <c r="B1207" s="4">
        <v>45633</v>
      </c>
      <c r="C1207" s="3">
        <v>0.5870023148148148</v>
      </c>
      <c r="D1207" t="s">
        <v>16</v>
      </c>
      <c r="E1207" t="s">
        <v>471</v>
      </c>
      <c r="G1207">
        <v>1984</v>
      </c>
      <c r="H1207">
        <v>8</v>
      </c>
      <c r="I1207">
        <v>6</v>
      </c>
      <c r="J1207" t="s">
        <v>60</v>
      </c>
      <c r="K1207">
        <v>246.21</v>
      </c>
      <c r="L1207">
        <v>2</v>
      </c>
      <c r="M1207">
        <v>492.42</v>
      </c>
      <c r="N1207" t="s">
        <v>67</v>
      </c>
      <c r="O1207" t="s">
        <v>61</v>
      </c>
    </row>
    <row r="1208" spans="1:16" x14ac:dyDescent="0.25">
      <c r="A1208" t="s">
        <v>1821</v>
      </c>
      <c r="B1208" s="4">
        <v>45704</v>
      </c>
      <c r="C1208" s="3">
        <v>0.63924768518518515</v>
      </c>
      <c r="D1208" t="s">
        <v>16</v>
      </c>
      <c r="E1208" t="s">
        <v>50</v>
      </c>
      <c r="J1208" t="s">
        <v>141</v>
      </c>
      <c r="K1208">
        <v>151.19</v>
      </c>
      <c r="L1208">
        <v>1</v>
      </c>
      <c r="M1208">
        <v>151.19</v>
      </c>
      <c r="N1208" t="s">
        <v>67</v>
      </c>
      <c r="O1208" t="s">
        <v>55</v>
      </c>
      <c r="P1208" t="s">
        <v>33</v>
      </c>
    </row>
    <row r="1209" spans="1:16" x14ac:dyDescent="0.25">
      <c r="A1209" t="s">
        <v>1822</v>
      </c>
      <c r="B1209" t="s">
        <v>1823</v>
      </c>
      <c r="C1209" s="5">
        <v>0.87569444444444444</v>
      </c>
      <c r="D1209" t="s">
        <v>16</v>
      </c>
      <c r="E1209" t="s">
        <v>218</v>
      </c>
      <c r="J1209" t="s">
        <v>77</v>
      </c>
      <c r="K1209" t="s">
        <v>1824</v>
      </c>
      <c r="L1209">
        <v>1</v>
      </c>
      <c r="M1209">
        <v>231.32</v>
      </c>
      <c r="N1209" t="s">
        <v>25</v>
      </c>
      <c r="O1209" t="s">
        <v>37</v>
      </c>
      <c r="P1209" t="s">
        <v>74</v>
      </c>
    </row>
    <row r="1210" spans="1:16" x14ac:dyDescent="0.25">
      <c r="A1210" t="s">
        <v>1825</v>
      </c>
      <c r="B1210" t="s">
        <v>1826</v>
      </c>
      <c r="C1210" s="3">
        <v>0.62061342592592594</v>
      </c>
      <c r="D1210" t="s">
        <v>16</v>
      </c>
      <c r="E1210" t="s">
        <v>1827</v>
      </c>
      <c r="F1210" s="4"/>
      <c r="G1210">
        <v>1987</v>
      </c>
      <c r="H1210">
        <v>6</v>
      </c>
      <c r="I1210">
        <v>19</v>
      </c>
      <c r="J1210" t="s">
        <v>129</v>
      </c>
      <c r="K1210">
        <v>176.42</v>
      </c>
      <c r="L1210">
        <v>3</v>
      </c>
      <c r="M1210">
        <v>529.26</v>
      </c>
      <c r="N1210" t="s">
        <v>31</v>
      </c>
      <c r="O1210" t="s">
        <v>32</v>
      </c>
      <c r="P1210" t="s">
        <v>56</v>
      </c>
    </row>
    <row r="1211" spans="1:16" x14ac:dyDescent="0.25">
      <c r="A1211" t="s">
        <v>1828</v>
      </c>
      <c r="B1211" t="s">
        <v>356</v>
      </c>
      <c r="C1211" s="2">
        <v>0.96944444444444444</v>
      </c>
      <c r="D1211" t="s">
        <v>16</v>
      </c>
      <c r="E1211" t="s">
        <v>151</v>
      </c>
      <c r="G1211">
        <v>1991</v>
      </c>
      <c r="H1211">
        <v>2</v>
      </c>
      <c r="I1211">
        <v>6</v>
      </c>
      <c r="J1211" t="s">
        <v>73</v>
      </c>
      <c r="K1211">
        <v>45.16</v>
      </c>
      <c r="L1211">
        <v>1</v>
      </c>
      <c r="M1211">
        <v>45.16</v>
      </c>
      <c r="N1211" t="s">
        <v>41</v>
      </c>
      <c r="O1211" t="s">
        <v>89</v>
      </c>
      <c r="P1211" t="s">
        <v>74</v>
      </c>
    </row>
    <row r="1212" spans="1:16" x14ac:dyDescent="0.25">
      <c r="A1212" t="s">
        <v>1829</v>
      </c>
      <c r="B1212" s="4">
        <v>45784</v>
      </c>
      <c r="C1212" s="3">
        <v>0.94403935185185184</v>
      </c>
      <c r="D1212" t="s">
        <v>16</v>
      </c>
      <c r="E1212" t="s">
        <v>118</v>
      </c>
      <c r="F1212" s="4"/>
      <c r="G1212">
        <v>1973</v>
      </c>
      <c r="H1212">
        <v>3</v>
      </c>
      <c r="I1212">
        <v>2</v>
      </c>
      <c r="J1212" t="s">
        <v>24</v>
      </c>
      <c r="K1212">
        <v>247.83</v>
      </c>
      <c r="L1212">
        <v>2</v>
      </c>
      <c r="M1212">
        <v>495.66</v>
      </c>
      <c r="N1212" t="s">
        <v>64</v>
      </c>
      <c r="O1212" t="s">
        <v>26</v>
      </c>
      <c r="P1212" t="s">
        <v>33</v>
      </c>
    </row>
    <row r="1213" spans="1:16" x14ac:dyDescent="0.25">
      <c r="A1213" t="s">
        <v>1830</v>
      </c>
      <c r="B1213" t="s">
        <v>381</v>
      </c>
      <c r="C1213" s="3">
        <v>0.69809027777777777</v>
      </c>
      <c r="D1213" t="s">
        <v>16</v>
      </c>
      <c r="E1213" t="s">
        <v>770</v>
      </c>
      <c r="J1213" t="s">
        <v>24</v>
      </c>
      <c r="K1213">
        <v>242.67</v>
      </c>
      <c r="L1213">
        <v>3</v>
      </c>
      <c r="M1213">
        <v>728.01</v>
      </c>
      <c r="O1213" t="s">
        <v>37</v>
      </c>
    </row>
    <row r="1214" spans="1:16" x14ac:dyDescent="0.25">
      <c r="A1214" t="s">
        <v>1831</v>
      </c>
      <c r="B1214" s="1">
        <v>45708</v>
      </c>
      <c r="C1214" s="5">
        <v>0.83125000000000004</v>
      </c>
      <c r="D1214" t="s">
        <v>16</v>
      </c>
      <c r="E1214" t="s">
        <v>109</v>
      </c>
      <c r="F1214" s="4"/>
      <c r="G1214">
        <v>1976</v>
      </c>
      <c r="H1214">
        <v>12</v>
      </c>
      <c r="I1214">
        <v>20</v>
      </c>
      <c r="J1214" t="s">
        <v>30</v>
      </c>
      <c r="K1214">
        <v>320.32</v>
      </c>
      <c r="L1214">
        <v>2</v>
      </c>
      <c r="M1214">
        <v>640.64</v>
      </c>
      <c r="N1214" t="s">
        <v>31</v>
      </c>
      <c r="O1214" t="s">
        <v>55</v>
      </c>
      <c r="P1214" t="s">
        <v>27</v>
      </c>
    </row>
    <row r="1215" spans="1:16" x14ac:dyDescent="0.25">
      <c r="A1215" t="s">
        <v>1832</v>
      </c>
      <c r="C1215" s="5">
        <v>0.83194444444444449</v>
      </c>
      <c r="D1215" t="s">
        <v>16</v>
      </c>
      <c r="E1215" t="s">
        <v>425</v>
      </c>
      <c r="F1215" s="1"/>
      <c r="G1215">
        <v>1980</v>
      </c>
      <c r="H1215">
        <v>11</v>
      </c>
      <c r="I1215">
        <v>3</v>
      </c>
      <c r="J1215" t="s">
        <v>116</v>
      </c>
      <c r="K1215">
        <v>103.32</v>
      </c>
      <c r="L1215">
        <v>2</v>
      </c>
      <c r="M1215">
        <v>206.64</v>
      </c>
      <c r="N1215" t="s">
        <v>67</v>
      </c>
      <c r="O1215" t="s">
        <v>89</v>
      </c>
    </row>
    <row r="1216" spans="1:16" x14ac:dyDescent="0.25">
      <c r="A1216" t="s">
        <v>1833</v>
      </c>
      <c r="B1216" s="1">
        <v>45673</v>
      </c>
      <c r="C1216" s="2">
        <v>0.55694444444444446</v>
      </c>
      <c r="D1216" t="s">
        <v>16</v>
      </c>
      <c r="E1216" t="s">
        <v>295</v>
      </c>
      <c r="F1216" s="4"/>
      <c r="G1216">
        <v>1994</v>
      </c>
      <c r="H1216">
        <v>10</v>
      </c>
      <c r="I1216">
        <v>7</v>
      </c>
      <c r="J1216" t="s">
        <v>30</v>
      </c>
      <c r="K1216">
        <v>286.48</v>
      </c>
      <c r="L1216">
        <v>3</v>
      </c>
      <c r="M1216">
        <v>859.44</v>
      </c>
      <c r="N1216" t="s">
        <v>54</v>
      </c>
      <c r="O1216" t="s">
        <v>61</v>
      </c>
      <c r="P1216" t="s">
        <v>105</v>
      </c>
    </row>
    <row r="1217" spans="1:16" x14ac:dyDescent="0.25">
      <c r="A1217" t="s">
        <v>1834</v>
      </c>
      <c r="B1217" s="4">
        <v>45690</v>
      </c>
      <c r="C1217" s="3">
        <v>0.67281250000000004</v>
      </c>
      <c r="D1217" t="s">
        <v>16</v>
      </c>
      <c r="E1217" t="s">
        <v>201</v>
      </c>
      <c r="F1217" s="4"/>
      <c r="G1217">
        <v>1990</v>
      </c>
      <c r="H1217">
        <v>11</v>
      </c>
      <c r="I1217">
        <v>4</v>
      </c>
      <c r="J1217" t="s">
        <v>104</v>
      </c>
      <c r="K1217">
        <v>327.91</v>
      </c>
      <c r="L1217">
        <v>1</v>
      </c>
      <c r="M1217">
        <v>327.91</v>
      </c>
      <c r="O1217" t="s">
        <v>47</v>
      </c>
      <c r="P1217" t="s">
        <v>105</v>
      </c>
    </row>
    <row r="1218" spans="1:16" x14ac:dyDescent="0.25">
      <c r="A1218" t="s">
        <v>1835</v>
      </c>
      <c r="B1218" s="4">
        <v>45706</v>
      </c>
      <c r="C1218" s="3">
        <v>0.6918981481481481</v>
      </c>
      <c r="D1218" t="s">
        <v>16</v>
      </c>
      <c r="E1218" t="s">
        <v>1794</v>
      </c>
      <c r="F1218" s="4"/>
      <c r="G1218">
        <v>1984</v>
      </c>
      <c r="H1218">
        <v>12</v>
      </c>
      <c r="I1218">
        <v>26</v>
      </c>
      <c r="J1218" t="s">
        <v>178</v>
      </c>
      <c r="K1218">
        <v>271.77999999999997</v>
      </c>
      <c r="L1218">
        <v>3</v>
      </c>
      <c r="M1218">
        <v>815.34</v>
      </c>
      <c r="N1218" t="s">
        <v>64</v>
      </c>
      <c r="O1218" t="s">
        <v>26</v>
      </c>
      <c r="P1218" t="s">
        <v>74</v>
      </c>
    </row>
    <row r="1219" spans="1:16" x14ac:dyDescent="0.25">
      <c r="A1219" t="s">
        <v>1836</v>
      </c>
      <c r="B1219" s="4">
        <v>45964</v>
      </c>
      <c r="C1219" s="2">
        <v>0.90625</v>
      </c>
      <c r="D1219" t="s">
        <v>16</v>
      </c>
      <c r="E1219" t="s">
        <v>264</v>
      </c>
      <c r="F1219" s="4"/>
      <c r="G1219">
        <v>1988</v>
      </c>
      <c r="H1219">
        <v>5</v>
      </c>
      <c r="I1219">
        <v>14</v>
      </c>
      <c r="J1219" t="s">
        <v>110</v>
      </c>
      <c r="K1219">
        <v>93.63</v>
      </c>
      <c r="L1219">
        <v>2</v>
      </c>
      <c r="M1219">
        <v>187.26</v>
      </c>
      <c r="O1219" t="s">
        <v>55</v>
      </c>
      <c r="P1219" t="s">
        <v>21</v>
      </c>
    </row>
    <row r="1220" spans="1:16" x14ac:dyDescent="0.25">
      <c r="A1220" t="s">
        <v>1837</v>
      </c>
      <c r="B1220" t="s">
        <v>1838</v>
      </c>
      <c r="C1220" s="5">
        <v>0.82152777777777775</v>
      </c>
      <c r="D1220" t="s">
        <v>16</v>
      </c>
      <c r="E1220" t="s">
        <v>420</v>
      </c>
      <c r="F1220" s="4"/>
      <c r="G1220">
        <v>2009</v>
      </c>
      <c r="H1220">
        <v>11</v>
      </c>
      <c r="I1220">
        <v>25</v>
      </c>
      <c r="J1220" t="s">
        <v>259</v>
      </c>
      <c r="K1220">
        <v>351.99</v>
      </c>
      <c r="L1220">
        <v>1</v>
      </c>
      <c r="M1220">
        <v>351.99</v>
      </c>
      <c r="N1220" t="s">
        <v>25</v>
      </c>
      <c r="O1220" t="s">
        <v>20</v>
      </c>
      <c r="P1220" t="s">
        <v>105</v>
      </c>
    </row>
    <row r="1221" spans="1:16" x14ac:dyDescent="0.25">
      <c r="A1221" t="s">
        <v>1839</v>
      </c>
      <c r="B1221" t="s">
        <v>1840</v>
      </c>
      <c r="C1221" s="3">
        <v>0.46854166666666669</v>
      </c>
      <c r="D1221" t="s">
        <v>16</v>
      </c>
      <c r="E1221" t="s">
        <v>640</v>
      </c>
      <c r="F1221" s="4"/>
      <c r="G1221">
        <v>1975</v>
      </c>
      <c r="H1221">
        <v>7</v>
      </c>
      <c r="I1221">
        <v>9</v>
      </c>
      <c r="J1221" t="s">
        <v>126</v>
      </c>
      <c r="K1221">
        <v>125.58</v>
      </c>
      <c r="L1221">
        <v>3</v>
      </c>
      <c r="M1221">
        <v>376.74</v>
      </c>
      <c r="N1221" t="s">
        <v>64</v>
      </c>
      <c r="O1221" t="s">
        <v>55</v>
      </c>
      <c r="P1221" t="s">
        <v>74</v>
      </c>
    </row>
    <row r="1222" spans="1:16" x14ac:dyDescent="0.25">
      <c r="A1222" t="s">
        <v>1841</v>
      </c>
      <c r="B1222" s="4">
        <v>45817</v>
      </c>
      <c r="C1222" s="3">
        <v>0.64082175925925922</v>
      </c>
      <c r="D1222" t="s">
        <v>16</v>
      </c>
      <c r="E1222" t="s">
        <v>324</v>
      </c>
      <c r="F1222" s="4"/>
      <c r="G1222">
        <v>1996</v>
      </c>
      <c r="H1222">
        <v>2</v>
      </c>
      <c r="I1222">
        <v>28</v>
      </c>
      <c r="J1222" t="s">
        <v>60</v>
      </c>
      <c r="K1222" t="s">
        <v>1842</v>
      </c>
      <c r="L1222">
        <v>1</v>
      </c>
      <c r="M1222">
        <v>266.47000000000003</v>
      </c>
      <c r="N1222" t="s">
        <v>19</v>
      </c>
      <c r="O1222" t="s">
        <v>47</v>
      </c>
      <c r="P1222" t="s">
        <v>33</v>
      </c>
    </row>
    <row r="1223" spans="1:16" x14ac:dyDescent="0.25">
      <c r="A1223" t="s">
        <v>1843</v>
      </c>
      <c r="B1223" s="4">
        <v>45917</v>
      </c>
      <c r="C1223" s="3">
        <v>0.50574074074074071</v>
      </c>
      <c r="D1223" t="s">
        <v>16</v>
      </c>
      <c r="E1223" t="s">
        <v>17</v>
      </c>
      <c r="F1223" s="1"/>
      <c r="G1223">
        <v>1995</v>
      </c>
      <c r="H1223">
        <v>2</v>
      </c>
      <c r="I1223">
        <v>19</v>
      </c>
      <c r="J1223" t="s">
        <v>259</v>
      </c>
      <c r="K1223">
        <v>126.71</v>
      </c>
      <c r="L1223">
        <v>3</v>
      </c>
      <c r="M1223">
        <v>380.13</v>
      </c>
      <c r="N1223" t="s">
        <v>67</v>
      </c>
      <c r="O1223" t="s">
        <v>26</v>
      </c>
      <c r="P1223" t="s">
        <v>74</v>
      </c>
    </row>
    <row r="1224" spans="1:16" x14ac:dyDescent="0.25">
      <c r="A1224" t="s">
        <v>1844</v>
      </c>
      <c r="B1224" s="4">
        <v>45731</v>
      </c>
      <c r="C1224" s="3">
        <v>0.73614583333333339</v>
      </c>
      <c r="D1224" t="s">
        <v>16</v>
      </c>
      <c r="E1224" t="s">
        <v>44</v>
      </c>
      <c r="F1224" s="4"/>
      <c r="G1224">
        <v>1981</v>
      </c>
      <c r="H1224">
        <v>3</v>
      </c>
      <c r="I1224">
        <v>25</v>
      </c>
      <c r="J1224" t="s">
        <v>199</v>
      </c>
      <c r="K1224">
        <v>246.72</v>
      </c>
      <c r="L1224">
        <v>0</v>
      </c>
      <c r="M1224">
        <v>0</v>
      </c>
      <c r="N1224" t="s">
        <v>19</v>
      </c>
      <c r="O1224" t="s">
        <v>26</v>
      </c>
    </row>
    <row r="1225" spans="1:16" x14ac:dyDescent="0.25">
      <c r="A1225" t="s">
        <v>1845</v>
      </c>
      <c r="B1225" s="4">
        <v>45834</v>
      </c>
      <c r="C1225" s="2">
        <v>0.98124999999999996</v>
      </c>
      <c r="D1225" t="s">
        <v>16</v>
      </c>
      <c r="E1225" t="s">
        <v>1846</v>
      </c>
      <c r="J1225" t="s">
        <v>30</v>
      </c>
      <c r="K1225">
        <v>247.05</v>
      </c>
      <c r="L1225">
        <v>1</v>
      </c>
      <c r="M1225">
        <v>247.05</v>
      </c>
      <c r="N1225" t="s">
        <v>19</v>
      </c>
      <c r="O1225" t="s">
        <v>55</v>
      </c>
      <c r="P1225" t="s">
        <v>48</v>
      </c>
    </row>
    <row r="1226" spans="1:16" x14ac:dyDescent="0.25">
      <c r="A1226" t="s">
        <v>1847</v>
      </c>
      <c r="B1226" s="4">
        <v>45621</v>
      </c>
      <c r="C1226" s="5">
        <v>0.57916666666666672</v>
      </c>
      <c r="D1226" t="s">
        <v>16</v>
      </c>
      <c r="E1226" t="s">
        <v>1184</v>
      </c>
      <c r="G1226">
        <v>1989</v>
      </c>
      <c r="H1226">
        <v>9</v>
      </c>
      <c r="I1226">
        <v>6</v>
      </c>
      <c r="J1226" t="s">
        <v>93</v>
      </c>
      <c r="K1226">
        <v>211.1</v>
      </c>
      <c r="L1226">
        <v>1</v>
      </c>
      <c r="M1226">
        <v>211.1</v>
      </c>
      <c r="N1226" t="s">
        <v>54</v>
      </c>
      <c r="O1226" t="s">
        <v>20</v>
      </c>
      <c r="P1226" t="s">
        <v>56</v>
      </c>
    </row>
    <row r="1227" spans="1:16" x14ac:dyDescent="0.25">
      <c r="A1227" t="s">
        <v>1848</v>
      </c>
      <c r="B1227" t="s">
        <v>1849</v>
      </c>
      <c r="C1227" s="2">
        <v>0.52916666666666667</v>
      </c>
      <c r="D1227" t="s">
        <v>16</v>
      </c>
      <c r="E1227" t="s">
        <v>92</v>
      </c>
      <c r="F1227" s="1"/>
      <c r="G1227">
        <v>1974</v>
      </c>
      <c r="H1227">
        <v>12</v>
      </c>
      <c r="I1227">
        <v>4</v>
      </c>
      <c r="J1227" t="s">
        <v>213</v>
      </c>
      <c r="K1227">
        <v>109.8</v>
      </c>
      <c r="L1227">
        <v>3</v>
      </c>
      <c r="M1227">
        <v>329.4</v>
      </c>
      <c r="N1227" t="s">
        <v>19</v>
      </c>
      <c r="O1227" t="s">
        <v>47</v>
      </c>
      <c r="P1227" t="s">
        <v>27</v>
      </c>
    </row>
    <row r="1228" spans="1:16" x14ac:dyDescent="0.25">
      <c r="A1228" t="s">
        <v>1850</v>
      </c>
      <c r="B1228" s="1">
        <v>45829</v>
      </c>
      <c r="C1228" s="3">
        <v>0.8140856481481481</v>
      </c>
      <c r="D1228" t="s">
        <v>16</v>
      </c>
      <c r="E1228" t="s">
        <v>252</v>
      </c>
      <c r="F1228" s="4"/>
      <c r="G1228">
        <v>2009</v>
      </c>
      <c r="H1228">
        <v>1</v>
      </c>
      <c r="I1228">
        <v>23</v>
      </c>
      <c r="J1228" t="s">
        <v>116</v>
      </c>
      <c r="K1228">
        <v>252.34</v>
      </c>
      <c r="L1228">
        <v>2</v>
      </c>
      <c r="M1228">
        <v>504.68</v>
      </c>
      <c r="N1228" t="s">
        <v>64</v>
      </c>
      <c r="O1228" t="s">
        <v>20</v>
      </c>
    </row>
    <row r="1229" spans="1:16" x14ac:dyDescent="0.25">
      <c r="A1229" t="s">
        <v>1851</v>
      </c>
      <c r="B1229" s="1">
        <v>45667</v>
      </c>
      <c r="C1229" s="2">
        <v>0.45277777777777778</v>
      </c>
      <c r="D1229" t="s">
        <v>16</v>
      </c>
      <c r="E1229" t="s">
        <v>855</v>
      </c>
      <c r="F1229" s="4"/>
      <c r="G1229">
        <v>2005</v>
      </c>
      <c r="H1229">
        <v>1</v>
      </c>
      <c r="I1229">
        <v>15</v>
      </c>
      <c r="J1229" t="s">
        <v>141</v>
      </c>
      <c r="K1229">
        <v>158.94999999999999</v>
      </c>
      <c r="L1229">
        <v>3</v>
      </c>
      <c r="M1229">
        <v>476.85</v>
      </c>
      <c r="N1229" t="s">
        <v>41</v>
      </c>
      <c r="O1229" t="s">
        <v>55</v>
      </c>
      <c r="P1229" t="s">
        <v>21</v>
      </c>
    </row>
    <row r="1230" spans="1:16" x14ac:dyDescent="0.25">
      <c r="A1230" t="s">
        <v>1852</v>
      </c>
      <c r="B1230" t="s">
        <v>1503</v>
      </c>
      <c r="C1230" s="3">
        <v>0.73016203703703708</v>
      </c>
      <c r="D1230" t="s">
        <v>16</v>
      </c>
      <c r="E1230" t="s">
        <v>659</v>
      </c>
      <c r="F1230" s="4"/>
      <c r="G1230">
        <v>1996</v>
      </c>
      <c r="H1230">
        <v>6</v>
      </c>
      <c r="I1230">
        <v>15</v>
      </c>
      <c r="J1230" t="s">
        <v>126</v>
      </c>
      <c r="K1230">
        <v>114.79</v>
      </c>
      <c r="L1230">
        <v>1</v>
      </c>
      <c r="M1230">
        <v>114.79</v>
      </c>
      <c r="N1230" t="s">
        <v>25</v>
      </c>
      <c r="O1230" t="s">
        <v>89</v>
      </c>
      <c r="P1230" t="s">
        <v>48</v>
      </c>
    </row>
    <row r="1231" spans="1:16" x14ac:dyDescent="0.25">
      <c r="A1231" t="s">
        <v>1853</v>
      </c>
      <c r="B1231" s="1">
        <v>45714</v>
      </c>
      <c r="C1231" s="3">
        <v>0.91273148148148153</v>
      </c>
      <c r="D1231" t="s">
        <v>16</v>
      </c>
      <c r="E1231" t="s">
        <v>187</v>
      </c>
      <c r="F1231" s="4"/>
      <c r="G1231">
        <v>1985</v>
      </c>
      <c r="H1231">
        <v>9</v>
      </c>
      <c r="I1231">
        <v>18</v>
      </c>
      <c r="J1231" t="s">
        <v>126</v>
      </c>
      <c r="K1231">
        <v>142.96</v>
      </c>
      <c r="L1231">
        <v>1</v>
      </c>
      <c r="M1231">
        <v>142.96</v>
      </c>
      <c r="N1231" t="s">
        <v>64</v>
      </c>
      <c r="O1231" t="s">
        <v>47</v>
      </c>
      <c r="P1231" t="s">
        <v>74</v>
      </c>
    </row>
    <row r="1232" spans="1:16" x14ac:dyDescent="0.25">
      <c r="A1232" t="s">
        <v>1854</v>
      </c>
      <c r="B1232" s="1">
        <v>45624</v>
      </c>
      <c r="C1232" s="3">
        <v>0.46504629629629629</v>
      </c>
      <c r="D1232" t="s">
        <v>16</v>
      </c>
      <c r="E1232" t="s">
        <v>201</v>
      </c>
      <c r="F1232" s="1"/>
      <c r="G1232">
        <v>1990</v>
      </c>
      <c r="H1232">
        <v>11</v>
      </c>
      <c r="I1232">
        <v>8</v>
      </c>
      <c r="J1232" t="s">
        <v>93</v>
      </c>
      <c r="K1232">
        <v>153.06</v>
      </c>
      <c r="L1232">
        <v>3</v>
      </c>
      <c r="M1232">
        <v>459.18</v>
      </c>
      <c r="N1232" t="s">
        <v>54</v>
      </c>
      <c r="O1232" t="s">
        <v>20</v>
      </c>
      <c r="P1232" t="s">
        <v>74</v>
      </c>
    </row>
    <row r="1233" spans="1:16" x14ac:dyDescent="0.25">
      <c r="A1233" t="s">
        <v>1855</v>
      </c>
      <c r="B1233" s="4">
        <v>45861</v>
      </c>
      <c r="C1233" s="5">
        <v>0.71527777777777779</v>
      </c>
      <c r="D1233" t="s">
        <v>16</v>
      </c>
      <c r="E1233" t="s">
        <v>1427</v>
      </c>
      <c r="F1233" s="4"/>
      <c r="G1233">
        <v>2002</v>
      </c>
      <c r="H1233">
        <v>4</v>
      </c>
      <c r="I1233">
        <v>13</v>
      </c>
      <c r="J1233" t="s">
        <v>40</v>
      </c>
      <c r="K1233">
        <v>187.48</v>
      </c>
      <c r="L1233">
        <v>2</v>
      </c>
      <c r="M1233">
        <v>357.96</v>
      </c>
      <c r="O1233" t="s">
        <v>47</v>
      </c>
      <c r="P1233" t="s">
        <v>33</v>
      </c>
    </row>
    <row r="1234" spans="1:16" x14ac:dyDescent="0.25">
      <c r="A1234" t="s">
        <v>1856</v>
      </c>
      <c r="B1234" s="4">
        <v>45655</v>
      </c>
      <c r="C1234" s="3">
        <v>0.82454861111111111</v>
      </c>
      <c r="D1234" t="s">
        <v>16</v>
      </c>
      <c r="E1234" t="s">
        <v>191</v>
      </c>
      <c r="F1234" s="4"/>
      <c r="G1234">
        <v>1985</v>
      </c>
      <c r="H1234">
        <v>12</v>
      </c>
      <c r="I1234">
        <v>22</v>
      </c>
      <c r="J1234" t="s">
        <v>24</v>
      </c>
      <c r="K1234">
        <v>278.23</v>
      </c>
      <c r="L1234">
        <v>2</v>
      </c>
      <c r="M1234">
        <v>556.46</v>
      </c>
      <c r="O1234" t="s">
        <v>55</v>
      </c>
      <c r="P1234" t="s">
        <v>105</v>
      </c>
    </row>
    <row r="1235" spans="1:16" x14ac:dyDescent="0.25">
      <c r="A1235" t="s">
        <v>1857</v>
      </c>
      <c r="B1235" s="4">
        <v>45905</v>
      </c>
      <c r="C1235" s="5">
        <v>0.58333333333333337</v>
      </c>
      <c r="D1235" t="s">
        <v>16</v>
      </c>
      <c r="E1235" t="s">
        <v>125</v>
      </c>
      <c r="F1235" s="4"/>
      <c r="G1235">
        <v>1999</v>
      </c>
      <c r="H1235">
        <v>12</v>
      </c>
      <c r="I1235">
        <v>1</v>
      </c>
      <c r="J1235" t="s">
        <v>243</v>
      </c>
      <c r="K1235">
        <v>120.58</v>
      </c>
      <c r="L1235">
        <v>2</v>
      </c>
      <c r="M1235">
        <v>241.16</v>
      </c>
      <c r="N1235" t="s">
        <v>67</v>
      </c>
      <c r="O1235" t="s">
        <v>55</v>
      </c>
    </row>
    <row r="1236" spans="1:16" x14ac:dyDescent="0.25">
      <c r="A1236" t="s">
        <v>1858</v>
      </c>
      <c r="B1236" s="4">
        <v>45926</v>
      </c>
      <c r="C1236" s="3">
        <v>0.48371527777777779</v>
      </c>
      <c r="D1236" t="s">
        <v>16</v>
      </c>
      <c r="E1236" t="s">
        <v>227</v>
      </c>
      <c r="G1236">
        <v>1979</v>
      </c>
      <c r="H1236">
        <v>2</v>
      </c>
      <c r="I1236">
        <v>7</v>
      </c>
      <c r="J1236" t="s">
        <v>202</v>
      </c>
      <c r="K1236">
        <v>112.94</v>
      </c>
      <c r="L1236">
        <v>2</v>
      </c>
      <c r="M1236">
        <v>225.88</v>
      </c>
      <c r="N1236" t="s">
        <v>54</v>
      </c>
      <c r="O1236" t="s">
        <v>89</v>
      </c>
      <c r="P1236" t="s">
        <v>27</v>
      </c>
    </row>
    <row r="1237" spans="1:16" x14ac:dyDescent="0.25">
      <c r="A1237" t="s">
        <v>1859</v>
      </c>
      <c r="B1237" s="4">
        <v>45955</v>
      </c>
      <c r="C1237" s="2">
        <v>0.96597222222222223</v>
      </c>
      <c r="D1237" t="s">
        <v>16</v>
      </c>
      <c r="E1237" t="s">
        <v>387</v>
      </c>
      <c r="F1237" s="1"/>
      <c r="G1237">
        <v>1972</v>
      </c>
      <c r="H1237">
        <v>12</v>
      </c>
      <c r="I1237">
        <v>22</v>
      </c>
      <c r="J1237" t="s">
        <v>36</v>
      </c>
      <c r="K1237">
        <v>320.52999999999997</v>
      </c>
      <c r="L1237">
        <v>3</v>
      </c>
      <c r="M1237">
        <v>961.59</v>
      </c>
      <c r="N1237" t="s">
        <v>19</v>
      </c>
      <c r="O1237" t="s">
        <v>47</v>
      </c>
      <c r="P1237" t="s">
        <v>48</v>
      </c>
    </row>
    <row r="1238" spans="1:16" x14ac:dyDescent="0.25">
      <c r="A1238" t="s">
        <v>1860</v>
      </c>
      <c r="B1238" t="s">
        <v>805</v>
      </c>
      <c r="C1238" s="3">
        <v>0.75942129629629629</v>
      </c>
      <c r="D1238" t="s">
        <v>16</v>
      </c>
      <c r="E1238" t="s">
        <v>299</v>
      </c>
      <c r="F1238" s="4"/>
      <c r="G1238">
        <v>1971</v>
      </c>
      <c r="H1238">
        <v>9</v>
      </c>
      <c r="I1238">
        <v>4</v>
      </c>
      <c r="J1238" t="s">
        <v>202</v>
      </c>
      <c r="K1238">
        <v>160.36000000000001</v>
      </c>
      <c r="L1238">
        <v>1</v>
      </c>
      <c r="M1238">
        <v>160.36000000000001</v>
      </c>
      <c r="N1238" t="s">
        <v>25</v>
      </c>
      <c r="O1238" t="s">
        <v>26</v>
      </c>
    </row>
    <row r="1239" spans="1:16" x14ac:dyDescent="0.25">
      <c r="A1239" t="s">
        <v>1861</v>
      </c>
      <c r="B1239" s="4">
        <v>45783</v>
      </c>
      <c r="C1239" s="5">
        <v>0.99652777777777779</v>
      </c>
      <c r="D1239" t="s">
        <v>16</v>
      </c>
      <c r="E1239" t="s">
        <v>240</v>
      </c>
      <c r="F1239" s="4"/>
      <c r="G1239">
        <v>1998</v>
      </c>
      <c r="H1239">
        <v>7</v>
      </c>
      <c r="I1239">
        <v>27</v>
      </c>
      <c r="J1239" t="s">
        <v>85</v>
      </c>
      <c r="K1239">
        <v>240.71</v>
      </c>
      <c r="L1239">
        <v>1</v>
      </c>
      <c r="M1239">
        <v>240.71</v>
      </c>
      <c r="N1239" t="s">
        <v>41</v>
      </c>
      <c r="O1239" t="s">
        <v>47</v>
      </c>
      <c r="P1239" t="s">
        <v>105</v>
      </c>
    </row>
    <row r="1240" spans="1:16" x14ac:dyDescent="0.25">
      <c r="A1240" t="s">
        <v>1862</v>
      </c>
      <c r="B1240" t="s">
        <v>1863</v>
      </c>
      <c r="C1240" s="3">
        <v>0.73024305555555558</v>
      </c>
      <c r="D1240" t="s">
        <v>16</v>
      </c>
      <c r="E1240" t="s">
        <v>712</v>
      </c>
      <c r="F1240" s="4"/>
      <c r="G1240">
        <v>2008</v>
      </c>
      <c r="H1240">
        <v>8</v>
      </c>
      <c r="I1240">
        <v>22</v>
      </c>
      <c r="J1240" t="s">
        <v>30</v>
      </c>
      <c r="K1240">
        <v>313.19</v>
      </c>
      <c r="L1240">
        <v>2</v>
      </c>
      <c r="M1240">
        <v>626.38</v>
      </c>
      <c r="N1240" t="s">
        <v>41</v>
      </c>
      <c r="O1240" t="s">
        <v>32</v>
      </c>
    </row>
    <row r="1241" spans="1:16" x14ac:dyDescent="0.25">
      <c r="A1241" t="s">
        <v>1864</v>
      </c>
      <c r="B1241" s="1">
        <v>45770</v>
      </c>
      <c r="C1241" s="2">
        <v>0.86875000000000002</v>
      </c>
      <c r="D1241" t="s">
        <v>16</v>
      </c>
      <c r="E1241" t="s">
        <v>377</v>
      </c>
      <c r="G1241">
        <v>1996</v>
      </c>
      <c r="H1241">
        <v>11</v>
      </c>
      <c r="I1241">
        <v>27</v>
      </c>
      <c r="J1241" t="s">
        <v>104</v>
      </c>
      <c r="K1241">
        <v>307.43</v>
      </c>
      <c r="L1241">
        <v>2</v>
      </c>
      <c r="M1241">
        <v>614.86</v>
      </c>
      <c r="N1241" t="s">
        <v>25</v>
      </c>
      <c r="O1241" t="s">
        <v>20</v>
      </c>
    </row>
    <row r="1242" spans="1:16" x14ac:dyDescent="0.25">
      <c r="A1242" t="s">
        <v>1865</v>
      </c>
      <c r="B1242" s="4">
        <v>45635</v>
      </c>
      <c r="C1242" s="2">
        <v>0.85138888888888886</v>
      </c>
      <c r="D1242" t="s">
        <v>16</v>
      </c>
      <c r="E1242" t="s">
        <v>334</v>
      </c>
      <c r="F1242" s="1"/>
      <c r="G1242">
        <v>1983</v>
      </c>
      <c r="H1242">
        <v>2</v>
      </c>
      <c r="I1242">
        <v>28</v>
      </c>
      <c r="J1242" t="s">
        <v>129</v>
      </c>
      <c r="K1242">
        <v>184.73</v>
      </c>
      <c r="L1242">
        <v>1</v>
      </c>
      <c r="M1242">
        <v>184.73</v>
      </c>
      <c r="N1242" t="s">
        <v>41</v>
      </c>
      <c r="O1242" t="s">
        <v>47</v>
      </c>
      <c r="P1242" t="s">
        <v>48</v>
      </c>
    </row>
    <row r="1243" spans="1:16" x14ac:dyDescent="0.25">
      <c r="A1243" t="s">
        <v>1866</v>
      </c>
      <c r="B1243" s="1">
        <v>45936</v>
      </c>
      <c r="C1243" s="3">
        <v>0.51237268518518519</v>
      </c>
      <c r="D1243" t="s">
        <v>16</v>
      </c>
      <c r="E1243" t="s">
        <v>88</v>
      </c>
      <c r="F1243" s="4"/>
      <c r="G1243">
        <v>1991</v>
      </c>
      <c r="H1243">
        <v>12</v>
      </c>
      <c r="I1243">
        <v>16</v>
      </c>
      <c r="J1243" t="s">
        <v>202</v>
      </c>
      <c r="K1243">
        <v>312.49</v>
      </c>
      <c r="L1243">
        <v>3</v>
      </c>
      <c r="M1243">
        <v>937.47</v>
      </c>
      <c r="N1243" t="s">
        <v>41</v>
      </c>
      <c r="O1243" t="s">
        <v>20</v>
      </c>
    </row>
    <row r="1244" spans="1:16" x14ac:dyDescent="0.25">
      <c r="A1244" t="s">
        <v>1867</v>
      </c>
      <c r="B1244" s="4">
        <v>45745</v>
      </c>
      <c r="C1244" s="5">
        <v>0.56944444444444442</v>
      </c>
      <c r="D1244" t="s">
        <v>16</v>
      </c>
      <c r="E1244" t="s">
        <v>133</v>
      </c>
      <c r="F1244" s="4"/>
      <c r="G1244">
        <v>2000</v>
      </c>
      <c r="H1244">
        <v>9</v>
      </c>
      <c r="I1244">
        <v>25</v>
      </c>
      <c r="J1244" t="s">
        <v>104</v>
      </c>
      <c r="K1244">
        <v>311.58</v>
      </c>
      <c r="L1244">
        <v>1</v>
      </c>
      <c r="M1244">
        <v>311.58</v>
      </c>
      <c r="N1244" t="s">
        <v>54</v>
      </c>
      <c r="O1244" t="s">
        <v>20</v>
      </c>
      <c r="P1244" t="s">
        <v>27</v>
      </c>
    </row>
    <row r="1245" spans="1:16" x14ac:dyDescent="0.25">
      <c r="A1245" t="s">
        <v>1868</v>
      </c>
      <c r="B1245" s="1">
        <v>45795</v>
      </c>
      <c r="C1245" s="2">
        <v>0.99027777777777781</v>
      </c>
      <c r="D1245" t="s">
        <v>16</v>
      </c>
      <c r="E1245" t="s">
        <v>173</v>
      </c>
      <c r="F1245" s="4"/>
      <c r="G1245">
        <v>2004</v>
      </c>
      <c r="H1245">
        <v>10</v>
      </c>
      <c r="I1245">
        <v>6</v>
      </c>
      <c r="J1245" t="s">
        <v>110</v>
      </c>
      <c r="K1245">
        <v>128.29</v>
      </c>
      <c r="L1245">
        <v>1</v>
      </c>
      <c r="M1245">
        <v>128.29</v>
      </c>
      <c r="N1245" t="s">
        <v>25</v>
      </c>
      <c r="O1245" t="s">
        <v>55</v>
      </c>
      <c r="P1245" t="s">
        <v>48</v>
      </c>
    </row>
    <row r="1246" spans="1:16" x14ac:dyDescent="0.25">
      <c r="A1246" t="s">
        <v>1869</v>
      </c>
      <c r="B1246" t="s">
        <v>175</v>
      </c>
      <c r="C1246" s="3">
        <v>0.64451388888888894</v>
      </c>
      <c r="D1246" t="s">
        <v>16</v>
      </c>
      <c r="E1246" t="s">
        <v>169</v>
      </c>
      <c r="F1246" s="1"/>
      <c r="G1246">
        <v>1975</v>
      </c>
      <c r="H1246">
        <v>4</v>
      </c>
      <c r="I1246">
        <v>5</v>
      </c>
      <c r="J1246" t="s">
        <v>45</v>
      </c>
      <c r="K1246">
        <v>273.24</v>
      </c>
      <c r="L1246">
        <v>3</v>
      </c>
      <c r="M1246" t="s">
        <v>1870</v>
      </c>
      <c r="N1246" t="s">
        <v>41</v>
      </c>
      <c r="O1246" t="s">
        <v>32</v>
      </c>
    </row>
    <row r="1247" spans="1:16" x14ac:dyDescent="0.25">
      <c r="A1247" t="s">
        <v>1871</v>
      </c>
      <c r="B1247" s="1">
        <v>45841</v>
      </c>
      <c r="C1247" s="2">
        <v>0.68680555555555556</v>
      </c>
      <c r="D1247" t="s">
        <v>16</v>
      </c>
      <c r="E1247" t="s">
        <v>84</v>
      </c>
      <c r="F1247" s="1"/>
      <c r="G1247">
        <v>1985</v>
      </c>
      <c r="H1247">
        <v>1</v>
      </c>
      <c r="I1247">
        <v>28</v>
      </c>
      <c r="J1247" t="s">
        <v>93</v>
      </c>
      <c r="K1247" t="s">
        <v>1872</v>
      </c>
      <c r="L1247">
        <v>2</v>
      </c>
      <c r="M1247">
        <v>393.4</v>
      </c>
      <c r="N1247" t="s">
        <v>25</v>
      </c>
      <c r="O1247" t="s">
        <v>61</v>
      </c>
      <c r="P1247" t="s">
        <v>48</v>
      </c>
    </row>
    <row r="1248" spans="1:16" x14ac:dyDescent="0.25">
      <c r="A1248" t="s">
        <v>1873</v>
      </c>
      <c r="B1248" s="4">
        <v>45909</v>
      </c>
      <c r="C1248" s="3">
        <v>0.70225694444444442</v>
      </c>
      <c r="D1248" t="s">
        <v>16</v>
      </c>
      <c r="E1248" t="s">
        <v>109</v>
      </c>
      <c r="F1248" s="1"/>
      <c r="G1248">
        <v>1984</v>
      </c>
      <c r="H1248">
        <v>2</v>
      </c>
      <c r="I1248">
        <v>2</v>
      </c>
      <c r="J1248" t="s">
        <v>73</v>
      </c>
      <c r="K1248">
        <v>39.58</v>
      </c>
      <c r="L1248">
        <v>1</v>
      </c>
      <c r="M1248">
        <v>39.58</v>
      </c>
      <c r="N1248" t="s">
        <v>31</v>
      </c>
      <c r="O1248" t="s">
        <v>37</v>
      </c>
      <c r="P1248" t="s">
        <v>27</v>
      </c>
    </row>
    <row r="1249" spans="1:16" x14ac:dyDescent="0.25">
      <c r="A1249" t="s">
        <v>1874</v>
      </c>
      <c r="B1249" s="4">
        <v>45911</v>
      </c>
      <c r="C1249" s="3">
        <v>0.83370370370370372</v>
      </c>
      <c r="D1249" t="s">
        <v>16</v>
      </c>
      <c r="E1249" t="s">
        <v>338</v>
      </c>
      <c r="F1249" s="4"/>
      <c r="G1249">
        <v>1996</v>
      </c>
      <c r="H1249">
        <v>12</v>
      </c>
      <c r="I1249">
        <v>2</v>
      </c>
      <c r="J1249" t="s">
        <v>141</v>
      </c>
      <c r="K1249" t="s">
        <v>1875</v>
      </c>
      <c r="L1249">
        <v>2</v>
      </c>
      <c r="M1249">
        <v>266.26</v>
      </c>
      <c r="N1249" t="s">
        <v>19</v>
      </c>
      <c r="O1249" t="s">
        <v>20</v>
      </c>
      <c r="P1249" t="s">
        <v>27</v>
      </c>
    </row>
    <row r="1250" spans="1:16" x14ac:dyDescent="0.25">
      <c r="A1250" t="s">
        <v>1876</v>
      </c>
      <c r="B1250" s="4">
        <v>45776</v>
      </c>
      <c r="C1250" s="3">
        <v>0.68379629629629635</v>
      </c>
      <c r="D1250" t="s">
        <v>16</v>
      </c>
      <c r="E1250" t="s">
        <v>237</v>
      </c>
      <c r="F1250" s="4"/>
      <c r="G1250">
        <v>1984</v>
      </c>
      <c r="H1250">
        <v>3</v>
      </c>
      <c r="I1250">
        <v>3</v>
      </c>
      <c r="J1250" t="s">
        <v>30</v>
      </c>
      <c r="K1250">
        <v>296.02999999999997</v>
      </c>
      <c r="L1250">
        <v>0</v>
      </c>
      <c r="M1250">
        <v>0</v>
      </c>
      <c r="N1250" t="s">
        <v>54</v>
      </c>
      <c r="O1250" t="s">
        <v>61</v>
      </c>
      <c r="P1250" t="s">
        <v>27</v>
      </c>
    </row>
    <row r="1251" spans="1:16" x14ac:dyDescent="0.25">
      <c r="A1251" t="s">
        <v>1877</v>
      </c>
      <c r="B1251" s="4">
        <v>45932</v>
      </c>
      <c r="C1251" s="2">
        <v>0.51041666666666663</v>
      </c>
      <c r="D1251" t="s">
        <v>16</v>
      </c>
      <c r="E1251" t="s">
        <v>776</v>
      </c>
      <c r="F1251" s="4"/>
      <c r="G1251">
        <v>1997</v>
      </c>
      <c r="H1251">
        <v>7</v>
      </c>
      <c r="I1251">
        <v>15</v>
      </c>
      <c r="J1251" t="s">
        <v>85</v>
      </c>
      <c r="K1251">
        <v>241.46</v>
      </c>
      <c r="L1251">
        <v>3</v>
      </c>
      <c r="M1251">
        <v>724.38</v>
      </c>
      <c r="N1251" t="s">
        <v>41</v>
      </c>
      <c r="O1251" t="s">
        <v>89</v>
      </c>
      <c r="P1251" t="s">
        <v>27</v>
      </c>
    </row>
    <row r="1252" spans="1:16" x14ac:dyDescent="0.25">
      <c r="A1252" t="s">
        <v>1878</v>
      </c>
      <c r="C1252" s="2">
        <v>0.9243055555555556</v>
      </c>
      <c r="D1252" t="s">
        <v>16</v>
      </c>
      <c r="E1252" t="s">
        <v>23</v>
      </c>
      <c r="F1252" s="1"/>
      <c r="G1252">
        <v>1973</v>
      </c>
      <c r="H1252">
        <v>9</v>
      </c>
      <c r="I1252">
        <v>19</v>
      </c>
      <c r="J1252" t="s">
        <v>45</v>
      </c>
      <c r="K1252">
        <v>172.82</v>
      </c>
      <c r="L1252">
        <v>1</v>
      </c>
      <c r="M1252">
        <v>172.82</v>
      </c>
      <c r="N1252" t="s">
        <v>41</v>
      </c>
      <c r="O1252" t="s">
        <v>89</v>
      </c>
      <c r="P1252" t="s">
        <v>21</v>
      </c>
    </row>
    <row r="1253" spans="1:16" x14ac:dyDescent="0.25">
      <c r="A1253" t="s">
        <v>1879</v>
      </c>
      <c r="B1253" s="1">
        <v>45735</v>
      </c>
      <c r="C1253" s="2">
        <v>0.54374999999999996</v>
      </c>
      <c r="D1253" t="s">
        <v>16</v>
      </c>
      <c r="E1253" t="s">
        <v>1880</v>
      </c>
      <c r="G1253">
        <v>2001</v>
      </c>
      <c r="H1253">
        <v>5</v>
      </c>
      <c r="I1253">
        <v>20</v>
      </c>
      <c r="J1253" t="s">
        <v>141</v>
      </c>
      <c r="K1253">
        <v>110.84</v>
      </c>
      <c r="L1253">
        <v>2</v>
      </c>
      <c r="M1253">
        <v>221.68</v>
      </c>
      <c r="N1253" t="s">
        <v>25</v>
      </c>
      <c r="O1253" t="s">
        <v>37</v>
      </c>
    </row>
    <row r="1254" spans="1:16" x14ac:dyDescent="0.25">
      <c r="A1254" t="s">
        <v>1881</v>
      </c>
      <c r="B1254" s="4">
        <v>45799</v>
      </c>
      <c r="C1254" s="2">
        <v>0.55138888888888893</v>
      </c>
      <c r="D1254" t="s">
        <v>16</v>
      </c>
      <c r="E1254" t="s">
        <v>232</v>
      </c>
      <c r="F1254" s="4"/>
      <c r="G1254">
        <v>1996</v>
      </c>
      <c r="H1254">
        <v>11</v>
      </c>
      <c r="I1254">
        <v>8</v>
      </c>
      <c r="J1254" t="s">
        <v>129</v>
      </c>
      <c r="K1254">
        <v>221.97</v>
      </c>
      <c r="L1254">
        <v>1</v>
      </c>
      <c r="M1254">
        <v>221.97</v>
      </c>
      <c r="N1254" t="s">
        <v>41</v>
      </c>
      <c r="O1254" t="s">
        <v>47</v>
      </c>
    </row>
    <row r="1255" spans="1:16" x14ac:dyDescent="0.25">
      <c r="A1255" t="s">
        <v>1882</v>
      </c>
      <c r="B1255" s="4">
        <v>45866</v>
      </c>
      <c r="C1255" s="3">
        <v>0.79409722222222223</v>
      </c>
      <c r="D1255" t="s">
        <v>16</v>
      </c>
      <c r="E1255" t="s">
        <v>299</v>
      </c>
      <c r="F1255" s="4"/>
      <c r="G1255">
        <v>2006</v>
      </c>
      <c r="H1255">
        <v>2</v>
      </c>
      <c r="I1255">
        <v>23</v>
      </c>
      <c r="J1255" t="s">
        <v>199</v>
      </c>
      <c r="K1255">
        <v>180.04</v>
      </c>
      <c r="L1255">
        <v>2</v>
      </c>
      <c r="M1255">
        <v>360.08</v>
      </c>
      <c r="N1255" t="s">
        <v>67</v>
      </c>
      <c r="O1255" t="s">
        <v>61</v>
      </c>
      <c r="P1255" t="s">
        <v>48</v>
      </c>
    </row>
    <row r="1256" spans="1:16" x14ac:dyDescent="0.25">
      <c r="A1256" t="s">
        <v>1883</v>
      </c>
      <c r="B1256" t="s">
        <v>1370</v>
      </c>
      <c r="C1256" s="5">
        <v>0.66666666666666663</v>
      </c>
      <c r="D1256" t="s">
        <v>16</v>
      </c>
      <c r="E1256" t="s">
        <v>84</v>
      </c>
      <c r="J1256" t="s">
        <v>104</v>
      </c>
      <c r="K1256">
        <v>281.19</v>
      </c>
      <c r="L1256">
        <v>3</v>
      </c>
      <c r="M1256">
        <v>843.57</v>
      </c>
      <c r="N1256" t="s">
        <v>25</v>
      </c>
      <c r="O1256" t="s">
        <v>55</v>
      </c>
      <c r="P1256" t="s">
        <v>48</v>
      </c>
    </row>
    <row r="1257" spans="1:16" x14ac:dyDescent="0.25">
      <c r="A1257" t="s">
        <v>1884</v>
      </c>
      <c r="B1257" s="1">
        <v>45727</v>
      </c>
      <c r="C1257" s="5">
        <v>0.47569444444444442</v>
      </c>
      <c r="D1257" t="s">
        <v>16</v>
      </c>
      <c r="E1257" t="s">
        <v>107</v>
      </c>
      <c r="F1257" s="4"/>
      <c r="G1257">
        <v>1998</v>
      </c>
      <c r="H1257">
        <v>6</v>
      </c>
      <c r="I1257">
        <v>5</v>
      </c>
      <c r="J1257" t="s">
        <v>30</v>
      </c>
      <c r="K1257">
        <v>283.64</v>
      </c>
      <c r="L1257">
        <v>3</v>
      </c>
      <c r="M1257">
        <v>843.92</v>
      </c>
      <c r="N1257" t="s">
        <v>31</v>
      </c>
      <c r="O1257" t="s">
        <v>89</v>
      </c>
      <c r="P1257" t="s">
        <v>27</v>
      </c>
    </row>
    <row r="1258" spans="1:16" x14ac:dyDescent="0.25">
      <c r="A1258" t="s">
        <v>1885</v>
      </c>
      <c r="B1258" s="4">
        <v>45929</v>
      </c>
      <c r="C1258" s="5">
        <v>0.94374999999999998</v>
      </c>
      <c r="D1258" t="s">
        <v>16</v>
      </c>
      <c r="E1258" t="s">
        <v>699</v>
      </c>
      <c r="G1258">
        <v>2008</v>
      </c>
      <c r="H1258">
        <v>6</v>
      </c>
      <c r="I1258">
        <v>5</v>
      </c>
      <c r="J1258" t="s">
        <v>30</v>
      </c>
      <c r="K1258">
        <v>227.8</v>
      </c>
      <c r="L1258">
        <v>2</v>
      </c>
      <c r="M1258">
        <v>455.6</v>
      </c>
      <c r="N1258" t="s">
        <v>25</v>
      </c>
      <c r="O1258" t="s">
        <v>61</v>
      </c>
      <c r="P1258" t="s">
        <v>56</v>
      </c>
    </row>
    <row r="1259" spans="1:16" x14ac:dyDescent="0.25">
      <c r="A1259" t="s">
        <v>1886</v>
      </c>
      <c r="B1259" s="4">
        <v>45756</v>
      </c>
      <c r="C1259" s="3">
        <v>0.87200231481481483</v>
      </c>
      <c r="D1259" t="s">
        <v>16</v>
      </c>
      <c r="E1259" t="s">
        <v>88</v>
      </c>
      <c r="F1259" s="1"/>
      <c r="G1259">
        <v>2009</v>
      </c>
      <c r="H1259">
        <v>1</v>
      </c>
      <c r="I1259">
        <v>19</v>
      </c>
      <c r="J1259" t="s">
        <v>129</v>
      </c>
      <c r="K1259">
        <v>190</v>
      </c>
      <c r="L1259">
        <v>2</v>
      </c>
      <c r="M1259">
        <v>390</v>
      </c>
      <c r="N1259" t="s">
        <v>31</v>
      </c>
      <c r="O1259" t="s">
        <v>26</v>
      </c>
      <c r="P1259" t="s">
        <v>105</v>
      </c>
    </row>
    <row r="1260" spans="1:16" x14ac:dyDescent="0.25">
      <c r="A1260" t="s">
        <v>1887</v>
      </c>
      <c r="B1260" s="4">
        <v>45882</v>
      </c>
      <c r="C1260" s="2">
        <v>0.61875000000000002</v>
      </c>
      <c r="D1260" t="s">
        <v>16</v>
      </c>
      <c r="E1260" t="s">
        <v>1427</v>
      </c>
      <c r="F1260" s="4"/>
      <c r="G1260">
        <v>2009</v>
      </c>
      <c r="H1260">
        <v>11</v>
      </c>
      <c r="I1260">
        <v>9</v>
      </c>
      <c r="J1260" t="s">
        <v>36</v>
      </c>
      <c r="K1260">
        <v>123.01</v>
      </c>
      <c r="L1260">
        <v>3</v>
      </c>
      <c r="M1260">
        <v>369.03</v>
      </c>
      <c r="O1260" t="s">
        <v>37</v>
      </c>
      <c r="P1260" t="s">
        <v>33</v>
      </c>
    </row>
    <row r="1261" spans="1:16" x14ac:dyDescent="0.25">
      <c r="A1261" t="s">
        <v>1888</v>
      </c>
      <c r="B1261" s="4">
        <v>45827</v>
      </c>
      <c r="C1261" s="2">
        <v>0.4597222222222222</v>
      </c>
      <c r="D1261" t="s">
        <v>16</v>
      </c>
      <c r="E1261" t="s">
        <v>451</v>
      </c>
      <c r="F1261" s="4"/>
      <c r="G1261">
        <v>1996</v>
      </c>
      <c r="H1261">
        <v>8</v>
      </c>
      <c r="I1261">
        <v>4</v>
      </c>
      <c r="J1261" t="s">
        <v>45</v>
      </c>
      <c r="K1261">
        <v>343.33</v>
      </c>
      <c r="L1261">
        <v>3</v>
      </c>
      <c r="M1261">
        <v>1029.99</v>
      </c>
      <c r="N1261" t="s">
        <v>25</v>
      </c>
      <c r="O1261" t="s">
        <v>26</v>
      </c>
      <c r="P1261" t="s">
        <v>74</v>
      </c>
    </row>
    <row r="1262" spans="1:16" x14ac:dyDescent="0.25">
      <c r="A1262" t="s">
        <v>1889</v>
      </c>
      <c r="B1262" s="1">
        <v>45630</v>
      </c>
      <c r="C1262" s="3">
        <v>0.49078703703703702</v>
      </c>
      <c r="D1262" t="s">
        <v>16</v>
      </c>
      <c r="E1262" t="s">
        <v>256</v>
      </c>
      <c r="F1262" s="1"/>
      <c r="G1262">
        <v>1982</v>
      </c>
      <c r="H1262">
        <v>8</v>
      </c>
      <c r="I1262">
        <v>23</v>
      </c>
      <c r="J1262" t="s">
        <v>30</v>
      </c>
      <c r="K1262">
        <v>221.26</v>
      </c>
      <c r="L1262">
        <v>3</v>
      </c>
      <c r="M1262">
        <v>663.78</v>
      </c>
      <c r="N1262" t="s">
        <v>19</v>
      </c>
      <c r="O1262" t="s">
        <v>89</v>
      </c>
      <c r="P1262" t="s">
        <v>48</v>
      </c>
    </row>
    <row r="1263" spans="1:16" x14ac:dyDescent="0.25">
      <c r="A1263" t="s">
        <v>1890</v>
      </c>
      <c r="C1263" s="5">
        <v>0.90694444444444444</v>
      </c>
      <c r="D1263" t="s">
        <v>16</v>
      </c>
      <c r="E1263" t="s">
        <v>163</v>
      </c>
      <c r="F1263" s="1"/>
      <c r="G1263">
        <v>1977</v>
      </c>
      <c r="H1263">
        <v>1</v>
      </c>
      <c r="I1263">
        <v>24</v>
      </c>
      <c r="J1263" t="s">
        <v>178</v>
      </c>
      <c r="K1263">
        <v>298.04000000000002</v>
      </c>
      <c r="L1263">
        <v>2</v>
      </c>
      <c r="M1263">
        <v>596.08000000000004</v>
      </c>
      <c r="N1263" t="s">
        <v>25</v>
      </c>
      <c r="O1263" t="s">
        <v>89</v>
      </c>
    </row>
    <row r="1264" spans="1:16" x14ac:dyDescent="0.25">
      <c r="A1264" t="s">
        <v>1891</v>
      </c>
      <c r="B1264" s="4">
        <v>45911</v>
      </c>
      <c r="C1264" s="2">
        <v>0.97430555555555554</v>
      </c>
      <c r="D1264" t="s">
        <v>16</v>
      </c>
      <c r="E1264" t="s">
        <v>50</v>
      </c>
      <c r="F1264" s="1"/>
      <c r="G1264">
        <v>1996</v>
      </c>
      <c r="H1264">
        <v>11</v>
      </c>
      <c r="I1264">
        <v>27</v>
      </c>
      <c r="J1264" t="s">
        <v>45</v>
      </c>
      <c r="K1264">
        <v>236.16</v>
      </c>
      <c r="L1264">
        <v>2</v>
      </c>
      <c r="M1264">
        <v>472.32</v>
      </c>
      <c r="N1264" t="s">
        <v>41</v>
      </c>
      <c r="O1264" t="s">
        <v>32</v>
      </c>
      <c r="P1264" t="s">
        <v>105</v>
      </c>
    </row>
    <row r="1265" spans="1:16" x14ac:dyDescent="0.25">
      <c r="A1265" t="s">
        <v>1892</v>
      </c>
      <c r="B1265" t="s">
        <v>1893</v>
      </c>
      <c r="C1265" s="3">
        <v>0.71359953703703705</v>
      </c>
      <c r="D1265" t="s">
        <v>16</v>
      </c>
      <c r="E1265" t="s">
        <v>1627</v>
      </c>
      <c r="F1265" s="1"/>
      <c r="G1265">
        <v>2000</v>
      </c>
      <c r="H1265">
        <v>5</v>
      </c>
      <c r="I1265">
        <v>8</v>
      </c>
      <c r="J1265" t="s">
        <v>213</v>
      </c>
      <c r="K1265">
        <v>166.21</v>
      </c>
      <c r="L1265">
        <v>2</v>
      </c>
      <c r="M1265" t="s">
        <v>1894</v>
      </c>
      <c r="N1265" t="s">
        <v>19</v>
      </c>
      <c r="O1265" t="s">
        <v>37</v>
      </c>
    </row>
    <row r="1266" spans="1:16" x14ac:dyDescent="0.25">
      <c r="A1266" t="s">
        <v>1895</v>
      </c>
      <c r="B1266" t="s">
        <v>1106</v>
      </c>
      <c r="C1266" s="5">
        <v>0.4777777777777778</v>
      </c>
      <c r="D1266" t="s">
        <v>16</v>
      </c>
      <c r="E1266" t="s">
        <v>1896</v>
      </c>
      <c r="J1266" t="s">
        <v>141</v>
      </c>
      <c r="K1266">
        <v>120.64</v>
      </c>
      <c r="L1266">
        <v>1</v>
      </c>
      <c r="M1266">
        <v>120.64</v>
      </c>
      <c r="N1266" t="s">
        <v>41</v>
      </c>
      <c r="O1266" t="s">
        <v>32</v>
      </c>
      <c r="P1266" t="s">
        <v>48</v>
      </c>
    </row>
    <row r="1267" spans="1:16" x14ac:dyDescent="0.25">
      <c r="A1267" t="s">
        <v>1897</v>
      </c>
      <c r="B1267" t="s">
        <v>1898</v>
      </c>
      <c r="C1267" s="5">
        <v>0.84305555555555556</v>
      </c>
      <c r="D1267" t="s">
        <v>16</v>
      </c>
      <c r="E1267" t="s">
        <v>379</v>
      </c>
      <c r="F1267" s="4"/>
      <c r="G1267">
        <v>2000</v>
      </c>
      <c r="H1267">
        <v>3</v>
      </c>
      <c r="I1267">
        <v>11</v>
      </c>
      <c r="J1267" t="s">
        <v>202</v>
      </c>
      <c r="K1267">
        <v>-223.38</v>
      </c>
      <c r="L1267">
        <v>2</v>
      </c>
      <c r="M1267">
        <v>-473.76</v>
      </c>
      <c r="N1267" t="s">
        <v>19</v>
      </c>
      <c r="O1267" t="s">
        <v>47</v>
      </c>
      <c r="P1267" t="s">
        <v>48</v>
      </c>
    </row>
    <row r="1268" spans="1:16" x14ac:dyDescent="0.25">
      <c r="A1268" t="s">
        <v>1899</v>
      </c>
      <c r="B1268" t="s">
        <v>783</v>
      </c>
      <c r="C1268" s="5">
        <v>0.54513888888888884</v>
      </c>
      <c r="D1268" t="s">
        <v>16</v>
      </c>
      <c r="E1268" t="s">
        <v>59</v>
      </c>
      <c r="F1268" s="4"/>
      <c r="G1268">
        <v>1994</v>
      </c>
      <c r="H1268">
        <v>8</v>
      </c>
      <c r="I1268">
        <v>14</v>
      </c>
      <c r="J1268" t="s">
        <v>110</v>
      </c>
      <c r="K1268">
        <v>97.84</v>
      </c>
      <c r="L1268">
        <v>1</v>
      </c>
      <c r="M1268">
        <v>97.84</v>
      </c>
      <c r="N1268" t="s">
        <v>31</v>
      </c>
      <c r="O1268" t="s">
        <v>26</v>
      </c>
    </row>
    <row r="1269" spans="1:16" x14ac:dyDescent="0.25">
      <c r="A1269" t="s">
        <v>1900</v>
      </c>
      <c r="B1269" s="1">
        <v>45898</v>
      </c>
      <c r="C1269" s="5">
        <v>0.78888888888888886</v>
      </c>
      <c r="D1269" t="s">
        <v>16</v>
      </c>
      <c r="E1269" t="s">
        <v>140</v>
      </c>
      <c r="F1269" s="1"/>
      <c r="G1269">
        <v>1981</v>
      </c>
      <c r="H1269">
        <v>2</v>
      </c>
      <c r="I1269">
        <v>8</v>
      </c>
      <c r="J1269" t="s">
        <v>141</v>
      </c>
      <c r="K1269">
        <v>129.41</v>
      </c>
      <c r="L1269">
        <v>2</v>
      </c>
      <c r="M1269">
        <v>258.82</v>
      </c>
      <c r="N1269" t="s">
        <v>54</v>
      </c>
      <c r="O1269" t="s">
        <v>32</v>
      </c>
      <c r="P1269" t="s">
        <v>27</v>
      </c>
    </row>
    <row r="1270" spans="1:16" x14ac:dyDescent="0.25">
      <c r="A1270" t="s">
        <v>1901</v>
      </c>
      <c r="B1270" s="4">
        <v>45935</v>
      </c>
      <c r="C1270" s="3">
        <v>0.76775462962962959</v>
      </c>
      <c r="D1270" t="s">
        <v>16</v>
      </c>
      <c r="E1270" t="s">
        <v>299</v>
      </c>
      <c r="F1270" s="4"/>
      <c r="G1270">
        <v>1991</v>
      </c>
      <c r="H1270">
        <v>11</v>
      </c>
      <c r="I1270">
        <v>19</v>
      </c>
      <c r="J1270" t="s">
        <v>129</v>
      </c>
      <c r="K1270">
        <v>188.91</v>
      </c>
      <c r="L1270">
        <v>2</v>
      </c>
      <c r="M1270">
        <v>377.82</v>
      </c>
      <c r="N1270" t="s">
        <v>19</v>
      </c>
      <c r="O1270" t="s">
        <v>61</v>
      </c>
    </row>
    <row r="1271" spans="1:16" x14ac:dyDescent="0.25">
      <c r="A1271" t="s">
        <v>1902</v>
      </c>
      <c r="B1271" s="4">
        <v>45972</v>
      </c>
      <c r="C1271" s="3">
        <v>0.98416666666666663</v>
      </c>
      <c r="D1271" t="s">
        <v>16</v>
      </c>
      <c r="E1271" t="s">
        <v>548</v>
      </c>
      <c r="F1271" s="4"/>
      <c r="G1271">
        <v>1981</v>
      </c>
      <c r="H1271">
        <v>8</v>
      </c>
      <c r="I1271">
        <v>26</v>
      </c>
      <c r="J1271" t="s">
        <v>36</v>
      </c>
      <c r="K1271">
        <v>254.56</v>
      </c>
      <c r="L1271">
        <v>2</v>
      </c>
      <c r="M1271">
        <v>509.12</v>
      </c>
      <c r="N1271" t="s">
        <v>41</v>
      </c>
      <c r="O1271" t="s">
        <v>20</v>
      </c>
      <c r="P1271" t="s">
        <v>56</v>
      </c>
    </row>
    <row r="1272" spans="1:16" x14ac:dyDescent="0.25">
      <c r="A1272" t="s">
        <v>1903</v>
      </c>
      <c r="B1272" s="4">
        <v>45744</v>
      </c>
      <c r="C1272" s="3">
        <v>0.5379976851851852</v>
      </c>
      <c r="D1272" t="s">
        <v>16</v>
      </c>
      <c r="E1272" t="s">
        <v>88</v>
      </c>
      <c r="G1272">
        <v>1970</v>
      </c>
      <c r="H1272">
        <v>2</v>
      </c>
      <c r="I1272">
        <v>9</v>
      </c>
      <c r="J1272" t="s">
        <v>24</v>
      </c>
      <c r="K1272">
        <v>270.31</v>
      </c>
      <c r="L1272">
        <v>3</v>
      </c>
      <c r="M1272">
        <v>810.93</v>
      </c>
      <c r="N1272" t="s">
        <v>19</v>
      </c>
      <c r="O1272" t="s">
        <v>37</v>
      </c>
      <c r="P1272" t="s">
        <v>74</v>
      </c>
    </row>
    <row r="1273" spans="1:16" x14ac:dyDescent="0.25">
      <c r="A1273" t="s">
        <v>1904</v>
      </c>
      <c r="B1273" s="4">
        <v>45880</v>
      </c>
      <c r="C1273" s="2">
        <v>0.44861111111111113</v>
      </c>
      <c r="D1273" t="s">
        <v>16</v>
      </c>
      <c r="E1273" t="s">
        <v>776</v>
      </c>
      <c r="G1273">
        <v>2008</v>
      </c>
      <c r="H1273">
        <v>1</v>
      </c>
      <c r="I1273">
        <v>11</v>
      </c>
      <c r="J1273" t="s">
        <v>199</v>
      </c>
      <c r="K1273">
        <v>179.33</v>
      </c>
      <c r="L1273">
        <v>1</v>
      </c>
      <c r="M1273">
        <v>179.33</v>
      </c>
      <c r="N1273" t="s">
        <v>67</v>
      </c>
      <c r="O1273" t="s">
        <v>32</v>
      </c>
    </row>
    <row r="1274" spans="1:16" x14ac:dyDescent="0.25">
      <c r="A1274" t="s">
        <v>1905</v>
      </c>
      <c r="B1274" s="4">
        <v>45953</v>
      </c>
      <c r="C1274" s="5">
        <v>0.84097222222222223</v>
      </c>
      <c r="D1274" t="s">
        <v>16</v>
      </c>
      <c r="E1274" t="s">
        <v>246</v>
      </c>
      <c r="G1274">
        <v>1989</v>
      </c>
      <c r="H1274">
        <v>7</v>
      </c>
      <c r="I1274">
        <v>1</v>
      </c>
      <c r="J1274" t="s">
        <v>73</v>
      </c>
      <c r="K1274">
        <v>55.26</v>
      </c>
      <c r="L1274">
        <v>2</v>
      </c>
      <c r="M1274">
        <v>110.52</v>
      </c>
      <c r="N1274" t="s">
        <v>31</v>
      </c>
      <c r="O1274" t="s">
        <v>37</v>
      </c>
      <c r="P1274" t="s">
        <v>105</v>
      </c>
    </row>
    <row r="1275" spans="1:16" x14ac:dyDescent="0.25">
      <c r="A1275" t="s">
        <v>1906</v>
      </c>
      <c r="B1275" s="1">
        <v>45851</v>
      </c>
      <c r="C1275" s="2">
        <v>0.81388888888888888</v>
      </c>
      <c r="D1275" t="s">
        <v>16</v>
      </c>
      <c r="E1275" t="s">
        <v>118</v>
      </c>
      <c r="J1275" t="s">
        <v>60</v>
      </c>
      <c r="K1275">
        <v>234.06</v>
      </c>
      <c r="L1275">
        <v>2</v>
      </c>
      <c r="M1275">
        <v>468.12</v>
      </c>
      <c r="N1275" t="s">
        <v>31</v>
      </c>
      <c r="O1275" t="s">
        <v>20</v>
      </c>
      <c r="P1275" t="s">
        <v>56</v>
      </c>
    </row>
    <row r="1276" spans="1:16" x14ac:dyDescent="0.25">
      <c r="A1276" t="s">
        <v>1907</v>
      </c>
      <c r="B1276" s="4">
        <v>45868</v>
      </c>
      <c r="C1276" s="2">
        <v>0.54236111111111107</v>
      </c>
      <c r="D1276" t="s">
        <v>16</v>
      </c>
      <c r="E1276" t="s">
        <v>332</v>
      </c>
      <c r="F1276" s="4"/>
      <c r="G1276">
        <v>2002</v>
      </c>
      <c r="H1276">
        <v>10</v>
      </c>
      <c r="I1276">
        <v>22</v>
      </c>
      <c r="J1276" t="s">
        <v>145</v>
      </c>
      <c r="K1276">
        <v>223.58</v>
      </c>
      <c r="L1276">
        <v>1</v>
      </c>
      <c r="M1276">
        <v>191.58</v>
      </c>
      <c r="O1276" t="s">
        <v>20</v>
      </c>
      <c r="P1276" t="s">
        <v>48</v>
      </c>
    </row>
    <row r="1277" spans="1:16" x14ac:dyDescent="0.25">
      <c r="A1277" t="s">
        <v>1908</v>
      </c>
      <c r="B1277" t="s">
        <v>847</v>
      </c>
      <c r="C1277" s="2">
        <v>0.49791666666666667</v>
      </c>
      <c r="D1277" t="s">
        <v>16</v>
      </c>
      <c r="E1277" t="s">
        <v>332</v>
      </c>
      <c r="J1277" t="s">
        <v>129</v>
      </c>
      <c r="K1277">
        <v>212.42</v>
      </c>
      <c r="L1277">
        <v>2</v>
      </c>
      <c r="M1277">
        <v>424.84</v>
      </c>
      <c r="O1277" t="s">
        <v>32</v>
      </c>
    </row>
    <row r="1278" spans="1:16" x14ac:dyDescent="0.25">
      <c r="A1278" t="s">
        <v>1909</v>
      </c>
      <c r="B1278" s="4">
        <v>45878</v>
      </c>
      <c r="C1278" s="3">
        <v>0.43586805555555558</v>
      </c>
      <c r="D1278" t="s">
        <v>16</v>
      </c>
      <c r="E1278" t="s">
        <v>222</v>
      </c>
      <c r="F1278" s="1"/>
      <c r="G1278">
        <v>2008</v>
      </c>
      <c r="H1278">
        <v>7</v>
      </c>
      <c r="I1278">
        <v>26</v>
      </c>
      <c r="J1278" t="s">
        <v>45</v>
      </c>
      <c r="K1278">
        <v>225.95</v>
      </c>
      <c r="L1278">
        <v>2</v>
      </c>
      <c r="M1278">
        <v>451.9</v>
      </c>
      <c r="O1278" t="s">
        <v>55</v>
      </c>
      <c r="P1278" t="s">
        <v>27</v>
      </c>
    </row>
    <row r="1279" spans="1:16" x14ac:dyDescent="0.25">
      <c r="A1279" t="s">
        <v>1910</v>
      </c>
      <c r="B1279" s="4">
        <v>45685</v>
      </c>
      <c r="C1279" s="3">
        <v>0.49686342592592592</v>
      </c>
      <c r="D1279" t="s">
        <v>16</v>
      </c>
      <c r="E1279" t="s">
        <v>211</v>
      </c>
      <c r="F1279" s="4"/>
      <c r="G1279">
        <v>1993</v>
      </c>
      <c r="H1279">
        <v>1</v>
      </c>
      <c r="I1279">
        <v>5</v>
      </c>
      <c r="J1279" t="s">
        <v>85</v>
      </c>
      <c r="K1279">
        <v>308.37</v>
      </c>
      <c r="L1279">
        <v>1</v>
      </c>
      <c r="M1279">
        <v>308.37</v>
      </c>
      <c r="N1279" t="s">
        <v>19</v>
      </c>
      <c r="O1279" t="s">
        <v>20</v>
      </c>
      <c r="P1279" t="s">
        <v>74</v>
      </c>
    </row>
    <row r="1280" spans="1:16" x14ac:dyDescent="0.25">
      <c r="A1280" t="s">
        <v>1911</v>
      </c>
      <c r="B1280" s="4">
        <v>45856</v>
      </c>
      <c r="C1280" s="3">
        <v>0.68587962962962967</v>
      </c>
      <c r="D1280" t="s">
        <v>16</v>
      </c>
      <c r="E1280" t="s">
        <v>76</v>
      </c>
      <c r="F1280" s="4"/>
      <c r="G1280">
        <v>1978</v>
      </c>
      <c r="H1280">
        <v>1</v>
      </c>
      <c r="I1280">
        <v>23</v>
      </c>
      <c r="J1280" t="s">
        <v>145</v>
      </c>
      <c r="K1280">
        <v>173.99</v>
      </c>
      <c r="L1280">
        <v>2</v>
      </c>
      <c r="M1280">
        <v>347.98</v>
      </c>
      <c r="N1280" t="s">
        <v>67</v>
      </c>
      <c r="O1280" t="s">
        <v>47</v>
      </c>
      <c r="P1280" t="s">
        <v>48</v>
      </c>
    </row>
    <row r="1281" spans="1:16" x14ac:dyDescent="0.25">
      <c r="A1281" t="s">
        <v>1912</v>
      </c>
      <c r="B1281" s="4">
        <v>45689</v>
      </c>
      <c r="C1281" s="5">
        <v>0.80138888888888893</v>
      </c>
      <c r="D1281" t="s">
        <v>16</v>
      </c>
      <c r="E1281" t="s">
        <v>471</v>
      </c>
      <c r="G1281">
        <v>2001</v>
      </c>
      <c r="H1281">
        <v>8</v>
      </c>
      <c r="I1281">
        <v>15</v>
      </c>
      <c r="J1281" t="s">
        <v>24</v>
      </c>
      <c r="K1281">
        <v>206.31</v>
      </c>
      <c r="L1281">
        <v>2</v>
      </c>
      <c r="M1281">
        <v>412.62</v>
      </c>
      <c r="N1281" t="s">
        <v>54</v>
      </c>
      <c r="O1281" t="s">
        <v>47</v>
      </c>
      <c r="P1281" t="s">
        <v>74</v>
      </c>
    </row>
    <row r="1282" spans="1:16" x14ac:dyDescent="0.25">
      <c r="A1282" t="s">
        <v>1913</v>
      </c>
      <c r="B1282" t="s">
        <v>100</v>
      </c>
      <c r="C1282" s="3">
        <v>0.90942129629629631</v>
      </c>
      <c r="D1282" t="s">
        <v>16</v>
      </c>
      <c r="E1282" t="s">
        <v>237</v>
      </c>
      <c r="F1282" s="4"/>
      <c r="G1282">
        <v>1971</v>
      </c>
      <c r="H1282">
        <v>12</v>
      </c>
      <c r="I1282">
        <v>26</v>
      </c>
      <c r="J1282" t="s">
        <v>40</v>
      </c>
      <c r="K1282">
        <v>209.39</v>
      </c>
      <c r="L1282">
        <v>1</v>
      </c>
      <c r="M1282">
        <v>209.39</v>
      </c>
      <c r="N1282" t="s">
        <v>64</v>
      </c>
      <c r="O1282" t="s">
        <v>47</v>
      </c>
      <c r="P1282" t="s">
        <v>27</v>
      </c>
    </row>
    <row r="1283" spans="1:16" x14ac:dyDescent="0.25">
      <c r="A1283" t="s">
        <v>1914</v>
      </c>
      <c r="B1283" s="4">
        <v>45947</v>
      </c>
      <c r="C1283" s="5">
        <v>0.6381944444444444</v>
      </c>
      <c r="D1283" t="s">
        <v>16</v>
      </c>
      <c r="E1283" t="s">
        <v>267</v>
      </c>
      <c r="F1283" s="1"/>
      <c r="G1283">
        <v>1998</v>
      </c>
      <c r="H1283">
        <v>11</v>
      </c>
      <c r="I1283">
        <v>15</v>
      </c>
      <c r="J1283" t="s">
        <v>30</v>
      </c>
      <c r="K1283">
        <v>289.52</v>
      </c>
      <c r="L1283">
        <v>2</v>
      </c>
      <c r="M1283">
        <v>579.04</v>
      </c>
      <c r="N1283" t="s">
        <v>19</v>
      </c>
      <c r="O1283" t="s">
        <v>26</v>
      </c>
    </row>
    <row r="1284" spans="1:16" x14ac:dyDescent="0.25">
      <c r="A1284" t="s">
        <v>1915</v>
      </c>
      <c r="B1284" s="4">
        <v>45788</v>
      </c>
      <c r="C1284" s="2">
        <v>0.56944444444444442</v>
      </c>
      <c r="D1284" t="s">
        <v>16</v>
      </c>
      <c r="E1284" t="s">
        <v>405</v>
      </c>
      <c r="F1284" s="1"/>
      <c r="G1284">
        <v>2001</v>
      </c>
      <c r="H1284">
        <v>8</v>
      </c>
      <c r="I1284">
        <v>19</v>
      </c>
      <c r="J1284" t="s">
        <v>40</v>
      </c>
      <c r="K1284">
        <v>177.83</v>
      </c>
      <c r="L1284">
        <v>3</v>
      </c>
      <c r="M1284">
        <v>533.49</v>
      </c>
      <c r="N1284" t="s">
        <v>41</v>
      </c>
      <c r="O1284" t="s">
        <v>55</v>
      </c>
      <c r="P1284" t="s">
        <v>105</v>
      </c>
    </row>
    <row r="1285" spans="1:16" x14ac:dyDescent="0.25">
      <c r="A1285" t="s">
        <v>1916</v>
      </c>
      <c r="B1285" s="4">
        <v>45898</v>
      </c>
      <c r="C1285" s="5">
        <v>0.4513888888888889</v>
      </c>
      <c r="D1285" t="s">
        <v>16</v>
      </c>
      <c r="E1285" t="s">
        <v>76</v>
      </c>
      <c r="G1285">
        <v>1996</v>
      </c>
      <c r="H1285">
        <v>10</v>
      </c>
      <c r="I1285">
        <v>2</v>
      </c>
      <c r="J1285" t="s">
        <v>104</v>
      </c>
      <c r="K1285">
        <v>246.4</v>
      </c>
      <c r="L1285">
        <v>1</v>
      </c>
      <c r="M1285" t="s">
        <v>1917</v>
      </c>
      <c r="N1285" t="s">
        <v>25</v>
      </c>
      <c r="O1285" t="s">
        <v>32</v>
      </c>
    </row>
    <row r="1286" spans="1:16" x14ac:dyDescent="0.25">
      <c r="A1286" t="s">
        <v>1918</v>
      </c>
      <c r="B1286" s="4">
        <v>45972</v>
      </c>
      <c r="C1286" s="5">
        <v>0.59027777777777779</v>
      </c>
      <c r="D1286" t="s">
        <v>16</v>
      </c>
      <c r="E1286" t="s">
        <v>562</v>
      </c>
      <c r="F1286" s="4"/>
      <c r="G1286">
        <v>2007</v>
      </c>
      <c r="H1286">
        <v>7</v>
      </c>
      <c r="I1286">
        <v>14</v>
      </c>
      <c r="J1286" t="s">
        <v>24</v>
      </c>
      <c r="K1286">
        <v>288.73</v>
      </c>
      <c r="L1286">
        <v>1</v>
      </c>
      <c r="M1286">
        <v>288.73</v>
      </c>
      <c r="N1286" t="s">
        <v>67</v>
      </c>
      <c r="O1286" t="s">
        <v>32</v>
      </c>
      <c r="P1286" t="s">
        <v>33</v>
      </c>
    </row>
    <row r="1287" spans="1:16" x14ac:dyDescent="0.25">
      <c r="A1287" t="s">
        <v>1919</v>
      </c>
      <c r="B1287" t="s">
        <v>386</v>
      </c>
      <c r="C1287" s="3">
        <v>0.85452546296296295</v>
      </c>
      <c r="D1287" t="s">
        <v>16</v>
      </c>
      <c r="E1287" t="s">
        <v>434</v>
      </c>
      <c r="F1287" s="4"/>
      <c r="G1287">
        <v>1978</v>
      </c>
      <c r="H1287">
        <v>7</v>
      </c>
      <c r="I1287">
        <v>26</v>
      </c>
      <c r="J1287" t="s">
        <v>36</v>
      </c>
      <c r="K1287">
        <v>189.95</v>
      </c>
      <c r="L1287">
        <v>1</v>
      </c>
      <c r="M1287" t="s">
        <v>1920</v>
      </c>
      <c r="N1287" t="s">
        <v>31</v>
      </c>
      <c r="O1287" t="s">
        <v>26</v>
      </c>
      <c r="P1287" t="s">
        <v>105</v>
      </c>
    </row>
    <row r="1288" spans="1:16" x14ac:dyDescent="0.25">
      <c r="A1288" t="s">
        <v>1921</v>
      </c>
      <c r="B1288" t="s">
        <v>1922</v>
      </c>
      <c r="C1288" s="3">
        <v>0.70607638888888891</v>
      </c>
      <c r="D1288" t="s">
        <v>16</v>
      </c>
      <c r="E1288" t="s">
        <v>50</v>
      </c>
      <c r="G1288">
        <v>1979</v>
      </c>
      <c r="H1288">
        <v>12</v>
      </c>
      <c r="I1288">
        <v>3</v>
      </c>
      <c r="J1288" t="s">
        <v>53</v>
      </c>
      <c r="K1288">
        <v>100.04</v>
      </c>
      <c r="L1288">
        <v>2</v>
      </c>
      <c r="M1288">
        <v>200.08</v>
      </c>
      <c r="N1288" t="s">
        <v>64</v>
      </c>
      <c r="O1288" t="s">
        <v>37</v>
      </c>
      <c r="P1288" t="s">
        <v>56</v>
      </c>
    </row>
    <row r="1289" spans="1:16" x14ac:dyDescent="0.25">
      <c r="A1289" t="s">
        <v>1923</v>
      </c>
      <c r="B1289" t="s">
        <v>694</v>
      </c>
      <c r="C1289" s="2">
        <v>0.71736111111111112</v>
      </c>
      <c r="D1289" t="s">
        <v>16</v>
      </c>
      <c r="E1289" t="s">
        <v>640</v>
      </c>
      <c r="F1289" s="1"/>
      <c r="G1289">
        <v>1973</v>
      </c>
      <c r="H1289">
        <v>11</v>
      </c>
      <c r="I1289">
        <v>16</v>
      </c>
      <c r="J1289" t="s">
        <v>53</v>
      </c>
      <c r="K1289">
        <v>93.06</v>
      </c>
      <c r="L1289">
        <v>3</v>
      </c>
      <c r="M1289">
        <v>279.18</v>
      </c>
      <c r="N1289" t="s">
        <v>67</v>
      </c>
      <c r="O1289" t="s">
        <v>20</v>
      </c>
      <c r="P1289" t="s">
        <v>33</v>
      </c>
    </row>
    <row r="1290" spans="1:16" x14ac:dyDescent="0.25">
      <c r="A1290" t="s">
        <v>1924</v>
      </c>
      <c r="B1290" t="s">
        <v>150</v>
      </c>
      <c r="C1290" s="3">
        <v>0.53886574074074078</v>
      </c>
      <c r="D1290" t="s">
        <v>16</v>
      </c>
      <c r="E1290" t="s">
        <v>222</v>
      </c>
      <c r="F1290" s="1"/>
      <c r="G1290">
        <v>2007</v>
      </c>
      <c r="H1290">
        <v>1</v>
      </c>
      <c r="I1290">
        <v>19</v>
      </c>
      <c r="J1290" t="s">
        <v>30</v>
      </c>
      <c r="K1290">
        <v>321.87</v>
      </c>
      <c r="L1290">
        <v>2</v>
      </c>
      <c r="M1290">
        <v>643.74</v>
      </c>
      <c r="N1290" t="s">
        <v>54</v>
      </c>
      <c r="O1290" t="s">
        <v>61</v>
      </c>
    </row>
    <row r="1291" spans="1:16" x14ac:dyDescent="0.25">
      <c r="A1291" t="s">
        <v>1925</v>
      </c>
      <c r="B1291" s="4">
        <v>45853</v>
      </c>
      <c r="C1291" s="2">
        <v>0.97152777777777777</v>
      </c>
      <c r="D1291" t="s">
        <v>16</v>
      </c>
      <c r="E1291" t="s">
        <v>246</v>
      </c>
      <c r="F1291" s="1"/>
      <c r="G1291">
        <v>1982</v>
      </c>
      <c r="H1291">
        <v>12</v>
      </c>
      <c r="I1291">
        <v>24</v>
      </c>
      <c r="J1291" t="s">
        <v>40</v>
      </c>
      <c r="K1291">
        <v>232.14</v>
      </c>
      <c r="L1291">
        <v>2</v>
      </c>
      <c r="M1291">
        <v>464.28</v>
      </c>
      <c r="N1291" t="s">
        <v>54</v>
      </c>
      <c r="O1291" t="s">
        <v>32</v>
      </c>
      <c r="P1291" t="s">
        <v>56</v>
      </c>
    </row>
    <row r="1292" spans="1:16" x14ac:dyDescent="0.25">
      <c r="A1292" t="s">
        <v>1926</v>
      </c>
      <c r="B1292" s="4">
        <v>45769</v>
      </c>
      <c r="C1292" s="2">
        <v>0.71180555555555558</v>
      </c>
      <c r="D1292" t="s">
        <v>16</v>
      </c>
      <c r="E1292" t="s">
        <v>360</v>
      </c>
      <c r="F1292" s="4"/>
      <c r="G1292">
        <v>1976</v>
      </c>
      <c r="H1292">
        <v>6</v>
      </c>
      <c r="I1292">
        <v>10</v>
      </c>
      <c r="J1292" t="s">
        <v>36</v>
      </c>
      <c r="K1292">
        <v>308.60000000000002</v>
      </c>
      <c r="L1292">
        <v>2</v>
      </c>
      <c r="M1292">
        <v>617.20000000000005</v>
      </c>
      <c r="N1292" t="s">
        <v>41</v>
      </c>
      <c r="O1292" t="s">
        <v>26</v>
      </c>
      <c r="P1292" t="s">
        <v>33</v>
      </c>
    </row>
    <row r="1293" spans="1:16" x14ac:dyDescent="0.25">
      <c r="A1293" t="s">
        <v>1927</v>
      </c>
      <c r="B1293" s="1">
        <v>45839</v>
      </c>
      <c r="C1293" s="3">
        <v>0.47466435185185185</v>
      </c>
      <c r="D1293" t="s">
        <v>16</v>
      </c>
      <c r="E1293" t="s">
        <v>229</v>
      </c>
      <c r="F1293" s="1"/>
      <c r="G1293">
        <v>2003</v>
      </c>
      <c r="H1293">
        <v>5</v>
      </c>
      <c r="I1293">
        <v>6</v>
      </c>
      <c r="J1293" t="s">
        <v>85</v>
      </c>
      <c r="K1293">
        <v>238.66</v>
      </c>
      <c r="L1293">
        <v>2</v>
      </c>
      <c r="M1293">
        <v>477.32</v>
      </c>
      <c r="N1293" t="s">
        <v>64</v>
      </c>
      <c r="O1293" t="s">
        <v>61</v>
      </c>
      <c r="P1293" t="s">
        <v>105</v>
      </c>
    </row>
    <row r="1294" spans="1:16" x14ac:dyDescent="0.25">
      <c r="A1294" t="s">
        <v>1928</v>
      </c>
      <c r="B1294" s="4">
        <v>45840</v>
      </c>
      <c r="C1294" s="2">
        <v>0.92291666666666672</v>
      </c>
      <c r="D1294" t="s">
        <v>16</v>
      </c>
      <c r="E1294" t="s">
        <v>770</v>
      </c>
      <c r="F1294" s="4"/>
      <c r="G1294">
        <v>1992</v>
      </c>
      <c r="H1294">
        <v>3</v>
      </c>
      <c r="I1294">
        <v>18</v>
      </c>
      <c r="J1294" t="s">
        <v>40</v>
      </c>
      <c r="K1294">
        <v>221.24</v>
      </c>
      <c r="L1294">
        <v>2</v>
      </c>
      <c r="M1294">
        <v>442.48</v>
      </c>
      <c r="N1294" t="s">
        <v>64</v>
      </c>
      <c r="O1294" t="s">
        <v>32</v>
      </c>
      <c r="P1294" t="s">
        <v>105</v>
      </c>
    </row>
    <row r="1295" spans="1:16" x14ac:dyDescent="0.25">
      <c r="A1295" t="s">
        <v>1929</v>
      </c>
      <c r="B1295" s="4">
        <v>45849</v>
      </c>
      <c r="C1295" s="5">
        <v>0.49166666666666664</v>
      </c>
      <c r="D1295" t="s">
        <v>16</v>
      </c>
      <c r="E1295" t="s">
        <v>218</v>
      </c>
      <c r="G1295">
        <v>2004</v>
      </c>
      <c r="H1295">
        <v>1</v>
      </c>
      <c r="I1295">
        <v>18</v>
      </c>
      <c r="J1295" t="s">
        <v>85</v>
      </c>
      <c r="L1295">
        <v>3</v>
      </c>
      <c r="N1295" t="s">
        <v>31</v>
      </c>
      <c r="O1295" t="s">
        <v>61</v>
      </c>
    </row>
    <row r="1296" spans="1:16" x14ac:dyDescent="0.25">
      <c r="A1296" t="s">
        <v>1930</v>
      </c>
      <c r="B1296" t="s">
        <v>1931</v>
      </c>
      <c r="C1296" s="3">
        <v>0.48417824074074073</v>
      </c>
      <c r="D1296" t="s">
        <v>16</v>
      </c>
      <c r="E1296" t="s">
        <v>237</v>
      </c>
      <c r="F1296" s="1"/>
      <c r="G1296">
        <v>1994</v>
      </c>
      <c r="H1296">
        <v>11</v>
      </c>
      <c r="I1296">
        <v>10</v>
      </c>
      <c r="J1296" t="s">
        <v>243</v>
      </c>
      <c r="K1296">
        <v>124.59</v>
      </c>
      <c r="L1296">
        <v>2</v>
      </c>
      <c r="M1296">
        <v>249.18</v>
      </c>
      <c r="N1296" t="s">
        <v>19</v>
      </c>
      <c r="O1296" t="s">
        <v>26</v>
      </c>
      <c r="P1296" t="s">
        <v>56</v>
      </c>
    </row>
    <row r="1297" spans="1:16" x14ac:dyDescent="0.25">
      <c r="A1297" t="s">
        <v>1932</v>
      </c>
      <c r="B1297" t="s">
        <v>343</v>
      </c>
      <c r="C1297" s="2">
        <v>0.59236111111111112</v>
      </c>
      <c r="D1297" t="s">
        <v>16</v>
      </c>
      <c r="E1297" t="s">
        <v>307</v>
      </c>
      <c r="J1297" t="s">
        <v>202</v>
      </c>
      <c r="K1297">
        <v>184.72</v>
      </c>
      <c r="L1297">
        <v>3</v>
      </c>
      <c r="M1297">
        <v>554.16</v>
      </c>
      <c r="O1297" t="s">
        <v>61</v>
      </c>
      <c r="P1297" t="s">
        <v>33</v>
      </c>
    </row>
    <row r="1298" spans="1:16" x14ac:dyDescent="0.25">
      <c r="A1298" t="s">
        <v>1933</v>
      </c>
      <c r="B1298" s="1">
        <v>45826</v>
      </c>
      <c r="C1298" s="2">
        <v>0.79652777777777772</v>
      </c>
      <c r="D1298" t="s">
        <v>16</v>
      </c>
      <c r="E1298" t="s">
        <v>123</v>
      </c>
      <c r="F1298" s="1"/>
      <c r="G1298">
        <v>1984</v>
      </c>
      <c r="H1298">
        <v>7</v>
      </c>
      <c r="I1298">
        <v>14</v>
      </c>
      <c r="J1298" t="s">
        <v>213</v>
      </c>
      <c r="K1298">
        <v>196.01</v>
      </c>
      <c r="L1298">
        <v>3</v>
      </c>
      <c r="M1298">
        <v>588.03</v>
      </c>
      <c r="N1298" t="s">
        <v>25</v>
      </c>
      <c r="O1298" t="s">
        <v>20</v>
      </c>
      <c r="P1298" t="s">
        <v>21</v>
      </c>
    </row>
    <row r="1299" spans="1:16" x14ac:dyDescent="0.25">
      <c r="A1299" t="s">
        <v>1934</v>
      </c>
      <c r="B1299" s="1">
        <v>45839</v>
      </c>
      <c r="C1299" s="3">
        <v>0.51493055555555556</v>
      </c>
      <c r="D1299" t="s">
        <v>16</v>
      </c>
      <c r="E1299" t="s">
        <v>98</v>
      </c>
      <c r="F1299" s="1"/>
      <c r="G1299">
        <v>2010</v>
      </c>
      <c r="H1299">
        <v>3</v>
      </c>
      <c r="I1299">
        <v>3</v>
      </c>
      <c r="J1299" t="s">
        <v>164</v>
      </c>
      <c r="K1299">
        <v>336.11</v>
      </c>
      <c r="L1299">
        <v>2</v>
      </c>
      <c r="M1299">
        <v>672.22</v>
      </c>
      <c r="N1299" t="s">
        <v>67</v>
      </c>
      <c r="O1299" t="s">
        <v>37</v>
      </c>
      <c r="P1299" t="s">
        <v>27</v>
      </c>
    </row>
    <row r="1300" spans="1:16" x14ac:dyDescent="0.25">
      <c r="A1300" t="s">
        <v>1935</v>
      </c>
      <c r="B1300" s="4">
        <v>45921</v>
      </c>
      <c r="C1300" s="5">
        <v>0.43055555555555558</v>
      </c>
      <c r="D1300" t="s">
        <v>16</v>
      </c>
      <c r="E1300" t="s">
        <v>173</v>
      </c>
      <c r="F1300" s="4"/>
      <c r="G1300">
        <v>1984</v>
      </c>
      <c r="H1300">
        <v>7</v>
      </c>
      <c r="I1300">
        <v>11</v>
      </c>
      <c r="J1300" t="s">
        <v>110</v>
      </c>
      <c r="K1300">
        <v>105.15</v>
      </c>
      <c r="L1300">
        <v>1</v>
      </c>
      <c r="M1300">
        <v>105.15</v>
      </c>
      <c r="N1300" t="s">
        <v>54</v>
      </c>
      <c r="O1300" t="s">
        <v>20</v>
      </c>
      <c r="P1300" t="s">
        <v>56</v>
      </c>
    </row>
    <row r="1301" spans="1:16" x14ac:dyDescent="0.25">
      <c r="A1301" t="s">
        <v>1936</v>
      </c>
      <c r="B1301" s="4">
        <v>45738</v>
      </c>
      <c r="C1301" s="3">
        <v>0.89142361111111112</v>
      </c>
      <c r="D1301" t="s">
        <v>16</v>
      </c>
      <c r="E1301" t="s">
        <v>1602</v>
      </c>
      <c r="F1301" s="1"/>
      <c r="G1301">
        <v>1995</v>
      </c>
      <c r="H1301">
        <v>3</v>
      </c>
      <c r="I1301">
        <v>17</v>
      </c>
      <c r="J1301" t="s">
        <v>45</v>
      </c>
      <c r="K1301">
        <v>102.56</v>
      </c>
      <c r="L1301">
        <v>1</v>
      </c>
      <c r="M1301">
        <v>102.56</v>
      </c>
      <c r="N1301" t="s">
        <v>67</v>
      </c>
      <c r="O1301" t="s">
        <v>55</v>
      </c>
    </row>
    <row r="1302" spans="1:16" x14ac:dyDescent="0.25">
      <c r="A1302" t="s">
        <v>1937</v>
      </c>
      <c r="B1302" s="4">
        <v>45850</v>
      </c>
      <c r="C1302" s="3">
        <v>0.97770833333333329</v>
      </c>
      <c r="D1302" t="s">
        <v>16</v>
      </c>
      <c r="E1302" t="s">
        <v>594</v>
      </c>
      <c r="G1302">
        <v>1991</v>
      </c>
      <c r="H1302">
        <v>12</v>
      </c>
      <c r="I1302">
        <v>12</v>
      </c>
      <c r="J1302" t="s">
        <v>85</v>
      </c>
      <c r="K1302">
        <v>223.75</v>
      </c>
      <c r="L1302">
        <v>3</v>
      </c>
      <c r="M1302">
        <v>671.25</v>
      </c>
      <c r="N1302" t="s">
        <v>54</v>
      </c>
      <c r="O1302" t="s">
        <v>26</v>
      </c>
      <c r="P1302" t="s">
        <v>105</v>
      </c>
    </row>
    <row r="1303" spans="1:16" x14ac:dyDescent="0.25">
      <c r="A1303" t="s">
        <v>1938</v>
      </c>
      <c r="B1303" s="4">
        <v>45843</v>
      </c>
      <c r="C1303" s="3">
        <v>0.88153935185185184</v>
      </c>
      <c r="D1303" t="s">
        <v>16</v>
      </c>
      <c r="E1303" t="s">
        <v>358</v>
      </c>
      <c r="F1303" s="1"/>
      <c r="G1303">
        <v>1994</v>
      </c>
      <c r="H1303">
        <v>4</v>
      </c>
      <c r="I1303">
        <v>1</v>
      </c>
      <c r="J1303" t="s">
        <v>104</v>
      </c>
      <c r="K1303">
        <v>224.12</v>
      </c>
      <c r="L1303">
        <v>1</v>
      </c>
      <c r="M1303">
        <v>224.12</v>
      </c>
      <c r="N1303" t="s">
        <v>19</v>
      </c>
      <c r="O1303" t="s">
        <v>61</v>
      </c>
      <c r="P1303" t="s">
        <v>105</v>
      </c>
    </row>
    <row r="1304" spans="1:16" x14ac:dyDescent="0.25">
      <c r="A1304" t="s">
        <v>1939</v>
      </c>
      <c r="B1304" s="1">
        <v>45876</v>
      </c>
      <c r="C1304" s="2">
        <v>0.43819444444444444</v>
      </c>
      <c r="D1304" t="s">
        <v>16</v>
      </c>
      <c r="E1304" t="s">
        <v>92</v>
      </c>
      <c r="F1304" s="4"/>
      <c r="G1304">
        <v>1993</v>
      </c>
      <c r="H1304">
        <v>4</v>
      </c>
      <c r="I1304">
        <v>24</v>
      </c>
      <c r="J1304" t="s">
        <v>77</v>
      </c>
      <c r="L1304">
        <v>1</v>
      </c>
      <c r="N1304" t="s">
        <v>31</v>
      </c>
      <c r="O1304" t="s">
        <v>20</v>
      </c>
    </row>
    <row r="1305" spans="1:16" x14ac:dyDescent="0.25">
      <c r="A1305" t="s">
        <v>1940</v>
      </c>
      <c r="B1305" s="4">
        <v>45710</v>
      </c>
      <c r="C1305" s="3">
        <v>0.7543981481481481</v>
      </c>
      <c r="D1305" t="s">
        <v>16</v>
      </c>
      <c r="E1305" t="s">
        <v>63</v>
      </c>
      <c r="F1305" s="4"/>
      <c r="G1305">
        <v>1981</v>
      </c>
      <c r="H1305">
        <v>8</v>
      </c>
      <c r="I1305">
        <v>28</v>
      </c>
      <c r="J1305" t="s">
        <v>104</v>
      </c>
      <c r="K1305">
        <v>250.65</v>
      </c>
      <c r="L1305">
        <v>2</v>
      </c>
      <c r="M1305">
        <v>501.3</v>
      </c>
      <c r="N1305" t="s">
        <v>64</v>
      </c>
      <c r="O1305" t="s">
        <v>47</v>
      </c>
      <c r="P1305" t="s">
        <v>105</v>
      </c>
    </row>
    <row r="1306" spans="1:16" x14ac:dyDescent="0.25">
      <c r="A1306" t="s">
        <v>1941</v>
      </c>
      <c r="B1306" s="4">
        <v>45825</v>
      </c>
      <c r="C1306" s="2">
        <v>0.9770833333333333</v>
      </c>
      <c r="D1306" t="s">
        <v>16</v>
      </c>
      <c r="E1306" t="s">
        <v>622</v>
      </c>
      <c r="G1306">
        <v>1995</v>
      </c>
      <c r="H1306">
        <v>7</v>
      </c>
      <c r="I1306">
        <v>11</v>
      </c>
      <c r="J1306" t="s">
        <v>60</v>
      </c>
      <c r="K1306">
        <v>281.11</v>
      </c>
      <c r="L1306">
        <v>2</v>
      </c>
      <c r="M1306">
        <v>562.22</v>
      </c>
      <c r="N1306" t="s">
        <v>64</v>
      </c>
      <c r="O1306" t="s">
        <v>55</v>
      </c>
      <c r="P1306" t="s">
        <v>48</v>
      </c>
    </row>
    <row r="1307" spans="1:16" x14ac:dyDescent="0.25">
      <c r="A1307" t="s">
        <v>1942</v>
      </c>
      <c r="B1307" s="4">
        <v>45637</v>
      </c>
      <c r="C1307" s="3">
        <v>0.44483796296296296</v>
      </c>
      <c r="D1307" t="s">
        <v>16</v>
      </c>
      <c r="E1307" t="s">
        <v>379</v>
      </c>
      <c r="F1307" s="4"/>
      <c r="G1307">
        <v>2001</v>
      </c>
      <c r="H1307">
        <v>9</v>
      </c>
      <c r="I1307">
        <v>10</v>
      </c>
      <c r="J1307" t="s">
        <v>93</v>
      </c>
      <c r="K1307">
        <v>177.49</v>
      </c>
      <c r="L1307">
        <v>2</v>
      </c>
      <c r="M1307">
        <v>354.98</v>
      </c>
      <c r="N1307" t="s">
        <v>31</v>
      </c>
      <c r="O1307" t="s">
        <v>55</v>
      </c>
    </row>
    <row r="1308" spans="1:16" x14ac:dyDescent="0.25">
      <c r="A1308" t="s">
        <v>1943</v>
      </c>
      <c r="B1308" s="4">
        <v>45960</v>
      </c>
      <c r="C1308" s="3">
        <v>0.47337962962962965</v>
      </c>
      <c r="D1308" t="s">
        <v>16</v>
      </c>
      <c r="E1308" t="s">
        <v>144</v>
      </c>
      <c r="G1308">
        <v>1988</v>
      </c>
      <c r="H1308">
        <v>1</v>
      </c>
      <c r="I1308">
        <v>23</v>
      </c>
      <c r="J1308" t="s">
        <v>129</v>
      </c>
      <c r="K1308" t="s">
        <v>1944</v>
      </c>
      <c r="L1308">
        <v>1</v>
      </c>
      <c r="M1308" t="s">
        <v>1945</v>
      </c>
      <c r="N1308" t="s">
        <v>54</v>
      </c>
      <c r="O1308" t="s">
        <v>20</v>
      </c>
      <c r="P1308" t="s">
        <v>48</v>
      </c>
    </row>
    <row r="1309" spans="1:16" x14ac:dyDescent="0.25">
      <c r="A1309" t="s">
        <v>1946</v>
      </c>
      <c r="B1309" s="4">
        <v>45927</v>
      </c>
      <c r="C1309" s="3">
        <v>0.64422453703703708</v>
      </c>
      <c r="D1309" t="s">
        <v>16</v>
      </c>
      <c r="E1309" t="s">
        <v>29</v>
      </c>
      <c r="F1309" s="4"/>
      <c r="G1309">
        <v>1984</v>
      </c>
      <c r="H1309">
        <v>11</v>
      </c>
      <c r="I1309">
        <v>13</v>
      </c>
      <c r="J1309" t="s">
        <v>141</v>
      </c>
      <c r="K1309">
        <v>129.77000000000001</v>
      </c>
      <c r="L1309">
        <v>1</v>
      </c>
      <c r="M1309">
        <v>129.77000000000001</v>
      </c>
      <c r="N1309" t="s">
        <v>41</v>
      </c>
      <c r="O1309" t="s">
        <v>89</v>
      </c>
      <c r="P1309" t="s">
        <v>48</v>
      </c>
    </row>
    <row r="1310" spans="1:16" x14ac:dyDescent="0.25">
      <c r="A1310" t="s">
        <v>1947</v>
      </c>
      <c r="B1310" t="s">
        <v>1181</v>
      </c>
      <c r="C1310" s="2">
        <v>0.69722222222222219</v>
      </c>
      <c r="D1310" t="s">
        <v>16</v>
      </c>
      <c r="E1310" t="s">
        <v>154</v>
      </c>
      <c r="F1310" s="1"/>
      <c r="G1310">
        <v>1986</v>
      </c>
      <c r="H1310">
        <v>6</v>
      </c>
      <c r="I1310">
        <v>7</v>
      </c>
      <c r="J1310" t="s">
        <v>116</v>
      </c>
      <c r="K1310">
        <v>157.26</v>
      </c>
      <c r="L1310">
        <v>3</v>
      </c>
      <c r="M1310">
        <v>471.78</v>
      </c>
      <c r="N1310" t="s">
        <v>19</v>
      </c>
      <c r="O1310" t="s">
        <v>61</v>
      </c>
      <c r="P1310" t="s">
        <v>105</v>
      </c>
    </row>
    <row r="1311" spans="1:16" x14ac:dyDescent="0.25">
      <c r="A1311" t="s">
        <v>1948</v>
      </c>
      <c r="B1311" s="4">
        <v>45919</v>
      </c>
      <c r="C1311" s="2">
        <v>0.68472222222222223</v>
      </c>
      <c r="D1311" t="s">
        <v>16</v>
      </c>
      <c r="E1311" t="s">
        <v>52</v>
      </c>
      <c r="F1311" s="4"/>
      <c r="G1311">
        <v>2010</v>
      </c>
      <c r="H1311">
        <v>9</v>
      </c>
      <c r="I1311">
        <v>10</v>
      </c>
      <c r="J1311" t="s">
        <v>104</v>
      </c>
      <c r="K1311">
        <v>261.72000000000003</v>
      </c>
      <c r="L1311">
        <v>2</v>
      </c>
      <c r="M1311">
        <v>523.44000000000005</v>
      </c>
      <c r="O1311" t="s">
        <v>20</v>
      </c>
    </row>
    <row r="1312" spans="1:16" x14ac:dyDescent="0.25">
      <c r="A1312" t="s">
        <v>1949</v>
      </c>
      <c r="B1312" s="4">
        <v>45848</v>
      </c>
      <c r="C1312" s="2">
        <v>0.95</v>
      </c>
      <c r="D1312" t="s">
        <v>16</v>
      </c>
      <c r="E1312" t="s">
        <v>451</v>
      </c>
      <c r="F1312" s="1"/>
      <c r="G1312">
        <v>1989</v>
      </c>
      <c r="H1312">
        <v>8</v>
      </c>
      <c r="I1312">
        <v>9</v>
      </c>
      <c r="J1312" t="s">
        <v>104</v>
      </c>
      <c r="K1312">
        <v>271.95</v>
      </c>
      <c r="L1312">
        <v>2</v>
      </c>
      <c r="M1312">
        <v>543.9</v>
      </c>
      <c r="N1312" t="s">
        <v>19</v>
      </c>
      <c r="O1312" t="s">
        <v>89</v>
      </c>
      <c r="P1312" t="s">
        <v>48</v>
      </c>
    </row>
    <row r="1313" spans="1:16" x14ac:dyDescent="0.25">
      <c r="A1313" t="s">
        <v>1950</v>
      </c>
      <c r="B1313" t="s">
        <v>685</v>
      </c>
      <c r="C1313" s="3">
        <v>0.62701388888888887</v>
      </c>
      <c r="D1313" t="s">
        <v>16</v>
      </c>
      <c r="E1313" t="s">
        <v>528</v>
      </c>
      <c r="F1313" s="1"/>
      <c r="G1313">
        <v>1988</v>
      </c>
      <c r="H1313">
        <v>6</v>
      </c>
      <c r="I1313">
        <v>22</v>
      </c>
      <c r="J1313" t="s">
        <v>259</v>
      </c>
      <c r="K1313">
        <v>125.15</v>
      </c>
      <c r="L1313">
        <v>1</v>
      </c>
      <c r="M1313">
        <v>125.15</v>
      </c>
      <c r="N1313" t="s">
        <v>54</v>
      </c>
      <c r="O1313" t="s">
        <v>89</v>
      </c>
    </row>
    <row r="1314" spans="1:16" x14ac:dyDescent="0.25">
      <c r="A1314" t="s">
        <v>1951</v>
      </c>
      <c r="B1314" s="4">
        <v>45865</v>
      </c>
      <c r="C1314" s="2">
        <v>0.44305555555555554</v>
      </c>
      <c r="D1314" t="s">
        <v>16</v>
      </c>
      <c r="E1314" t="s">
        <v>425</v>
      </c>
      <c r="F1314" s="1"/>
      <c r="G1314">
        <v>1990</v>
      </c>
      <c r="H1314">
        <v>12</v>
      </c>
      <c r="I1314">
        <v>6</v>
      </c>
      <c r="J1314" t="s">
        <v>141</v>
      </c>
      <c r="K1314">
        <v>147.59</v>
      </c>
      <c r="L1314">
        <v>0</v>
      </c>
      <c r="M1314">
        <v>0</v>
      </c>
      <c r="N1314" t="s">
        <v>67</v>
      </c>
      <c r="O1314" t="s">
        <v>32</v>
      </c>
      <c r="P1314" t="s">
        <v>33</v>
      </c>
    </row>
    <row r="1315" spans="1:16" x14ac:dyDescent="0.25">
      <c r="A1315" t="s">
        <v>1952</v>
      </c>
      <c r="B1315" s="1">
        <v>45761</v>
      </c>
      <c r="C1315" s="2">
        <v>0.64166666666666672</v>
      </c>
      <c r="D1315" t="s">
        <v>16</v>
      </c>
      <c r="E1315" t="s">
        <v>39</v>
      </c>
      <c r="F1315" s="4"/>
      <c r="G1315">
        <v>1979</v>
      </c>
      <c r="H1315">
        <v>2</v>
      </c>
      <c r="I1315">
        <v>7</v>
      </c>
      <c r="J1315" t="s">
        <v>199</v>
      </c>
      <c r="K1315">
        <v>213.81</v>
      </c>
      <c r="L1315">
        <v>2</v>
      </c>
      <c r="M1315">
        <v>428.62</v>
      </c>
      <c r="N1315" t="s">
        <v>54</v>
      </c>
      <c r="O1315" t="s">
        <v>89</v>
      </c>
    </row>
    <row r="1316" spans="1:16" x14ac:dyDescent="0.25">
      <c r="A1316" t="s">
        <v>1953</v>
      </c>
      <c r="B1316" t="s">
        <v>1954</v>
      </c>
      <c r="C1316" s="5">
        <v>0.52083333333333337</v>
      </c>
      <c r="D1316" t="s">
        <v>16</v>
      </c>
      <c r="E1316" t="s">
        <v>1068</v>
      </c>
      <c r="F1316" s="4"/>
      <c r="G1316">
        <v>1981</v>
      </c>
      <c r="H1316">
        <v>11</v>
      </c>
      <c r="I1316">
        <v>20</v>
      </c>
      <c r="J1316" t="s">
        <v>73</v>
      </c>
      <c r="K1316">
        <v>45.4</v>
      </c>
      <c r="L1316">
        <v>2</v>
      </c>
      <c r="M1316">
        <v>90.8</v>
      </c>
      <c r="N1316" t="s">
        <v>64</v>
      </c>
      <c r="O1316" t="s">
        <v>26</v>
      </c>
      <c r="P1316" t="s">
        <v>48</v>
      </c>
    </row>
    <row r="1317" spans="1:16" x14ac:dyDescent="0.25">
      <c r="A1317" t="s">
        <v>1955</v>
      </c>
      <c r="B1317" t="s">
        <v>1046</v>
      </c>
      <c r="C1317" s="3">
        <v>0.8649189814814815</v>
      </c>
      <c r="D1317" t="s">
        <v>16</v>
      </c>
      <c r="E1317" t="s">
        <v>161</v>
      </c>
      <c r="F1317" s="1"/>
      <c r="G1317">
        <v>2008</v>
      </c>
      <c r="H1317">
        <v>10</v>
      </c>
      <c r="I1317">
        <v>7</v>
      </c>
      <c r="J1317" t="s">
        <v>178</v>
      </c>
      <c r="K1317">
        <v>348.52</v>
      </c>
      <c r="L1317">
        <v>1</v>
      </c>
      <c r="M1317">
        <v>348.52</v>
      </c>
      <c r="N1317" t="s">
        <v>31</v>
      </c>
      <c r="O1317" t="s">
        <v>20</v>
      </c>
    </row>
    <row r="1318" spans="1:16" x14ac:dyDescent="0.25">
      <c r="A1318" t="s">
        <v>1956</v>
      </c>
      <c r="B1318" s="4">
        <v>45947</v>
      </c>
      <c r="C1318" s="3">
        <v>0.42504629629629631</v>
      </c>
      <c r="D1318" t="s">
        <v>16</v>
      </c>
      <c r="E1318" t="s">
        <v>52</v>
      </c>
      <c r="F1318" s="4"/>
      <c r="G1318">
        <v>2008</v>
      </c>
      <c r="H1318">
        <v>1</v>
      </c>
      <c r="I1318">
        <v>11</v>
      </c>
      <c r="J1318" t="s">
        <v>30</v>
      </c>
      <c r="K1318">
        <v>229.97</v>
      </c>
      <c r="L1318">
        <v>2</v>
      </c>
      <c r="M1318">
        <v>459.94</v>
      </c>
      <c r="N1318" t="s">
        <v>54</v>
      </c>
      <c r="O1318" t="s">
        <v>37</v>
      </c>
      <c r="P1318" t="s">
        <v>33</v>
      </c>
    </row>
    <row r="1319" spans="1:16" x14ac:dyDescent="0.25">
      <c r="A1319" t="s">
        <v>1957</v>
      </c>
      <c r="B1319" s="4">
        <v>45833</v>
      </c>
      <c r="C1319" s="2">
        <v>0.96319444444444446</v>
      </c>
      <c r="D1319" t="s">
        <v>16</v>
      </c>
      <c r="E1319" t="s">
        <v>133</v>
      </c>
      <c r="F1319" s="4"/>
      <c r="G1319">
        <v>2009</v>
      </c>
      <c r="H1319">
        <v>11</v>
      </c>
      <c r="I1319">
        <v>28</v>
      </c>
      <c r="J1319" t="s">
        <v>60</v>
      </c>
      <c r="K1319">
        <v>93.77</v>
      </c>
      <c r="L1319">
        <v>1</v>
      </c>
      <c r="M1319">
        <v>93.77</v>
      </c>
      <c r="N1319" t="s">
        <v>54</v>
      </c>
      <c r="O1319" t="s">
        <v>20</v>
      </c>
      <c r="P1319" t="s">
        <v>27</v>
      </c>
    </row>
    <row r="1320" spans="1:16" x14ac:dyDescent="0.25">
      <c r="A1320" t="s">
        <v>1958</v>
      </c>
      <c r="B1320" s="1">
        <v>45737</v>
      </c>
      <c r="C1320" s="5">
        <v>0.42916666666666664</v>
      </c>
      <c r="D1320" t="s">
        <v>16</v>
      </c>
      <c r="E1320" t="s">
        <v>328</v>
      </c>
      <c r="G1320">
        <v>1979</v>
      </c>
      <c r="H1320">
        <v>5</v>
      </c>
      <c r="I1320">
        <v>28</v>
      </c>
      <c r="J1320" t="s">
        <v>104</v>
      </c>
      <c r="K1320">
        <v>292.60000000000002</v>
      </c>
      <c r="L1320">
        <v>1</v>
      </c>
      <c r="M1320">
        <v>292.60000000000002</v>
      </c>
      <c r="N1320" t="s">
        <v>41</v>
      </c>
      <c r="O1320" t="s">
        <v>26</v>
      </c>
      <c r="P1320" t="s">
        <v>105</v>
      </c>
    </row>
    <row r="1321" spans="1:16" x14ac:dyDescent="0.25">
      <c r="A1321" t="s">
        <v>1959</v>
      </c>
      <c r="B1321" s="4">
        <v>45888</v>
      </c>
      <c r="C1321" s="2">
        <v>0.66319444444444442</v>
      </c>
      <c r="D1321" t="s">
        <v>16</v>
      </c>
      <c r="E1321" t="s">
        <v>220</v>
      </c>
      <c r="G1321">
        <v>1978</v>
      </c>
      <c r="H1321">
        <v>12</v>
      </c>
      <c r="I1321">
        <v>20</v>
      </c>
      <c r="J1321" t="s">
        <v>178</v>
      </c>
      <c r="K1321">
        <v>333.41</v>
      </c>
      <c r="L1321">
        <v>1</v>
      </c>
      <c r="M1321">
        <v>333.41</v>
      </c>
      <c r="N1321" t="s">
        <v>41</v>
      </c>
      <c r="O1321" t="s">
        <v>26</v>
      </c>
      <c r="P1321" t="s">
        <v>48</v>
      </c>
    </row>
    <row r="1322" spans="1:16" x14ac:dyDescent="0.25">
      <c r="A1322" t="s">
        <v>1960</v>
      </c>
      <c r="B1322" s="4">
        <v>45638</v>
      </c>
      <c r="C1322" s="2">
        <v>0.71666666666666667</v>
      </c>
      <c r="D1322" t="s">
        <v>16</v>
      </c>
      <c r="E1322" t="s">
        <v>1427</v>
      </c>
      <c r="J1322" t="s">
        <v>93</v>
      </c>
      <c r="K1322">
        <v>155.22</v>
      </c>
      <c r="L1322">
        <v>1</v>
      </c>
      <c r="M1322">
        <v>155.22</v>
      </c>
      <c r="N1322" t="s">
        <v>25</v>
      </c>
      <c r="O1322" t="s">
        <v>61</v>
      </c>
      <c r="P1322" t="s">
        <v>48</v>
      </c>
    </row>
    <row r="1323" spans="1:16" x14ac:dyDescent="0.25">
      <c r="A1323" t="s">
        <v>1961</v>
      </c>
      <c r="B1323" t="s">
        <v>987</v>
      </c>
      <c r="C1323" s="2">
        <v>0.81458333333333333</v>
      </c>
      <c r="D1323" t="s">
        <v>16</v>
      </c>
      <c r="E1323" t="s">
        <v>169</v>
      </c>
      <c r="F1323" s="4"/>
      <c r="G1323">
        <v>1999</v>
      </c>
      <c r="H1323">
        <v>4</v>
      </c>
      <c r="I1323">
        <v>18</v>
      </c>
      <c r="J1323" t="s">
        <v>178</v>
      </c>
      <c r="K1323">
        <v>241.9</v>
      </c>
      <c r="L1323">
        <v>1</v>
      </c>
      <c r="M1323">
        <v>241.9</v>
      </c>
      <c r="N1323" t="s">
        <v>25</v>
      </c>
      <c r="O1323" t="s">
        <v>61</v>
      </c>
      <c r="P1323" t="s">
        <v>56</v>
      </c>
    </row>
    <row r="1324" spans="1:16" x14ac:dyDescent="0.25">
      <c r="A1324" t="s">
        <v>1962</v>
      </c>
      <c r="B1324" s="4">
        <v>45766</v>
      </c>
      <c r="C1324" s="3">
        <v>0.773900462962963</v>
      </c>
      <c r="D1324" t="s">
        <v>16</v>
      </c>
      <c r="E1324" t="s">
        <v>206</v>
      </c>
      <c r="F1324" s="1"/>
      <c r="G1324">
        <v>1973</v>
      </c>
      <c r="H1324">
        <v>8</v>
      </c>
      <c r="I1324">
        <v>27</v>
      </c>
      <c r="J1324" t="s">
        <v>30</v>
      </c>
      <c r="K1324">
        <v>252.98</v>
      </c>
      <c r="L1324">
        <v>2</v>
      </c>
      <c r="M1324">
        <v>505.96</v>
      </c>
      <c r="N1324" t="s">
        <v>64</v>
      </c>
      <c r="O1324" t="s">
        <v>47</v>
      </c>
    </row>
    <row r="1325" spans="1:16" x14ac:dyDescent="0.25">
      <c r="A1325" t="s">
        <v>1963</v>
      </c>
      <c r="B1325" s="4">
        <v>45869</v>
      </c>
      <c r="C1325" s="2">
        <v>0.99097222222222225</v>
      </c>
      <c r="D1325" t="s">
        <v>16</v>
      </c>
      <c r="E1325" t="s">
        <v>88</v>
      </c>
      <c r="G1325">
        <v>1982</v>
      </c>
      <c r="H1325">
        <v>2</v>
      </c>
      <c r="I1325">
        <v>15</v>
      </c>
      <c r="J1325" t="s">
        <v>60</v>
      </c>
      <c r="K1325">
        <v>195.53</v>
      </c>
      <c r="L1325">
        <v>2</v>
      </c>
      <c r="M1325">
        <v>347.06</v>
      </c>
      <c r="N1325" t="s">
        <v>31</v>
      </c>
      <c r="O1325" t="s">
        <v>55</v>
      </c>
      <c r="P1325" t="s">
        <v>21</v>
      </c>
    </row>
    <row r="1326" spans="1:16" x14ac:dyDescent="0.25">
      <c r="A1326" t="s">
        <v>1964</v>
      </c>
      <c r="B1326" s="4">
        <v>45933</v>
      </c>
      <c r="C1326" s="3">
        <v>0.63263888888888886</v>
      </c>
      <c r="D1326" t="s">
        <v>16</v>
      </c>
      <c r="E1326" t="s">
        <v>35</v>
      </c>
      <c r="F1326" s="4"/>
      <c r="G1326">
        <v>2006</v>
      </c>
      <c r="H1326">
        <v>4</v>
      </c>
      <c r="I1326">
        <v>3</v>
      </c>
      <c r="J1326" t="s">
        <v>18</v>
      </c>
      <c r="K1326">
        <v>76.680000000000007</v>
      </c>
      <c r="L1326">
        <v>1</v>
      </c>
      <c r="M1326">
        <v>76.680000000000007</v>
      </c>
      <c r="N1326" t="s">
        <v>25</v>
      </c>
      <c r="O1326" t="s">
        <v>32</v>
      </c>
    </row>
    <row r="1327" spans="1:16" x14ac:dyDescent="0.25">
      <c r="A1327" t="s">
        <v>1965</v>
      </c>
      <c r="B1327" s="4">
        <v>45745</v>
      </c>
      <c r="C1327" s="2">
        <v>0.8208333333333333</v>
      </c>
      <c r="D1327" t="s">
        <v>16</v>
      </c>
      <c r="E1327" t="s">
        <v>473</v>
      </c>
      <c r="F1327" s="4"/>
      <c r="G1327">
        <v>1970</v>
      </c>
      <c r="H1327">
        <v>1</v>
      </c>
      <c r="I1327">
        <v>27</v>
      </c>
      <c r="J1327" t="s">
        <v>202</v>
      </c>
      <c r="K1327">
        <v>244.66</v>
      </c>
      <c r="L1327">
        <v>1</v>
      </c>
      <c r="M1327">
        <v>244.66</v>
      </c>
      <c r="N1327" t="s">
        <v>54</v>
      </c>
      <c r="O1327" t="s">
        <v>37</v>
      </c>
      <c r="P1327" t="s">
        <v>27</v>
      </c>
    </row>
    <row r="1328" spans="1:16" x14ac:dyDescent="0.25">
      <c r="A1328" t="s">
        <v>1966</v>
      </c>
      <c r="B1328" t="s">
        <v>1967</v>
      </c>
      <c r="C1328" s="3">
        <v>0.71253472222222225</v>
      </c>
      <c r="D1328" t="s">
        <v>16</v>
      </c>
      <c r="E1328" t="s">
        <v>353</v>
      </c>
      <c r="F1328" s="4"/>
      <c r="G1328">
        <v>1988</v>
      </c>
      <c r="H1328">
        <v>10</v>
      </c>
      <c r="I1328">
        <v>6</v>
      </c>
      <c r="J1328" t="s">
        <v>36</v>
      </c>
      <c r="K1328">
        <v>202.3</v>
      </c>
      <c r="L1328">
        <v>3</v>
      </c>
      <c r="M1328">
        <v>606.9</v>
      </c>
      <c r="O1328" t="s">
        <v>32</v>
      </c>
      <c r="P1328" t="s">
        <v>27</v>
      </c>
    </row>
    <row r="1329" spans="1:16" x14ac:dyDescent="0.25">
      <c r="A1329" t="s">
        <v>1968</v>
      </c>
      <c r="B1329" s="1">
        <v>45818</v>
      </c>
      <c r="C1329" s="2">
        <v>0.77013888888888893</v>
      </c>
      <c r="D1329" t="s">
        <v>16</v>
      </c>
      <c r="E1329" t="s">
        <v>138</v>
      </c>
      <c r="F1329" s="4"/>
      <c r="G1329">
        <v>1995</v>
      </c>
      <c r="H1329">
        <v>12</v>
      </c>
      <c r="I1329">
        <v>18</v>
      </c>
      <c r="J1329" t="s">
        <v>164</v>
      </c>
      <c r="K1329">
        <v>242.67</v>
      </c>
      <c r="L1329">
        <v>2</v>
      </c>
      <c r="M1329">
        <v>485.34</v>
      </c>
      <c r="N1329" t="s">
        <v>19</v>
      </c>
      <c r="O1329" t="s">
        <v>47</v>
      </c>
    </row>
    <row r="1330" spans="1:16" x14ac:dyDescent="0.25">
      <c r="A1330" t="s">
        <v>1969</v>
      </c>
      <c r="B1330" t="s">
        <v>1073</v>
      </c>
      <c r="C1330" s="3">
        <v>0.99774305555555554</v>
      </c>
      <c r="D1330" t="s">
        <v>16</v>
      </c>
      <c r="E1330" t="s">
        <v>1576</v>
      </c>
      <c r="G1330">
        <v>1996</v>
      </c>
      <c r="H1330">
        <v>7</v>
      </c>
      <c r="I1330">
        <v>20</v>
      </c>
      <c r="J1330" t="s">
        <v>116</v>
      </c>
      <c r="K1330">
        <v>-222.22</v>
      </c>
      <c r="L1330">
        <v>1</v>
      </c>
      <c r="M1330">
        <v>-222.22</v>
      </c>
      <c r="N1330" t="s">
        <v>19</v>
      </c>
      <c r="O1330" t="s">
        <v>61</v>
      </c>
      <c r="P1330" t="s">
        <v>105</v>
      </c>
    </row>
    <row r="1331" spans="1:16" x14ac:dyDescent="0.25">
      <c r="A1331" t="s">
        <v>1970</v>
      </c>
      <c r="B1331" s="4">
        <v>45815</v>
      </c>
      <c r="C1331" s="5">
        <v>0.46250000000000002</v>
      </c>
      <c r="D1331" t="s">
        <v>16</v>
      </c>
      <c r="E1331" t="s">
        <v>307</v>
      </c>
      <c r="G1331">
        <v>1991</v>
      </c>
      <c r="H1331">
        <v>12</v>
      </c>
      <c r="I1331">
        <v>12</v>
      </c>
      <c r="J1331" t="s">
        <v>18</v>
      </c>
      <c r="K1331">
        <v>110.59</v>
      </c>
      <c r="L1331">
        <v>0</v>
      </c>
      <c r="M1331">
        <v>-42</v>
      </c>
      <c r="N1331" t="s">
        <v>64</v>
      </c>
      <c r="O1331" t="s">
        <v>89</v>
      </c>
      <c r="P1331" t="s">
        <v>27</v>
      </c>
    </row>
    <row r="1332" spans="1:16" x14ac:dyDescent="0.25">
      <c r="A1332" t="s">
        <v>1971</v>
      </c>
      <c r="B1332" t="s">
        <v>1972</v>
      </c>
      <c r="C1332" s="3">
        <v>0.78621527777777778</v>
      </c>
      <c r="D1332" t="s">
        <v>16</v>
      </c>
      <c r="E1332" t="s">
        <v>246</v>
      </c>
      <c r="F1332" s="4"/>
      <c r="G1332">
        <v>1987</v>
      </c>
      <c r="H1332">
        <v>12</v>
      </c>
      <c r="I1332">
        <v>6</v>
      </c>
      <c r="J1332" t="s">
        <v>110</v>
      </c>
      <c r="K1332">
        <v>133.93</v>
      </c>
      <c r="L1332">
        <v>3</v>
      </c>
      <c r="M1332">
        <v>401.79</v>
      </c>
      <c r="N1332" t="s">
        <v>54</v>
      </c>
      <c r="O1332" t="s">
        <v>20</v>
      </c>
      <c r="P1332" t="s">
        <v>48</v>
      </c>
    </row>
    <row r="1333" spans="1:16" x14ac:dyDescent="0.25">
      <c r="A1333" t="s">
        <v>1973</v>
      </c>
      <c r="B1333" s="4">
        <v>45681</v>
      </c>
      <c r="C1333" s="3">
        <v>0.70731481481481484</v>
      </c>
      <c r="D1333" t="s">
        <v>16</v>
      </c>
      <c r="E1333" t="s">
        <v>594</v>
      </c>
      <c r="F1333" s="1"/>
      <c r="G1333">
        <v>2008</v>
      </c>
      <c r="H1333">
        <v>6</v>
      </c>
      <c r="I1333">
        <v>4</v>
      </c>
      <c r="J1333" t="s">
        <v>53</v>
      </c>
      <c r="K1333">
        <v>95.34</v>
      </c>
      <c r="L1333">
        <v>1</v>
      </c>
      <c r="M1333">
        <v>95.34</v>
      </c>
      <c r="N1333" t="s">
        <v>25</v>
      </c>
      <c r="O1333" t="s">
        <v>32</v>
      </c>
      <c r="P1333" t="s">
        <v>105</v>
      </c>
    </row>
    <row r="1334" spans="1:16" x14ac:dyDescent="0.25">
      <c r="A1334" t="s">
        <v>1974</v>
      </c>
      <c r="B1334" s="1">
        <v>45837</v>
      </c>
      <c r="C1334" s="5">
        <v>0.86944444444444446</v>
      </c>
      <c r="D1334" t="s">
        <v>16</v>
      </c>
      <c r="E1334" t="s">
        <v>52</v>
      </c>
      <c r="F1334" s="4"/>
      <c r="G1334">
        <v>1976</v>
      </c>
      <c r="H1334">
        <v>4</v>
      </c>
      <c r="I1334">
        <v>21</v>
      </c>
      <c r="J1334" t="s">
        <v>85</v>
      </c>
      <c r="K1334">
        <v>144.94999999999999</v>
      </c>
      <c r="L1334">
        <v>2</v>
      </c>
      <c r="M1334">
        <v>289.89999999999998</v>
      </c>
      <c r="N1334" t="s">
        <v>19</v>
      </c>
      <c r="O1334" t="s">
        <v>47</v>
      </c>
      <c r="P1334" t="s">
        <v>105</v>
      </c>
    </row>
    <row r="1335" spans="1:16" x14ac:dyDescent="0.25">
      <c r="A1335" t="s">
        <v>1975</v>
      </c>
      <c r="B1335" s="1">
        <v>45757</v>
      </c>
      <c r="C1335" s="2">
        <v>0.87083333333333335</v>
      </c>
      <c r="D1335" t="s">
        <v>16</v>
      </c>
      <c r="E1335" t="s">
        <v>166</v>
      </c>
      <c r="F1335" s="1"/>
      <c r="G1335">
        <v>1985</v>
      </c>
      <c r="H1335">
        <v>5</v>
      </c>
      <c r="I1335">
        <v>23</v>
      </c>
      <c r="J1335" t="s">
        <v>18</v>
      </c>
      <c r="K1335">
        <v>89.28</v>
      </c>
      <c r="L1335">
        <v>2</v>
      </c>
      <c r="M1335">
        <v>178.56</v>
      </c>
      <c r="O1335" t="s">
        <v>32</v>
      </c>
      <c r="P1335" t="s">
        <v>105</v>
      </c>
    </row>
    <row r="1336" spans="1:16" x14ac:dyDescent="0.25">
      <c r="A1336" t="s">
        <v>1976</v>
      </c>
      <c r="B1336" s="4">
        <v>45747</v>
      </c>
      <c r="C1336" s="2">
        <v>0.70902777777777781</v>
      </c>
      <c r="D1336" t="s">
        <v>16</v>
      </c>
      <c r="E1336" t="s">
        <v>17</v>
      </c>
      <c r="J1336" t="s">
        <v>77</v>
      </c>
      <c r="K1336" t="s">
        <v>1977</v>
      </c>
      <c r="L1336">
        <v>2</v>
      </c>
      <c r="M1336">
        <v>486.28</v>
      </c>
      <c r="N1336" t="s">
        <v>41</v>
      </c>
      <c r="O1336" t="s">
        <v>26</v>
      </c>
    </row>
    <row r="1337" spans="1:16" x14ac:dyDescent="0.25">
      <c r="A1337" t="s">
        <v>1978</v>
      </c>
      <c r="B1337" s="4">
        <v>45753</v>
      </c>
      <c r="C1337" s="5">
        <v>0.68402777777777779</v>
      </c>
      <c r="D1337" t="s">
        <v>16</v>
      </c>
      <c r="E1337" t="s">
        <v>95</v>
      </c>
      <c r="G1337">
        <v>2010</v>
      </c>
      <c r="H1337">
        <v>3</v>
      </c>
      <c r="I1337">
        <v>10</v>
      </c>
      <c r="J1337" t="s">
        <v>24</v>
      </c>
      <c r="K1337">
        <v>274.31</v>
      </c>
      <c r="L1337">
        <v>3</v>
      </c>
      <c r="M1337">
        <v>822.93</v>
      </c>
      <c r="N1337" t="s">
        <v>54</v>
      </c>
      <c r="O1337" t="s">
        <v>55</v>
      </c>
      <c r="P1337" t="s">
        <v>74</v>
      </c>
    </row>
    <row r="1338" spans="1:16" x14ac:dyDescent="0.25">
      <c r="A1338" t="s">
        <v>1979</v>
      </c>
      <c r="B1338" s="4">
        <v>45874</v>
      </c>
      <c r="C1338" s="2">
        <v>0.92152777777777772</v>
      </c>
      <c r="D1338" t="s">
        <v>16</v>
      </c>
      <c r="E1338" t="s">
        <v>123</v>
      </c>
      <c r="F1338" s="4"/>
      <c r="G1338">
        <v>1978</v>
      </c>
      <c r="H1338">
        <v>9</v>
      </c>
      <c r="I1338">
        <v>5</v>
      </c>
      <c r="J1338" t="s">
        <v>129</v>
      </c>
      <c r="K1338">
        <v>175.21</v>
      </c>
      <c r="L1338">
        <v>2</v>
      </c>
      <c r="M1338">
        <v>350.42</v>
      </c>
      <c r="O1338" t="s">
        <v>26</v>
      </c>
      <c r="P1338" t="s">
        <v>48</v>
      </c>
    </row>
    <row r="1339" spans="1:16" x14ac:dyDescent="0.25">
      <c r="A1339" t="s">
        <v>1980</v>
      </c>
      <c r="B1339" s="4">
        <v>45664</v>
      </c>
      <c r="C1339" s="3">
        <v>0.73732638888888891</v>
      </c>
      <c r="D1339" t="s">
        <v>16</v>
      </c>
      <c r="E1339" t="s">
        <v>39</v>
      </c>
      <c r="G1339">
        <v>1984</v>
      </c>
      <c r="H1339">
        <v>12</v>
      </c>
      <c r="I1339">
        <v>16</v>
      </c>
      <c r="J1339" t="s">
        <v>259</v>
      </c>
      <c r="K1339">
        <v>235.54</v>
      </c>
      <c r="L1339">
        <v>3</v>
      </c>
      <c r="M1339">
        <v>706.62</v>
      </c>
      <c r="N1339" t="s">
        <v>25</v>
      </c>
      <c r="O1339" t="s">
        <v>37</v>
      </c>
      <c r="P1339" t="s">
        <v>56</v>
      </c>
    </row>
    <row r="1340" spans="1:16" x14ac:dyDescent="0.25">
      <c r="A1340" t="s">
        <v>1981</v>
      </c>
      <c r="B1340" s="1">
        <v>45642</v>
      </c>
      <c r="C1340" s="3">
        <v>0.79770833333333335</v>
      </c>
      <c r="D1340" t="s">
        <v>16</v>
      </c>
      <c r="E1340" t="s">
        <v>855</v>
      </c>
      <c r="F1340" s="4"/>
      <c r="G1340">
        <v>1992</v>
      </c>
      <c r="H1340">
        <v>12</v>
      </c>
      <c r="I1340">
        <v>28</v>
      </c>
      <c r="J1340" t="s">
        <v>53</v>
      </c>
      <c r="K1340">
        <v>94.29</v>
      </c>
      <c r="L1340">
        <v>1</v>
      </c>
      <c r="M1340">
        <v>94.29</v>
      </c>
      <c r="N1340" t="s">
        <v>19</v>
      </c>
      <c r="O1340" t="s">
        <v>37</v>
      </c>
      <c r="P1340" t="s">
        <v>27</v>
      </c>
    </row>
    <row r="1341" spans="1:16" x14ac:dyDescent="0.25">
      <c r="A1341" t="s">
        <v>1982</v>
      </c>
      <c r="B1341" s="4">
        <v>45660</v>
      </c>
      <c r="C1341" s="2">
        <v>0.48749999999999999</v>
      </c>
      <c r="D1341" t="s">
        <v>16</v>
      </c>
      <c r="E1341" t="s">
        <v>52</v>
      </c>
      <c r="G1341">
        <v>1971</v>
      </c>
      <c r="H1341">
        <v>8</v>
      </c>
      <c r="I1341">
        <v>11</v>
      </c>
      <c r="J1341" t="s">
        <v>53</v>
      </c>
      <c r="K1341">
        <v>124.85</v>
      </c>
      <c r="L1341">
        <v>1</v>
      </c>
      <c r="M1341">
        <v>124.85</v>
      </c>
      <c r="N1341" t="s">
        <v>41</v>
      </c>
      <c r="O1341" t="s">
        <v>47</v>
      </c>
      <c r="P1341" t="s">
        <v>27</v>
      </c>
    </row>
    <row r="1342" spans="1:16" x14ac:dyDescent="0.25">
      <c r="A1342" t="s">
        <v>1983</v>
      </c>
      <c r="B1342" s="4">
        <v>45634</v>
      </c>
      <c r="C1342" s="2">
        <v>0.78333333333333333</v>
      </c>
      <c r="D1342" t="s">
        <v>16</v>
      </c>
      <c r="E1342" t="s">
        <v>88</v>
      </c>
      <c r="J1342" t="s">
        <v>145</v>
      </c>
      <c r="K1342">
        <v>295.23</v>
      </c>
      <c r="L1342">
        <v>2</v>
      </c>
      <c r="M1342">
        <v>590.46</v>
      </c>
      <c r="N1342" t="s">
        <v>41</v>
      </c>
      <c r="O1342" t="s">
        <v>37</v>
      </c>
      <c r="P1342" t="s">
        <v>74</v>
      </c>
    </row>
    <row r="1343" spans="1:16" x14ac:dyDescent="0.25">
      <c r="A1343" t="s">
        <v>1984</v>
      </c>
      <c r="B1343" s="4">
        <v>45949</v>
      </c>
      <c r="C1343" s="5">
        <v>0.82708333333333328</v>
      </c>
      <c r="D1343" t="s">
        <v>16</v>
      </c>
      <c r="E1343" t="s">
        <v>208</v>
      </c>
      <c r="F1343" s="4"/>
      <c r="G1343">
        <v>1974</v>
      </c>
      <c r="H1343">
        <v>8</v>
      </c>
      <c r="I1343">
        <v>27</v>
      </c>
      <c r="J1343" t="s">
        <v>45</v>
      </c>
      <c r="K1343">
        <v>179.76</v>
      </c>
      <c r="L1343">
        <v>1</v>
      </c>
      <c r="M1343">
        <v>179.76</v>
      </c>
      <c r="N1343" t="s">
        <v>25</v>
      </c>
      <c r="O1343" t="s">
        <v>89</v>
      </c>
      <c r="P1343" t="s">
        <v>74</v>
      </c>
    </row>
    <row r="1344" spans="1:16" x14ac:dyDescent="0.25">
      <c r="A1344" t="s">
        <v>1985</v>
      </c>
      <c r="B1344" s="1">
        <v>45703</v>
      </c>
      <c r="C1344" s="3">
        <v>0.63820601851851855</v>
      </c>
      <c r="D1344" t="s">
        <v>16</v>
      </c>
      <c r="E1344" t="s">
        <v>1986</v>
      </c>
      <c r="F1344" s="4"/>
      <c r="G1344">
        <v>1992</v>
      </c>
      <c r="H1344">
        <v>6</v>
      </c>
      <c r="I1344">
        <v>21</v>
      </c>
      <c r="J1344" t="s">
        <v>36</v>
      </c>
      <c r="K1344" t="s">
        <v>1987</v>
      </c>
      <c r="L1344">
        <v>1</v>
      </c>
      <c r="M1344">
        <v>270.8</v>
      </c>
      <c r="N1344" t="s">
        <v>41</v>
      </c>
      <c r="O1344" t="s">
        <v>89</v>
      </c>
    </row>
    <row r="1345" spans="1:16" x14ac:dyDescent="0.25">
      <c r="A1345" t="s">
        <v>1988</v>
      </c>
      <c r="B1345" s="4">
        <v>45863</v>
      </c>
      <c r="C1345" s="2">
        <v>0.64722222222222225</v>
      </c>
      <c r="D1345" t="s">
        <v>16</v>
      </c>
      <c r="E1345" t="s">
        <v>92</v>
      </c>
      <c r="F1345" s="4"/>
      <c r="G1345">
        <v>1997</v>
      </c>
      <c r="H1345">
        <v>5</v>
      </c>
      <c r="I1345">
        <v>4</v>
      </c>
      <c r="J1345" t="s">
        <v>243</v>
      </c>
      <c r="K1345">
        <v>154.31</v>
      </c>
      <c r="L1345">
        <v>1</v>
      </c>
      <c r="M1345">
        <v>154.31</v>
      </c>
      <c r="N1345" t="s">
        <v>19</v>
      </c>
      <c r="O1345" t="s">
        <v>26</v>
      </c>
      <c r="P1345" t="s">
        <v>74</v>
      </c>
    </row>
    <row r="1346" spans="1:16" x14ac:dyDescent="0.25">
      <c r="A1346" t="s">
        <v>1989</v>
      </c>
      <c r="B1346" s="4">
        <v>45973</v>
      </c>
      <c r="C1346" s="2">
        <v>0.80625000000000002</v>
      </c>
      <c r="D1346" t="s">
        <v>16</v>
      </c>
      <c r="E1346" t="s">
        <v>855</v>
      </c>
      <c r="F1346" s="1"/>
      <c r="G1346">
        <v>1977</v>
      </c>
      <c r="H1346">
        <v>4</v>
      </c>
      <c r="I1346">
        <v>9</v>
      </c>
      <c r="J1346" t="s">
        <v>199</v>
      </c>
      <c r="K1346">
        <v>231.66</v>
      </c>
      <c r="L1346">
        <v>1</v>
      </c>
      <c r="M1346">
        <v>231.66</v>
      </c>
      <c r="N1346" t="s">
        <v>25</v>
      </c>
      <c r="O1346" t="s">
        <v>32</v>
      </c>
    </row>
    <row r="1347" spans="1:16" x14ac:dyDescent="0.25">
      <c r="A1347" t="s">
        <v>1990</v>
      </c>
      <c r="B1347" s="4">
        <v>45683</v>
      </c>
      <c r="C1347" s="5">
        <v>0.92083333333333328</v>
      </c>
      <c r="D1347" t="s">
        <v>16</v>
      </c>
      <c r="E1347" t="s">
        <v>166</v>
      </c>
      <c r="G1347">
        <v>1989</v>
      </c>
      <c r="H1347">
        <v>7</v>
      </c>
      <c r="I1347">
        <v>18</v>
      </c>
      <c r="J1347" t="s">
        <v>24</v>
      </c>
      <c r="K1347">
        <v>269.62</v>
      </c>
      <c r="L1347">
        <v>2</v>
      </c>
      <c r="M1347">
        <v>539.24</v>
      </c>
      <c r="N1347" t="s">
        <v>19</v>
      </c>
      <c r="O1347" t="s">
        <v>37</v>
      </c>
      <c r="P1347" t="s">
        <v>105</v>
      </c>
    </row>
    <row r="1348" spans="1:16" x14ac:dyDescent="0.25">
      <c r="A1348" t="s">
        <v>1991</v>
      </c>
      <c r="B1348" s="4">
        <v>45847</v>
      </c>
      <c r="C1348" s="2">
        <v>0.80694444444444446</v>
      </c>
      <c r="D1348" t="s">
        <v>16</v>
      </c>
      <c r="E1348" t="s">
        <v>1992</v>
      </c>
      <c r="F1348" s="1"/>
      <c r="G1348">
        <v>1990</v>
      </c>
      <c r="H1348">
        <v>1</v>
      </c>
      <c r="I1348">
        <v>18</v>
      </c>
      <c r="J1348" t="s">
        <v>45</v>
      </c>
      <c r="K1348">
        <v>52.01</v>
      </c>
      <c r="L1348">
        <v>3</v>
      </c>
      <c r="M1348">
        <v>156.03</v>
      </c>
      <c r="O1348" t="s">
        <v>89</v>
      </c>
      <c r="P1348" t="s">
        <v>48</v>
      </c>
    </row>
    <row r="1349" spans="1:16" x14ac:dyDescent="0.25">
      <c r="A1349" t="s">
        <v>1993</v>
      </c>
      <c r="B1349" s="1">
        <v>45711</v>
      </c>
      <c r="C1349" s="2">
        <v>0.5854166666666667</v>
      </c>
      <c r="D1349" t="s">
        <v>16</v>
      </c>
      <c r="E1349" t="s">
        <v>147</v>
      </c>
      <c r="F1349" s="4"/>
      <c r="G1349">
        <v>1990</v>
      </c>
      <c r="H1349">
        <v>7</v>
      </c>
      <c r="I1349">
        <v>16</v>
      </c>
      <c r="J1349" t="s">
        <v>259</v>
      </c>
      <c r="K1349">
        <v>281.29000000000002</v>
      </c>
      <c r="L1349">
        <v>1</v>
      </c>
      <c r="M1349">
        <v>281.29000000000002</v>
      </c>
      <c r="N1349" t="s">
        <v>19</v>
      </c>
      <c r="O1349" t="s">
        <v>89</v>
      </c>
      <c r="P1349" t="s">
        <v>105</v>
      </c>
    </row>
    <row r="1350" spans="1:16" x14ac:dyDescent="0.25">
      <c r="A1350" t="s">
        <v>1994</v>
      </c>
      <c r="B1350" s="4">
        <v>45795</v>
      </c>
      <c r="C1350" s="5">
        <v>0.69444444444444442</v>
      </c>
      <c r="D1350" t="s">
        <v>16</v>
      </c>
      <c r="E1350" t="s">
        <v>659</v>
      </c>
      <c r="J1350" t="s">
        <v>141</v>
      </c>
      <c r="K1350">
        <v>110.24</v>
      </c>
      <c r="L1350">
        <v>1</v>
      </c>
      <c r="M1350">
        <v>110.24</v>
      </c>
      <c r="O1350" t="s">
        <v>32</v>
      </c>
      <c r="P1350" t="s">
        <v>27</v>
      </c>
    </row>
    <row r="1351" spans="1:16" x14ac:dyDescent="0.25">
      <c r="A1351" t="s">
        <v>1995</v>
      </c>
      <c r="B1351" s="1">
        <v>45801</v>
      </c>
      <c r="C1351" s="5">
        <v>0.77569444444444446</v>
      </c>
      <c r="D1351" t="s">
        <v>16</v>
      </c>
      <c r="E1351" t="s">
        <v>125</v>
      </c>
      <c r="F1351" s="4"/>
      <c r="G1351">
        <v>1997</v>
      </c>
      <c r="H1351">
        <v>1</v>
      </c>
      <c r="I1351">
        <v>3</v>
      </c>
      <c r="J1351" t="s">
        <v>164</v>
      </c>
      <c r="K1351">
        <v>362.41</v>
      </c>
      <c r="L1351">
        <v>2</v>
      </c>
      <c r="M1351">
        <v>760.82</v>
      </c>
      <c r="N1351" t="s">
        <v>64</v>
      </c>
      <c r="O1351" t="s">
        <v>55</v>
      </c>
      <c r="P1351" t="s">
        <v>48</v>
      </c>
    </row>
    <row r="1352" spans="1:16" x14ac:dyDescent="0.25">
      <c r="A1352" t="s">
        <v>1996</v>
      </c>
      <c r="B1352" s="4">
        <v>45740</v>
      </c>
      <c r="C1352" s="5">
        <v>0.74652777777777779</v>
      </c>
      <c r="D1352" t="s">
        <v>16</v>
      </c>
      <c r="E1352" t="s">
        <v>562</v>
      </c>
      <c r="F1352" s="4"/>
      <c r="G1352">
        <v>1987</v>
      </c>
      <c r="H1352">
        <v>8</v>
      </c>
      <c r="I1352">
        <v>26</v>
      </c>
      <c r="J1352" t="s">
        <v>85</v>
      </c>
      <c r="K1352">
        <v>52.29</v>
      </c>
      <c r="L1352">
        <v>3</v>
      </c>
      <c r="M1352">
        <v>156.87</v>
      </c>
      <c r="N1352" t="s">
        <v>41</v>
      </c>
      <c r="O1352" t="s">
        <v>32</v>
      </c>
      <c r="P1352" t="s">
        <v>48</v>
      </c>
    </row>
    <row r="1353" spans="1:16" x14ac:dyDescent="0.25">
      <c r="A1353" t="s">
        <v>1997</v>
      </c>
      <c r="B1353" s="1">
        <v>45809</v>
      </c>
      <c r="C1353" s="2">
        <v>0.59513888888888888</v>
      </c>
      <c r="D1353" t="s">
        <v>16</v>
      </c>
      <c r="E1353" t="s">
        <v>232</v>
      </c>
      <c r="F1353" s="4"/>
      <c r="G1353">
        <v>2002</v>
      </c>
      <c r="H1353">
        <v>10</v>
      </c>
      <c r="I1353">
        <v>25</v>
      </c>
      <c r="J1353" t="s">
        <v>178</v>
      </c>
      <c r="K1353">
        <v>288.56</v>
      </c>
      <c r="L1353">
        <v>2</v>
      </c>
      <c r="M1353">
        <v>577.12</v>
      </c>
      <c r="N1353" t="s">
        <v>25</v>
      </c>
      <c r="O1353" t="s">
        <v>61</v>
      </c>
      <c r="P1353" t="s">
        <v>27</v>
      </c>
    </row>
    <row r="1354" spans="1:16" x14ac:dyDescent="0.25">
      <c r="A1354" t="s">
        <v>1998</v>
      </c>
      <c r="B1354" s="1">
        <v>45913</v>
      </c>
      <c r="C1354" s="3">
        <v>0.79565972222222225</v>
      </c>
      <c r="D1354" t="s">
        <v>16</v>
      </c>
      <c r="E1354" t="s">
        <v>158</v>
      </c>
      <c r="G1354">
        <v>1989</v>
      </c>
      <c r="H1354">
        <v>1</v>
      </c>
      <c r="I1354">
        <v>1</v>
      </c>
      <c r="J1354" t="s">
        <v>53</v>
      </c>
      <c r="K1354">
        <v>91.56</v>
      </c>
      <c r="L1354">
        <v>2</v>
      </c>
      <c r="M1354">
        <v>183.12</v>
      </c>
      <c r="O1354" t="s">
        <v>47</v>
      </c>
    </row>
    <row r="1355" spans="1:16" x14ac:dyDescent="0.25">
      <c r="A1355" t="s">
        <v>1999</v>
      </c>
      <c r="B1355" t="s">
        <v>255</v>
      </c>
      <c r="C1355" s="2">
        <v>0.70208333333333328</v>
      </c>
      <c r="D1355" t="s">
        <v>16</v>
      </c>
      <c r="E1355" t="s">
        <v>307</v>
      </c>
      <c r="F1355" s="4"/>
      <c r="G1355">
        <v>1985</v>
      </c>
      <c r="H1355">
        <v>5</v>
      </c>
      <c r="I1355">
        <v>28</v>
      </c>
      <c r="J1355" t="s">
        <v>73</v>
      </c>
      <c r="K1355">
        <v>38.54</v>
      </c>
      <c r="L1355">
        <v>2</v>
      </c>
      <c r="M1355">
        <v>77.08</v>
      </c>
      <c r="N1355" t="s">
        <v>19</v>
      </c>
      <c r="O1355" t="s">
        <v>26</v>
      </c>
      <c r="P1355" t="s">
        <v>33</v>
      </c>
    </row>
    <row r="1356" spans="1:16" x14ac:dyDescent="0.25">
      <c r="A1356" t="s">
        <v>2000</v>
      </c>
      <c r="B1356" s="1">
        <v>45803</v>
      </c>
      <c r="C1356" s="2">
        <v>0.51458333333333328</v>
      </c>
      <c r="D1356" t="s">
        <v>16</v>
      </c>
      <c r="E1356" t="s">
        <v>79</v>
      </c>
      <c r="J1356" t="s">
        <v>213</v>
      </c>
      <c r="K1356">
        <v>277.56</v>
      </c>
      <c r="L1356">
        <v>1</v>
      </c>
      <c r="M1356">
        <v>277.56</v>
      </c>
      <c r="N1356" t="s">
        <v>31</v>
      </c>
      <c r="O1356" t="s">
        <v>61</v>
      </c>
      <c r="P1356" t="s">
        <v>105</v>
      </c>
    </row>
    <row r="1357" spans="1:16" x14ac:dyDescent="0.25">
      <c r="A1357" t="s">
        <v>2001</v>
      </c>
      <c r="B1357" s="1">
        <v>45955</v>
      </c>
      <c r="C1357" s="3">
        <v>0.93645833333333328</v>
      </c>
      <c r="D1357" t="s">
        <v>16</v>
      </c>
      <c r="E1357" t="s">
        <v>2002</v>
      </c>
      <c r="G1357">
        <v>1999</v>
      </c>
      <c r="H1357">
        <v>1</v>
      </c>
      <c r="I1357">
        <v>5</v>
      </c>
      <c r="J1357" t="s">
        <v>40</v>
      </c>
      <c r="K1357">
        <v>234.83</v>
      </c>
      <c r="L1357">
        <v>2</v>
      </c>
      <c r="M1357">
        <v>469.66</v>
      </c>
      <c r="N1357" t="s">
        <v>64</v>
      </c>
      <c r="O1357" t="s">
        <v>20</v>
      </c>
      <c r="P1357" t="s">
        <v>33</v>
      </c>
    </row>
    <row r="1358" spans="1:16" x14ac:dyDescent="0.25">
      <c r="A1358" t="s">
        <v>2003</v>
      </c>
      <c r="B1358" s="1">
        <v>45868</v>
      </c>
      <c r="C1358" s="3">
        <v>0.8995023148148148</v>
      </c>
      <c r="D1358" t="s">
        <v>16</v>
      </c>
      <c r="E1358" t="s">
        <v>652</v>
      </c>
      <c r="F1358" s="4"/>
      <c r="G1358">
        <v>1994</v>
      </c>
      <c r="H1358">
        <v>11</v>
      </c>
      <c r="I1358">
        <v>14</v>
      </c>
      <c r="J1358" t="s">
        <v>126</v>
      </c>
      <c r="K1358" t="s">
        <v>2004</v>
      </c>
      <c r="L1358">
        <v>1</v>
      </c>
      <c r="M1358">
        <v>166.97</v>
      </c>
      <c r="N1358" t="s">
        <v>41</v>
      </c>
      <c r="O1358" t="s">
        <v>61</v>
      </c>
    </row>
    <row r="1359" spans="1:16" x14ac:dyDescent="0.25">
      <c r="A1359" t="s">
        <v>2005</v>
      </c>
      <c r="B1359" s="4">
        <v>45683</v>
      </c>
      <c r="C1359" s="3">
        <v>0.72541666666666671</v>
      </c>
      <c r="D1359" t="s">
        <v>16</v>
      </c>
      <c r="E1359" t="s">
        <v>256</v>
      </c>
      <c r="F1359" s="1"/>
      <c r="G1359">
        <v>2005</v>
      </c>
      <c r="H1359">
        <v>10</v>
      </c>
      <c r="I1359">
        <v>9</v>
      </c>
      <c r="J1359" t="s">
        <v>53</v>
      </c>
      <c r="K1359">
        <v>82.03</v>
      </c>
      <c r="L1359">
        <v>2</v>
      </c>
      <c r="M1359">
        <v>164.06</v>
      </c>
      <c r="N1359" t="s">
        <v>41</v>
      </c>
      <c r="O1359" t="s">
        <v>89</v>
      </c>
      <c r="P1359" t="s">
        <v>33</v>
      </c>
    </row>
    <row r="1360" spans="1:16" x14ac:dyDescent="0.25">
      <c r="A1360" t="s">
        <v>2006</v>
      </c>
      <c r="B1360" s="4">
        <v>45971</v>
      </c>
      <c r="C1360" s="3">
        <v>0.73533564814814811</v>
      </c>
      <c r="D1360" t="s">
        <v>16</v>
      </c>
      <c r="E1360" t="s">
        <v>622</v>
      </c>
      <c r="F1360" s="4"/>
      <c r="G1360">
        <v>1999</v>
      </c>
      <c r="H1360">
        <v>11</v>
      </c>
      <c r="I1360">
        <v>17</v>
      </c>
      <c r="J1360" t="s">
        <v>60</v>
      </c>
      <c r="K1360">
        <v>229.91</v>
      </c>
      <c r="L1360">
        <v>2</v>
      </c>
      <c r="M1360">
        <v>459.82</v>
      </c>
      <c r="N1360" t="s">
        <v>19</v>
      </c>
      <c r="O1360" t="s">
        <v>20</v>
      </c>
      <c r="P1360" t="s">
        <v>21</v>
      </c>
    </row>
    <row r="1361" spans="1:16" x14ac:dyDescent="0.25">
      <c r="A1361" t="s">
        <v>2007</v>
      </c>
      <c r="B1361" t="s">
        <v>621</v>
      </c>
      <c r="C1361" s="2">
        <v>0.75208333333333333</v>
      </c>
      <c r="D1361" t="s">
        <v>16</v>
      </c>
      <c r="E1361" t="s">
        <v>377</v>
      </c>
      <c r="F1361" s="4"/>
      <c r="G1361">
        <v>1972</v>
      </c>
      <c r="H1361">
        <v>1</v>
      </c>
      <c r="I1361">
        <v>17</v>
      </c>
      <c r="J1361" t="s">
        <v>93</v>
      </c>
      <c r="K1361">
        <v>170.72</v>
      </c>
      <c r="L1361">
        <v>2</v>
      </c>
      <c r="M1361">
        <v>341.44</v>
      </c>
      <c r="N1361" t="s">
        <v>54</v>
      </c>
      <c r="O1361" t="s">
        <v>26</v>
      </c>
      <c r="P1361" t="s">
        <v>74</v>
      </c>
    </row>
    <row r="1362" spans="1:16" x14ac:dyDescent="0.25">
      <c r="A1362" t="s">
        <v>2008</v>
      </c>
      <c r="B1362" s="1">
        <v>45961</v>
      </c>
      <c r="C1362" s="5">
        <v>0.81874999999999998</v>
      </c>
      <c r="D1362" t="s">
        <v>16</v>
      </c>
      <c r="E1362" t="s">
        <v>128</v>
      </c>
      <c r="F1362" s="4"/>
      <c r="G1362">
        <v>1986</v>
      </c>
      <c r="H1362">
        <v>1</v>
      </c>
      <c r="I1362">
        <v>8</v>
      </c>
      <c r="J1362" t="s">
        <v>110</v>
      </c>
      <c r="K1362">
        <v>111.73</v>
      </c>
      <c r="L1362">
        <v>1</v>
      </c>
      <c r="M1362">
        <v>111.73</v>
      </c>
      <c r="N1362" t="s">
        <v>54</v>
      </c>
      <c r="O1362" t="s">
        <v>32</v>
      </c>
      <c r="P1362" t="s">
        <v>74</v>
      </c>
    </row>
    <row r="1363" spans="1:16" x14ac:dyDescent="0.25">
      <c r="A1363" t="s">
        <v>2009</v>
      </c>
      <c r="B1363" s="1">
        <v>45838</v>
      </c>
      <c r="C1363" s="3">
        <v>0.50944444444444448</v>
      </c>
      <c r="D1363" t="s">
        <v>16</v>
      </c>
      <c r="E1363" t="s">
        <v>133</v>
      </c>
      <c r="F1363" s="1"/>
      <c r="G1363">
        <v>1992</v>
      </c>
      <c r="H1363">
        <v>11</v>
      </c>
      <c r="I1363">
        <v>24</v>
      </c>
      <c r="J1363" t="s">
        <v>18</v>
      </c>
      <c r="K1363">
        <v>90.96</v>
      </c>
      <c r="L1363">
        <v>1</v>
      </c>
      <c r="M1363">
        <v>90.96</v>
      </c>
      <c r="N1363" t="s">
        <v>41</v>
      </c>
      <c r="O1363" t="s">
        <v>26</v>
      </c>
    </row>
    <row r="1364" spans="1:16" x14ac:dyDescent="0.25">
      <c r="A1364" t="s">
        <v>2010</v>
      </c>
      <c r="B1364" s="4">
        <v>45911</v>
      </c>
      <c r="C1364" s="5">
        <v>0.67361111111111116</v>
      </c>
      <c r="D1364" t="s">
        <v>16</v>
      </c>
      <c r="E1364" t="s">
        <v>652</v>
      </c>
      <c r="F1364" s="4"/>
      <c r="G1364">
        <v>2009</v>
      </c>
      <c r="H1364">
        <v>10</v>
      </c>
      <c r="I1364">
        <v>5</v>
      </c>
      <c r="J1364" t="s">
        <v>126</v>
      </c>
      <c r="K1364">
        <v>77.739999999999995</v>
      </c>
      <c r="L1364">
        <v>3</v>
      </c>
      <c r="M1364">
        <v>233.22</v>
      </c>
      <c r="N1364" t="s">
        <v>19</v>
      </c>
      <c r="O1364" t="s">
        <v>37</v>
      </c>
    </row>
    <row r="1365" spans="1:16" x14ac:dyDescent="0.25">
      <c r="A1365" t="s">
        <v>2011</v>
      </c>
      <c r="B1365" t="s">
        <v>496</v>
      </c>
      <c r="C1365" s="2">
        <v>0.71944444444444444</v>
      </c>
      <c r="D1365" t="s">
        <v>16</v>
      </c>
      <c r="E1365" t="s">
        <v>107</v>
      </c>
      <c r="F1365" s="1"/>
      <c r="G1365">
        <v>1998</v>
      </c>
      <c r="H1365">
        <v>7</v>
      </c>
      <c r="I1365">
        <v>23</v>
      </c>
      <c r="J1365" t="s">
        <v>129</v>
      </c>
      <c r="K1365">
        <v>158.61000000000001</v>
      </c>
      <c r="L1365">
        <v>1</v>
      </c>
      <c r="M1365">
        <v>158.61000000000001</v>
      </c>
      <c r="N1365" t="s">
        <v>54</v>
      </c>
      <c r="O1365" t="s">
        <v>61</v>
      </c>
      <c r="P1365" t="s">
        <v>21</v>
      </c>
    </row>
    <row r="1366" spans="1:16" x14ac:dyDescent="0.25">
      <c r="A1366" t="s">
        <v>2012</v>
      </c>
      <c r="B1366" s="1">
        <v>45907</v>
      </c>
      <c r="C1366" s="5">
        <v>0.57638888888888884</v>
      </c>
      <c r="D1366" t="s">
        <v>16</v>
      </c>
      <c r="E1366" t="s">
        <v>88</v>
      </c>
      <c r="G1366">
        <v>1993</v>
      </c>
      <c r="H1366">
        <v>8</v>
      </c>
      <c r="I1366">
        <v>17</v>
      </c>
      <c r="J1366" t="s">
        <v>199</v>
      </c>
      <c r="K1366">
        <v>169.11</v>
      </c>
      <c r="L1366">
        <v>3</v>
      </c>
      <c r="M1366">
        <v>507.33</v>
      </c>
      <c r="N1366" t="s">
        <v>67</v>
      </c>
      <c r="O1366" t="s">
        <v>26</v>
      </c>
      <c r="P1366" t="s">
        <v>33</v>
      </c>
    </row>
    <row r="1367" spans="1:16" x14ac:dyDescent="0.25">
      <c r="A1367" t="s">
        <v>2013</v>
      </c>
      <c r="B1367" s="4">
        <v>45861</v>
      </c>
      <c r="C1367" s="5">
        <v>0.90555555555555556</v>
      </c>
      <c r="D1367" t="s">
        <v>16</v>
      </c>
      <c r="E1367" t="s">
        <v>1427</v>
      </c>
      <c r="J1367" t="s">
        <v>104</v>
      </c>
      <c r="K1367">
        <v>300.68</v>
      </c>
      <c r="L1367">
        <v>2</v>
      </c>
      <c r="M1367">
        <v>601.36</v>
      </c>
      <c r="N1367" t="s">
        <v>19</v>
      </c>
      <c r="O1367" t="s">
        <v>55</v>
      </c>
      <c r="P1367" t="s">
        <v>21</v>
      </c>
    </row>
    <row r="1368" spans="1:16" x14ac:dyDescent="0.25">
      <c r="A1368" t="s">
        <v>2014</v>
      </c>
      <c r="B1368" s="1">
        <v>45955</v>
      </c>
      <c r="C1368" s="5">
        <v>0.79861111111111116</v>
      </c>
      <c r="D1368" t="s">
        <v>16</v>
      </c>
      <c r="E1368" t="s">
        <v>17</v>
      </c>
      <c r="J1368" t="s">
        <v>199</v>
      </c>
      <c r="K1368">
        <v>199.43</v>
      </c>
      <c r="L1368">
        <v>1</v>
      </c>
      <c r="M1368">
        <v>199.43</v>
      </c>
      <c r="N1368" t="s">
        <v>19</v>
      </c>
      <c r="O1368" t="s">
        <v>89</v>
      </c>
      <c r="P1368" t="s">
        <v>33</v>
      </c>
    </row>
    <row r="1369" spans="1:16" x14ac:dyDescent="0.25">
      <c r="A1369" t="s">
        <v>2015</v>
      </c>
      <c r="B1369" s="4">
        <v>45791</v>
      </c>
      <c r="C1369" s="3">
        <v>0.97075231481481483</v>
      </c>
      <c r="D1369" t="s">
        <v>16</v>
      </c>
      <c r="E1369" t="s">
        <v>246</v>
      </c>
      <c r="F1369" s="4"/>
      <c r="G1369">
        <v>1971</v>
      </c>
      <c r="H1369">
        <v>1</v>
      </c>
      <c r="I1369">
        <v>10</v>
      </c>
      <c r="J1369" t="s">
        <v>126</v>
      </c>
      <c r="K1369">
        <v>249.08</v>
      </c>
      <c r="L1369">
        <v>1</v>
      </c>
      <c r="M1369">
        <v>249.08</v>
      </c>
      <c r="N1369" t="s">
        <v>67</v>
      </c>
      <c r="O1369" t="s">
        <v>89</v>
      </c>
    </row>
    <row r="1370" spans="1:16" x14ac:dyDescent="0.25">
      <c r="A1370" t="s">
        <v>2016</v>
      </c>
      <c r="B1370" t="s">
        <v>836</v>
      </c>
      <c r="C1370" s="3">
        <v>0.45439814814814816</v>
      </c>
      <c r="D1370" t="s">
        <v>16</v>
      </c>
      <c r="E1370" t="s">
        <v>218</v>
      </c>
      <c r="F1370" s="4"/>
      <c r="G1370">
        <v>1992</v>
      </c>
      <c r="H1370">
        <v>1</v>
      </c>
      <c r="I1370">
        <v>27</v>
      </c>
      <c r="J1370" t="s">
        <v>53</v>
      </c>
      <c r="K1370">
        <v>107.58</v>
      </c>
      <c r="L1370">
        <v>2</v>
      </c>
      <c r="M1370">
        <v>215.16</v>
      </c>
      <c r="N1370" t="s">
        <v>41</v>
      </c>
      <c r="O1370" t="s">
        <v>61</v>
      </c>
    </row>
    <row r="1371" spans="1:16" x14ac:dyDescent="0.25">
      <c r="A1371" t="s">
        <v>2017</v>
      </c>
      <c r="B1371" s="1">
        <v>45672</v>
      </c>
      <c r="C1371" s="5">
        <v>0.77430555555555558</v>
      </c>
      <c r="D1371" t="s">
        <v>16</v>
      </c>
      <c r="E1371" t="s">
        <v>594</v>
      </c>
      <c r="F1371" s="4"/>
      <c r="G1371">
        <v>1974</v>
      </c>
      <c r="H1371">
        <v>10</v>
      </c>
      <c r="I1371">
        <v>16</v>
      </c>
      <c r="J1371" t="s">
        <v>53</v>
      </c>
      <c r="K1371">
        <v>103.14</v>
      </c>
      <c r="L1371">
        <v>2</v>
      </c>
      <c r="M1371">
        <v>206.28</v>
      </c>
      <c r="N1371" t="s">
        <v>41</v>
      </c>
      <c r="O1371" t="s">
        <v>89</v>
      </c>
      <c r="P1371" t="s">
        <v>27</v>
      </c>
    </row>
    <row r="1372" spans="1:16" x14ac:dyDescent="0.25">
      <c r="A1372" t="s">
        <v>2018</v>
      </c>
      <c r="B1372" s="4">
        <v>45824</v>
      </c>
      <c r="C1372" s="2">
        <v>0.77361111111111114</v>
      </c>
      <c r="D1372" t="s">
        <v>16</v>
      </c>
      <c r="E1372" t="s">
        <v>919</v>
      </c>
      <c r="G1372">
        <v>1984</v>
      </c>
      <c r="H1372">
        <v>8</v>
      </c>
      <c r="I1372">
        <v>22</v>
      </c>
      <c r="J1372" t="s">
        <v>77</v>
      </c>
      <c r="K1372">
        <v>73.72</v>
      </c>
      <c r="L1372">
        <v>1</v>
      </c>
      <c r="M1372">
        <v>73.72</v>
      </c>
      <c r="N1372" t="s">
        <v>19</v>
      </c>
      <c r="O1372" t="s">
        <v>61</v>
      </c>
      <c r="P1372" t="s">
        <v>105</v>
      </c>
    </row>
    <row r="1373" spans="1:16" x14ac:dyDescent="0.25">
      <c r="A1373" t="s">
        <v>2019</v>
      </c>
      <c r="B1373" s="4">
        <v>45639</v>
      </c>
      <c r="C1373" s="3">
        <v>0.59336805555555561</v>
      </c>
      <c r="D1373" t="s">
        <v>16</v>
      </c>
      <c r="E1373" t="s">
        <v>50</v>
      </c>
      <c r="G1373">
        <v>2008</v>
      </c>
      <c r="H1373">
        <v>12</v>
      </c>
      <c r="I1373">
        <v>21</v>
      </c>
      <c r="J1373" t="s">
        <v>110</v>
      </c>
      <c r="K1373">
        <v>96.07</v>
      </c>
      <c r="L1373">
        <v>2</v>
      </c>
      <c r="M1373">
        <v>192.14</v>
      </c>
      <c r="N1373" t="s">
        <v>54</v>
      </c>
      <c r="O1373" t="s">
        <v>55</v>
      </c>
    </row>
    <row r="1374" spans="1:16" x14ac:dyDescent="0.25">
      <c r="A1374" t="s">
        <v>2020</v>
      </c>
      <c r="B1374" s="4">
        <v>45859</v>
      </c>
      <c r="C1374" s="3">
        <v>0.76276620370370374</v>
      </c>
      <c r="D1374" t="s">
        <v>16</v>
      </c>
      <c r="E1374" t="s">
        <v>187</v>
      </c>
      <c r="F1374" s="4"/>
      <c r="G1374">
        <v>2000</v>
      </c>
      <c r="H1374">
        <v>8</v>
      </c>
      <c r="I1374">
        <v>26</v>
      </c>
      <c r="J1374" t="s">
        <v>213</v>
      </c>
      <c r="K1374">
        <v>39.54</v>
      </c>
      <c r="L1374">
        <v>0</v>
      </c>
      <c r="M1374">
        <v>0</v>
      </c>
      <c r="N1374" t="s">
        <v>19</v>
      </c>
      <c r="O1374" t="s">
        <v>32</v>
      </c>
      <c r="P1374" t="s">
        <v>27</v>
      </c>
    </row>
    <row r="1375" spans="1:16" x14ac:dyDescent="0.25">
      <c r="A1375" t="s">
        <v>2021</v>
      </c>
      <c r="B1375" s="1">
        <v>45848</v>
      </c>
      <c r="C1375" s="5">
        <v>0.81319444444444444</v>
      </c>
      <c r="D1375" t="s">
        <v>16</v>
      </c>
      <c r="E1375" t="s">
        <v>84</v>
      </c>
      <c r="F1375" s="4"/>
      <c r="G1375">
        <v>1987</v>
      </c>
      <c r="H1375">
        <v>12</v>
      </c>
      <c r="I1375">
        <v>2</v>
      </c>
      <c r="J1375" t="s">
        <v>40</v>
      </c>
      <c r="K1375">
        <v>203.41</v>
      </c>
      <c r="L1375">
        <v>3</v>
      </c>
      <c r="M1375">
        <v>610.23</v>
      </c>
      <c r="N1375" t="s">
        <v>19</v>
      </c>
      <c r="O1375" t="s">
        <v>37</v>
      </c>
      <c r="P1375" t="s">
        <v>27</v>
      </c>
    </row>
    <row r="1376" spans="1:16" x14ac:dyDescent="0.25">
      <c r="A1376" t="s">
        <v>2022</v>
      </c>
      <c r="B1376" s="4">
        <v>45792</v>
      </c>
      <c r="C1376" s="3">
        <v>0.44042824074074072</v>
      </c>
      <c r="D1376" t="s">
        <v>16</v>
      </c>
      <c r="E1376" t="s">
        <v>211</v>
      </c>
      <c r="F1376" s="4"/>
      <c r="G1376">
        <v>1979</v>
      </c>
      <c r="H1376">
        <v>6</v>
      </c>
      <c r="I1376">
        <v>16</v>
      </c>
      <c r="J1376" t="s">
        <v>126</v>
      </c>
      <c r="K1376">
        <v>228.17</v>
      </c>
      <c r="L1376">
        <v>3</v>
      </c>
      <c r="M1376">
        <v>684.51</v>
      </c>
      <c r="O1376" t="s">
        <v>20</v>
      </c>
      <c r="P1376" t="s">
        <v>21</v>
      </c>
    </row>
    <row r="1377" spans="1:16" x14ac:dyDescent="0.25">
      <c r="A1377" t="s">
        <v>2023</v>
      </c>
      <c r="B1377" s="4">
        <v>45840</v>
      </c>
      <c r="C1377" s="3">
        <v>0.80967592592592597</v>
      </c>
      <c r="D1377" t="s">
        <v>16</v>
      </c>
      <c r="E1377" t="s">
        <v>338</v>
      </c>
      <c r="F1377" s="4"/>
      <c r="G1377">
        <v>1994</v>
      </c>
      <c r="H1377">
        <v>1</v>
      </c>
      <c r="I1377">
        <v>5</v>
      </c>
      <c r="J1377" t="s">
        <v>93</v>
      </c>
      <c r="K1377">
        <v>221.8</v>
      </c>
      <c r="L1377">
        <v>1</v>
      </c>
      <c r="M1377">
        <v>221.8</v>
      </c>
      <c r="O1377" t="s">
        <v>61</v>
      </c>
      <c r="P1377" t="s">
        <v>33</v>
      </c>
    </row>
    <row r="1378" spans="1:16" x14ac:dyDescent="0.25">
      <c r="A1378" t="s">
        <v>2024</v>
      </c>
      <c r="B1378" t="s">
        <v>392</v>
      </c>
      <c r="C1378" s="2">
        <v>0.49444444444444446</v>
      </c>
      <c r="D1378" t="s">
        <v>16</v>
      </c>
      <c r="E1378" t="s">
        <v>434</v>
      </c>
      <c r="F1378" s="4"/>
      <c r="G1378">
        <v>1973</v>
      </c>
      <c r="H1378">
        <v>11</v>
      </c>
      <c r="I1378">
        <v>1</v>
      </c>
      <c r="J1378" t="s">
        <v>126</v>
      </c>
      <c r="K1378">
        <v>117.4</v>
      </c>
      <c r="L1378">
        <v>2</v>
      </c>
      <c r="M1378">
        <v>234.8</v>
      </c>
      <c r="N1378" t="s">
        <v>54</v>
      </c>
      <c r="O1378" t="s">
        <v>61</v>
      </c>
      <c r="P1378" t="s">
        <v>105</v>
      </c>
    </row>
    <row r="1379" spans="1:16" x14ac:dyDescent="0.25">
      <c r="A1379" t="s">
        <v>2025</v>
      </c>
      <c r="B1379" s="4">
        <v>45813</v>
      </c>
      <c r="C1379" s="5">
        <v>0.72430555555555554</v>
      </c>
      <c r="D1379" t="s">
        <v>16</v>
      </c>
      <c r="E1379" t="s">
        <v>299</v>
      </c>
      <c r="F1379" s="1"/>
      <c r="G1379">
        <v>1973</v>
      </c>
      <c r="H1379">
        <v>11</v>
      </c>
      <c r="I1379">
        <v>27</v>
      </c>
      <c r="J1379" t="s">
        <v>199</v>
      </c>
      <c r="K1379">
        <v>173.38</v>
      </c>
      <c r="L1379">
        <v>1</v>
      </c>
      <c r="M1379">
        <v>221.38</v>
      </c>
      <c r="N1379" t="s">
        <v>54</v>
      </c>
      <c r="O1379" t="s">
        <v>26</v>
      </c>
    </row>
    <row r="1380" spans="1:16" x14ac:dyDescent="0.25">
      <c r="A1380" t="s">
        <v>2026</v>
      </c>
      <c r="B1380" s="1">
        <v>45784</v>
      </c>
      <c r="C1380" s="2">
        <v>0.60416666666666663</v>
      </c>
      <c r="D1380" t="s">
        <v>16</v>
      </c>
      <c r="E1380" t="s">
        <v>140</v>
      </c>
      <c r="J1380" t="s">
        <v>178</v>
      </c>
      <c r="K1380">
        <v>-268.06</v>
      </c>
      <c r="L1380">
        <v>2</v>
      </c>
      <c r="M1380">
        <v>-536.12</v>
      </c>
      <c r="N1380" t="s">
        <v>54</v>
      </c>
      <c r="O1380" t="s">
        <v>26</v>
      </c>
      <c r="P1380" t="s">
        <v>33</v>
      </c>
    </row>
    <row r="1381" spans="1:16" x14ac:dyDescent="0.25">
      <c r="A1381" t="s">
        <v>2027</v>
      </c>
      <c r="B1381" t="s">
        <v>1386</v>
      </c>
      <c r="C1381" s="3">
        <v>0.46239583333333334</v>
      </c>
      <c r="D1381" t="s">
        <v>16</v>
      </c>
      <c r="E1381" t="s">
        <v>237</v>
      </c>
      <c r="F1381" s="4"/>
      <c r="G1381">
        <v>1992</v>
      </c>
      <c r="H1381">
        <v>1</v>
      </c>
      <c r="I1381">
        <v>24</v>
      </c>
      <c r="J1381" t="s">
        <v>145</v>
      </c>
      <c r="K1381">
        <v>165.38</v>
      </c>
      <c r="L1381">
        <v>1</v>
      </c>
      <c r="M1381">
        <v>165.38</v>
      </c>
      <c r="N1381" t="s">
        <v>54</v>
      </c>
      <c r="O1381" t="s">
        <v>89</v>
      </c>
      <c r="P1381" t="s">
        <v>56</v>
      </c>
    </row>
    <row r="1382" spans="1:16" x14ac:dyDescent="0.25">
      <c r="A1382" t="s">
        <v>2028</v>
      </c>
      <c r="B1382" s="4">
        <v>45651</v>
      </c>
      <c r="C1382" s="5">
        <v>0.57708333333333328</v>
      </c>
      <c r="D1382" t="s">
        <v>16</v>
      </c>
      <c r="E1382" t="s">
        <v>187</v>
      </c>
      <c r="F1382" s="4"/>
      <c r="G1382">
        <v>1994</v>
      </c>
      <c r="H1382">
        <v>9</v>
      </c>
      <c r="I1382">
        <v>19</v>
      </c>
      <c r="J1382" t="s">
        <v>24</v>
      </c>
      <c r="K1382">
        <v>248.57</v>
      </c>
      <c r="L1382">
        <v>2</v>
      </c>
      <c r="M1382">
        <v>497.14</v>
      </c>
      <c r="O1382" t="s">
        <v>26</v>
      </c>
      <c r="P1382" t="s">
        <v>27</v>
      </c>
    </row>
    <row r="1383" spans="1:16" x14ac:dyDescent="0.25">
      <c r="A1383" t="s">
        <v>2029</v>
      </c>
      <c r="B1383" s="4">
        <v>45771</v>
      </c>
      <c r="C1383" s="2">
        <v>0.5625</v>
      </c>
      <c r="D1383" t="s">
        <v>16</v>
      </c>
      <c r="E1383" t="s">
        <v>118</v>
      </c>
      <c r="F1383" s="1"/>
      <c r="G1383">
        <v>2004</v>
      </c>
      <c r="H1383">
        <v>2</v>
      </c>
      <c r="I1383">
        <v>19</v>
      </c>
      <c r="J1383" t="s">
        <v>141</v>
      </c>
      <c r="K1383">
        <v>120.45</v>
      </c>
      <c r="L1383">
        <v>3</v>
      </c>
      <c r="M1383">
        <v>361.35</v>
      </c>
      <c r="N1383" t="s">
        <v>31</v>
      </c>
      <c r="O1383" t="s">
        <v>26</v>
      </c>
      <c r="P1383" t="s">
        <v>56</v>
      </c>
    </row>
    <row r="1384" spans="1:16" x14ac:dyDescent="0.25">
      <c r="A1384" t="s">
        <v>2030</v>
      </c>
      <c r="B1384" s="1">
        <v>45633</v>
      </c>
      <c r="C1384" s="3">
        <v>0.49881944444444443</v>
      </c>
      <c r="D1384" t="s">
        <v>16</v>
      </c>
      <c r="E1384" t="s">
        <v>44</v>
      </c>
      <c r="F1384" s="4"/>
      <c r="G1384">
        <v>1976</v>
      </c>
      <c r="H1384">
        <v>9</v>
      </c>
      <c r="I1384">
        <v>15</v>
      </c>
      <c r="J1384" t="s">
        <v>36</v>
      </c>
      <c r="K1384">
        <v>83.09</v>
      </c>
      <c r="L1384">
        <v>3</v>
      </c>
      <c r="M1384">
        <v>249.27</v>
      </c>
      <c r="N1384" t="s">
        <v>31</v>
      </c>
      <c r="O1384" t="s">
        <v>55</v>
      </c>
      <c r="P1384" t="s">
        <v>27</v>
      </c>
    </row>
    <row r="1385" spans="1:16" x14ac:dyDescent="0.25">
      <c r="A1385" t="s">
        <v>2031</v>
      </c>
      <c r="C1385" s="5">
        <v>0.90625</v>
      </c>
      <c r="D1385" t="s">
        <v>16</v>
      </c>
      <c r="E1385" t="s">
        <v>524</v>
      </c>
      <c r="G1385">
        <v>1989</v>
      </c>
      <c r="H1385">
        <v>4</v>
      </c>
      <c r="I1385">
        <v>25</v>
      </c>
      <c r="J1385" t="s">
        <v>243</v>
      </c>
      <c r="K1385">
        <v>110.41</v>
      </c>
      <c r="L1385">
        <v>3</v>
      </c>
      <c r="M1385">
        <v>331.23</v>
      </c>
      <c r="N1385" t="s">
        <v>31</v>
      </c>
      <c r="O1385" t="s">
        <v>55</v>
      </c>
      <c r="P1385" t="s">
        <v>56</v>
      </c>
    </row>
    <row r="1386" spans="1:16" x14ac:dyDescent="0.25">
      <c r="A1386" t="s">
        <v>2032</v>
      </c>
      <c r="B1386" t="s">
        <v>2033</v>
      </c>
      <c r="C1386" s="2">
        <v>0.56458333333333333</v>
      </c>
      <c r="D1386" t="s">
        <v>16</v>
      </c>
      <c r="E1386" t="s">
        <v>377</v>
      </c>
      <c r="J1386" t="s">
        <v>77</v>
      </c>
      <c r="K1386">
        <v>125.69</v>
      </c>
      <c r="L1386">
        <v>2</v>
      </c>
      <c r="M1386" t="s">
        <v>2034</v>
      </c>
      <c r="N1386" t="s">
        <v>31</v>
      </c>
      <c r="O1386" t="s">
        <v>47</v>
      </c>
      <c r="P1386" t="s">
        <v>74</v>
      </c>
    </row>
    <row r="1387" spans="1:16" x14ac:dyDescent="0.25">
      <c r="A1387" t="s">
        <v>2035</v>
      </c>
      <c r="B1387" s="4">
        <v>45852</v>
      </c>
      <c r="C1387" s="5">
        <v>0.77847222222222223</v>
      </c>
      <c r="D1387" t="s">
        <v>16</v>
      </c>
      <c r="E1387" t="s">
        <v>191</v>
      </c>
      <c r="F1387" s="4"/>
      <c r="G1387">
        <v>1970</v>
      </c>
      <c r="H1387">
        <v>7</v>
      </c>
      <c r="I1387">
        <v>25</v>
      </c>
      <c r="J1387" t="s">
        <v>178</v>
      </c>
      <c r="K1387" t="s">
        <v>2036</v>
      </c>
      <c r="L1387">
        <v>1</v>
      </c>
      <c r="M1387">
        <v>285.79000000000002</v>
      </c>
      <c r="N1387" t="s">
        <v>64</v>
      </c>
      <c r="O1387" t="s">
        <v>55</v>
      </c>
      <c r="P1387" t="s">
        <v>74</v>
      </c>
    </row>
    <row r="1388" spans="1:16" x14ac:dyDescent="0.25">
      <c r="A1388" t="s">
        <v>2037</v>
      </c>
      <c r="B1388" t="s">
        <v>1144</v>
      </c>
      <c r="C1388" s="2">
        <v>0.79722222222222228</v>
      </c>
      <c r="D1388" t="s">
        <v>16</v>
      </c>
      <c r="E1388" t="s">
        <v>528</v>
      </c>
      <c r="J1388" t="s">
        <v>104</v>
      </c>
      <c r="K1388" t="s">
        <v>2038</v>
      </c>
      <c r="L1388">
        <v>2</v>
      </c>
      <c r="M1388">
        <v>441.91</v>
      </c>
      <c r="O1388" t="s">
        <v>55</v>
      </c>
      <c r="P1388" t="s">
        <v>48</v>
      </c>
    </row>
    <row r="1389" spans="1:16" x14ac:dyDescent="0.25">
      <c r="A1389" t="s">
        <v>2039</v>
      </c>
      <c r="B1389" s="1">
        <v>45890</v>
      </c>
      <c r="C1389" s="3">
        <v>0.70682870370370365</v>
      </c>
      <c r="D1389" t="s">
        <v>16</v>
      </c>
      <c r="E1389" t="s">
        <v>338</v>
      </c>
      <c r="F1389" s="4"/>
      <c r="G1389">
        <v>2010</v>
      </c>
      <c r="H1389">
        <v>3</v>
      </c>
      <c r="I1389">
        <v>13</v>
      </c>
      <c r="J1389" t="s">
        <v>73</v>
      </c>
      <c r="K1389">
        <v>50.06</v>
      </c>
      <c r="L1389">
        <v>2</v>
      </c>
      <c r="M1389" t="s">
        <v>2040</v>
      </c>
      <c r="O1389" t="s">
        <v>55</v>
      </c>
      <c r="P1389" t="s">
        <v>33</v>
      </c>
    </row>
    <row r="1390" spans="1:16" x14ac:dyDescent="0.25">
      <c r="A1390" t="s">
        <v>2041</v>
      </c>
      <c r="B1390" s="1">
        <v>45844</v>
      </c>
      <c r="C1390" s="5">
        <v>0.91597222222222219</v>
      </c>
      <c r="D1390" t="s">
        <v>16</v>
      </c>
      <c r="E1390" t="s">
        <v>208</v>
      </c>
      <c r="J1390" t="s">
        <v>164</v>
      </c>
      <c r="K1390">
        <v>277.37</v>
      </c>
      <c r="L1390">
        <v>1</v>
      </c>
      <c r="M1390">
        <v>277.37</v>
      </c>
      <c r="N1390" t="s">
        <v>19</v>
      </c>
      <c r="O1390" t="s">
        <v>61</v>
      </c>
      <c r="P1390" t="s">
        <v>56</v>
      </c>
    </row>
    <row r="1391" spans="1:16" x14ac:dyDescent="0.25">
      <c r="A1391" t="s">
        <v>2042</v>
      </c>
      <c r="B1391" s="1">
        <v>45815</v>
      </c>
      <c r="C1391" s="3">
        <v>0.73516203703703709</v>
      </c>
      <c r="D1391" t="s">
        <v>16</v>
      </c>
      <c r="E1391" t="s">
        <v>76</v>
      </c>
      <c r="F1391" s="1"/>
      <c r="G1391">
        <v>2001</v>
      </c>
      <c r="H1391">
        <v>9</v>
      </c>
      <c r="I1391">
        <v>6</v>
      </c>
      <c r="J1391" t="s">
        <v>73</v>
      </c>
      <c r="K1391" t="s">
        <v>2043</v>
      </c>
      <c r="L1391">
        <v>2</v>
      </c>
      <c r="M1391">
        <v>89.38</v>
      </c>
      <c r="N1391" t="s">
        <v>31</v>
      </c>
      <c r="O1391" t="s">
        <v>89</v>
      </c>
      <c r="P1391" t="s">
        <v>105</v>
      </c>
    </row>
    <row r="1392" spans="1:16" x14ac:dyDescent="0.25">
      <c r="A1392" t="s">
        <v>2044</v>
      </c>
      <c r="B1392" t="s">
        <v>1265</v>
      </c>
      <c r="C1392" s="5">
        <v>0.60138888888888886</v>
      </c>
      <c r="D1392" t="s">
        <v>16</v>
      </c>
      <c r="E1392" t="s">
        <v>712</v>
      </c>
      <c r="F1392" s="4"/>
      <c r="G1392">
        <v>1990</v>
      </c>
      <c r="H1392">
        <v>7</v>
      </c>
      <c r="I1392">
        <v>11</v>
      </c>
      <c r="J1392" t="s">
        <v>110</v>
      </c>
      <c r="K1392">
        <v>106.71</v>
      </c>
      <c r="L1392">
        <v>1</v>
      </c>
      <c r="M1392">
        <v>106.71</v>
      </c>
      <c r="O1392" t="s">
        <v>89</v>
      </c>
      <c r="P1392" t="s">
        <v>105</v>
      </c>
    </row>
    <row r="1393" spans="1:16" x14ac:dyDescent="0.25">
      <c r="A1393" t="s">
        <v>2045</v>
      </c>
      <c r="B1393" s="4">
        <v>45838</v>
      </c>
      <c r="C1393" s="5">
        <v>0.65902777777777777</v>
      </c>
      <c r="D1393" t="s">
        <v>16</v>
      </c>
      <c r="E1393" t="s">
        <v>133</v>
      </c>
      <c r="F1393" s="4"/>
      <c r="G1393">
        <v>1984</v>
      </c>
      <c r="H1393">
        <v>9</v>
      </c>
      <c r="I1393">
        <v>14</v>
      </c>
      <c r="J1393" t="s">
        <v>45</v>
      </c>
      <c r="K1393">
        <v>204.05</v>
      </c>
      <c r="L1393">
        <v>2</v>
      </c>
      <c r="M1393">
        <v>408.1</v>
      </c>
      <c r="N1393" t="s">
        <v>31</v>
      </c>
      <c r="O1393" t="s">
        <v>26</v>
      </c>
      <c r="P1393" t="s">
        <v>105</v>
      </c>
    </row>
    <row r="1394" spans="1:16" x14ac:dyDescent="0.25">
      <c r="A1394" t="s">
        <v>2046</v>
      </c>
      <c r="B1394" s="1">
        <v>45733</v>
      </c>
      <c r="C1394" s="2">
        <v>0.72013888888888888</v>
      </c>
      <c r="D1394" t="s">
        <v>16</v>
      </c>
      <c r="E1394" t="s">
        <v>512</v>
      </c>
      <c r="G1394">
        <v>1975</v>
      </c>
      <c r="H1394">
        <v>12</v>
      </c>
      <c r="I1394">
        <v>10</v>
      </c>
      <c r="J1394" t="s">
        <v>199</v>
      </c>
      <c r="K1394" t="s">
        <v>2047</v>
      </c>
      <c r="L1394">
        <v>2</v>
      </c>
      <c r="M1394">
        <v>440.56</v>
      </c>
      <c r="N1394" t="s">
        <v>31</v>
      </c>
      <c r="O1394" t="s">
        <v>55</v>
      </c>
      <c r="P1394" t="s">
        <v>74</v>
      </c>
    </row>
    <row r="1395" spans="1:16" x14ac:dyDescent="0.25">
      <c r="A1395" t="s">
        <v>2048</v>
      </c>
      <c r="B1395" s="4">
        <v>45655</v>
      </c>
      <c r="C1395" s="5">
        <v>0.83194444444444449</v>
      </c>
      <c r="D1395" t="s">
        <v>16</v>
      </c>
      <c r="E1395" t="s">
        <v>66</v>
      </c>
      <c r="F1395" s="4"/>
      <c r="G1395">
        <v>1992</v>
      </c>
      <c r="H1395">
        <v>11</v>
      </c>
      <c r="I1395">
        <v>19</v>
      </c>
      <c r="J1395" t="s">
        <v>24</v>
      </c>
      <c r="K1395">
        <v>194.74</v>
      </c>
      <c r="L1395">
        <v>2</v>
      </c>
      <c r="M1395">
        <v>389.48</v>
      </c>
      <c r="N1395" t="s">
        <v>41</v>
      </c>
      <c r="O1395" t="s">
        <v>55</v>
      </c>
      <c r="P1395" t="s">
        <v>56</v>
      </c>
    </row>
    <row r="1396" spans="1:16" x14ac:dyDescent="0.25">
      <c r="A1396" t="s">
        <v>2049</v>
      </c>
      <c r="B1396" s="4">
        <v>45709</v>
      </c>
      <c r="C1396" s="2">
        <v>0.65416666666666667</v>
      </c>
      <c r="D1396" t="s">
        <v>16</v>
      </c>
      <c r="E1396" t="s">
        <v>138</v>
      </c>
      <c r="G1396">
        <v>1982</v>
      </c>
      <c r="H1396">
        <v>1</v>
      </c>
      <c r="I1396">
        <v>16</v>
      </c>
      <c r="J1396" t="s">
        <v>85</v>
      </c>
      <c r="K1396">
        <v>131.99</v>
      </c>
      <c r="L1396">
        <v>1</v>
      </c>
      <c r="M1396">
        <v>131.99</v>
      </c>
      <c r="N1396" t="s">
        <v>19</v>
      </c>
      <c r="O1396" t="s">
        <v>47</v>
      </c>
      <c r="P1396" t="s">
        <v>48</v>
      </c>
    </row>
    <row r="1397" spans="1:16" x14ac:dyDescent="0.25">
      <c r="A1397" t="s">
        <v>2050</v>
      </c>
      <c r="B1397" s="1">
        <v>45617</v>
      </c>
      <c r="C1397" s="3">
        <v>0.41766203703703703</v>
      </c>
      <c r="D1397" t="s">
        <v>16</v>
      </c>
      <c r="E1397" t="s">
        <v>35</v>
      </c>
      <c r="F1397" s="4"/>
      <c r="G1397">
        <v>1986</v>
      </c>
      <c r="H1397">
        <v>4</v>
      </c>
      <c r="I1397">
        <v>10</v>
      </c>
      <c r="J1397" t="s">
        <v>73</v>
      </c>
      <c r="K1397">
        <v>49.47</v>
      </c>
      <c r="L1397">
        <v>2</v>
      </c>
      <c r="M1397">
        <v>98.94</v>
      </c>
      <c r="N1397" t="s">
        <v>54</v>
      </c>
      <c r="O1397" t="s">
        <v>37</v>
      </c>
    </row>
    <row r="1398" spans="1:16" x14ac:dyDescent="0.25">
      <c r="A1398" t="s">
        <v>2051</v>
      </c>
      <c r="B1398" s="1">
        <v>45808</v>
      </c>
      <c r="C1398" s="2">
        <v>0.57291666666666663</v>
      </c>
      <c r="D1398" t="s">
        <v>16</v>
      </c>
      <c r="E1398" t="s">
        <v>189</v>
      </c>
      <c r="G1398">
        <v>2005</v>
      </c>
      <c r="H1398">
        <v>8</v>
      </c>
      <c r="I1398">
        <v>11</v>
      </c>
      <c r="J1398" t="s">
        <v>129</v>
      </c>
      <c r="K1398">
        <v>157.09</v>
      </c>
      <c r="L1398">
        <v>1</v>
      </c>
      <c r="M1398">
        <v>157.09</v>
      </c>
      <c r="N1398" t="s">
        <v>67</v>
      </c>
      <c r="O1398" t="s">
        <v>55</v>
      </c>
      <c r="P1398" t="s">
        <v>33</v>
      </c>
    </row>
    <row r="1399" spans="1:16" x14ac:dyDescent="0.25">
      <c r="A1399" t="s">
        <v>2052</v>
      </c>
      <c r="B1399" s="4">
        <v>45938</v>
      </c>
      <c r="C1399" s="2">
        <v>0.81319444444444444</v>
      </c>
      <c r="D1399" t="s">
        <v>16</v>
      </c>
      <c r="E1399" t="s">
        <v>299</v>
      </c>
      <c r="F1399" s="1"/>
      <c r="G1399">
        <v>1984</v>
      </c>
      <c r="H1399">
        <v>12</v>
      </c>
      <c r="I1399">
        <v>5</v>
      </c>
      <c r="J1399" t="s">
        <v>126</v>
      </c>
      <c r="K1399">
        <v>202.52</v>
      </c>
      <c r="L1399">
        <v>2</v>
      </c>
      <c r="M1399">
        <v>405.04</v>
      </c>
      <c r="O1399" t="s">
        <v>37</v>
      </c>
    </row>
    <row r="1400" spans="1:16" x14ac:dyDescent="0.25">
      <c r="A1400" t="s">
        <v>2053</v>
      </c>
      <c r="B1400" s="1">
        <v>45725</v>
      </c>
      <c r="C1400" s="5">
        <v>0.48333333333333334</v>
      </c>
      <c r="D1400" t="s">
        <v>16</v>
      </c>
      <c r="E1400" t="s">
        <v>267</v>
      </c>
      <c r="F1400" s="4"/>
      <c r="G1400">
        <v>1974</v>
      </c>
      <c r="H1400">
        <v>1</v>
      </c>
      <c r="I1400">
        <v>2</v>
      </c>
      <c r="J1400" t="s">
        <v>60</v>
      </c>
      <c r="K1400">
        <v>122.86</v>
      </c>
      <c r="L1400">
        <v>3</v>
      </c>
      <c r="M1400">
        <v>368.58</v>
      </c>
      <c r="N1400" t="s">
        <v>41</v>
      </c>
      <c r="O1400" t="s">
        <v>89</v>
      </c>
    </row>
    <row r="1401" spans="1:16" x14ac:dyDescent="0.25">
      <c r="A1401" t="s">
        <v>2054</v>
      </c>
      <c r="B1401" s="1">
        <v>45920</v>
      </c>
      <c r="C1401" s="2">
        <v>0.84930555555555554</v>
      </c>
      <c r="D1401" t="s">
        <v>16</v>
      </c>
      <c r="E1401" t="s">
        <v>360</v>
      </c>
      <c r="F1401" s="4"/>
      <c r="G1401">
        <v>2003</v>
      </c>
      <c r="H1401">
        <v>12</v>
      </c>
      <c r="I1401">
        <v>9</v>
      </c>
      <c r="J1401" t="s">
        <v>202</v>
      </c>
      <c r="K1401">
        <v>363.21</v>
      </c>
      <c r="L1401">
        <v>3</v>
      </c>
      <c r="M1401">
        <v>1089.6300000000001</v>
      </c>
      <c r="N1401" t="s">
        <v>67</v>
      </c>
      <c r="O1401" t="s">
        <v>26</v>
      </c>
      <c r="P1401" t="s">
        <v>33</v>
      </c>
    </row>
    <row r="1402" spans="1:16" x14ac:dyDescent="0.25">
      <c r="A1402" t="s">
        <v>2055</v>
      </c>
      <c r="B1402" s="1">
        <v>45919</v>
      </c>
      <c r="C1402" s="3">
        <v>0.55623842592592587</v>
      </c>
      <c r="D1402" t="s">
        <v>16</v>
      </c>
      <c r="E1402" t="s">
        <v>548</v>
      </c>
      <c r="F1402" s="4"/>
      <c r="G1402">
        <v>2000</v>
      </c>
      <c r="H1402">
        <v>4</v>
      </c>
      <c r="I1402">
        <v>23</v>
      </c>
      <c r="J1402" t="s">
        <v>213</v>
      </c>
      <c r="K1402">
        <v>208.16</v>
      </c>
      <c r="L1402">
        <v>2</v>
      </c>
      <c r="M1402">
        <v>416.32</v>
      </c>
      <c r="N1402" t="s">
        <v>67</v>
      </c>
      <c r="O1402" t="s">
        <v>61</v>
      </c>
    </row>
    <row r="1403" spans="1:16" x14ac:dyDescent="0.25">
      <c r="A1403" t="s">
        <v>2056</v>
      </c>
      <c r="B1403" s="1">
        <v>45643</v>
      </c>
      <c r="C1403" s="5">
        <v>0.95902777777777781</v>
      </c>
      <c r="D1403" t="s">
        <v>16</v>
      </c>
      <c r="E1403" t="s">
        <v>332</v>
      </c>
      <c r="G1403">
        <v>2010</v>
      </c>
      <c r="H1403">
        <v>7</v>
      </c>
      <c r="I1403">
        <v>5</v>
      </c>
      <c r="J1403" t="s">
        <v>126</v>
      </c>
      <c r="K1403">
        <v>213.88</v>
      </c>
      <c r="L1403">
        <v>0</v>
      </c>
      <c r="M1403">
        <v>0</v>
      </c>
      <c r="N1403" t="s">
        <v>54</v>
      </c>
      <c r="O1403" t="s">
        <v>89</v>
      </c>
    </row>
    <row r="1404" spans="1:16" x14ac:dyDescent="0.25">
      <c r="A1404" t="s">
        <v>2057</v>
      </c>
      <c r="B1404" s="4">
        <v>45637</v>
      </c>
      <c r="C1404" s="2">
        <v>0.73472222222222228</v>
      </c>
      <c r="D1404" t="s">
        <v>16</v>
      </c>
      <c r="E1404" t="s">
        <v>98</v>
      </c>
      <c r="F1404" s="4"/>
      <c r="G1404">
        <v>1982</v>
      </c>
      <c r="H1404">
        <v>10</v>
      </c>
      <c r="I1404">
        <v>19</v>
      </c>
      <c r="J1404" t="s">
        <v>213</v>
      </c>
      <c r="K1404">
        <v>105.03</v>
      </c>
      <c r="L1404">
        <v>2</v>
      </c>
      <c r="M1404">
        <v>210.06</v>
      </c>
      <c r="N1404" t="s">
        <v>41</v>
      </c>
      <c r="O1404" t="s">
        <v>37</v>
      </c>
      <c r="P1404" t="s">
        <v>74</v>
      </c>
    </row>
    <row r="1405" spans="1:16" x14ac:dyDescent="0.25">
      <c r="A1405" t="s">
        <v>2058</v>
      </c>
      <c r="B1405" s="4">
        <v>45692</v>
      </c>
      <c r="C1405" s="3">
        <v>0.47697916666666668</v>
      </c>
      <c r="D1405" t="s">
        <v>16</v>
      </c>
      <c r="E1405" t="s">
        <v>324</v>
      </c>
      <c r="F1405" s="4"/>
      <c r="G1405">
        <v>1980</v>
      </c>
      <c r="H1405">
        <v>8</v>
      </c>
      <c r="I1405">
        <v>10</v>
      </c>
      <c r="J1405" t="s">
        <v>40</v>
      </c>
      <c r="K1405">
        <v>207.64</v>
      </c>
      <c r="L1405">
        <v>1</v>
      </c>
      <c r="M1405">
        <v>207.64</v>
      </c>
      <c r="N1405" t="s">
        <v>25</v>
      </c>
      <c r="O1405" t="s">
        <v>61</v>
      </c>
      <c r="P1405" t="s">
        <v>56</v>
      </c>
    </row>
    <row r="1406" spans="1:16" x14ac:dyDescent="0.25">
      <c r="A1406" t="s">
        <v>2059</v>
      </c>
      <c r="B1406" t="s">
        <v>2060</v>
      </c>
      <c r="C1406" s="3">
        <v>0.87979166666666664</v>
      </c>
      <c r="D1406" t="s">
        <v>16</v>
      </c>
      <c r="E1406" t="s">
        <v>520</v>
      </c>
      <c r="G1406">
        <v>1971</v>
      </c>
      <c r="H1406">
        <v>1</v>
      </c>
      <c r="I1406">
        <v>26</v>
      </c>
      <c r="J1406" t="s">
        <v>145</v>
      </c>
      <c r="K1406">
        <v>217.22</v>
      </c>
      <c r="L1406">
        <v>1</v>
      </c>
      <c r="M1406">
        <v>217.22</v>
      </c>
      <c r="N1406" t="s">
        <v>31</v>
      </c>
      <c r="O1406" t="s">
        <v>47</v>
      </c>
      <c r="P1406" t="s">
        <v>21</v>
      </c>
    </row>
    <row r="1407" spans="1:16" x14ac:dyDescent="0.25">
      <c r="A1407" t="s">
        <v>2061</v>
      </c>
      <c r="B1407" s="1">
        <v>45931</v>
      </c>
      <c r="C1407" s="3">
        <v>0.58091435185185181</v>
      </c>
      <c r="D1407" t="s">
        <v>16</v>
      </c>
      <c r="E1407" t="s">
        <v>198</v>
      </c>
      <c r="F1407" s="1"/>
      <c r="G1407">
        <v>2010</v>
      </c>
      <c r="H1407">
        <v>10</v>
      </c>
      <c r="I1407">
        <v>27</v>
      </c>
      <c r="J1407" t="s">
        <v>85</v>
      </c>
      <c r="K1407">
        <v>257.27</v>
      </c>
      <c r="L1407">
        <v>1</v>
      </c>
      <c r="M1407">
        <v>257.27</v>
      </c>
      <c r="N1407" t="s">
        <v>67</v>
      </c>
      <c r="O1407" t="s">
        <v>61</v>
      </c>
      <c r="P1407" t="s">
        <v>27</v>
      </c>
    </row>
    <row r="1408" spans="1:16" x14ac:dyDescent="0.25">
      <c r="A1408" t="s">
        <v>2062</v>
      </c>
      <c r="C1408" s="5">
        <v>0.64444444444444449</v>
      </c>
      <c r="D1408" t="s">
        <v>16</v>
      </c>
      <c r="E1408" t="s">
        <v>295</v>
      </c>
      <c r="F1408" s="1"/>
      <c r="G1408">
        <v>1986</v>
      </c>
      <c r="H1408">
        <v>11</v>
      </c>
      <c r="I1408">
        <v>20</v>
      </c>
      <c r="J1408" t="s">
        <v>36</v>
      </c>
      <c r="K1408">
        <v>179.82</v>
      </c>
      <c r="L1408">
        <v>1</v>
      </c>
      <c r="M1408" t="s">
        <v>2063</v>
      </c>
      <c r="N1408" t="s">
        <v>41</v>
      </c>
      <c r="O1408" t="s">
        <v>61</v>
      </c>
    </row>
    <row r="1409" spans="1:16" x14ac:dyDescent="0.25">
      <c r="A1409" t="s">
        <v>2064</v>
      </c>
      <c r="B1409" s="1">
        <v>45957</v>
      </c>
      <c r="C1409" s="5">
        <v>0.74583333333333335</v>
      </c>
      <c r="D1409" t="s">
        <v>16</v>
      </c>
      <c r="E1409" t="s">
        <v>1548</v>
      </c>
      <c r="F1409" s="4"/>
      <c r="G1409">
        <v>1998</v>
      </c>
      <c r="H1409">
        <v>1</v>
      </c>
      <c r="I1409">
        <v>11</v>
      </c>
      <c r="J1409" t="s">
        <v>213</v>
      </c>
      <c r="K1409">
        <v>246.39</v>
      </c>
      <c r="L1409">
        <v>2</v>
      </c>
      <c r="M1409">
        <v>492.78</v>
      </c>
      <c r="N1409" t="s">
        <v>31</v>
      </c>
      <c r="O1409" t="s">
        <v>20</v>
      </c>
      <c r="P1409" t="s">
        <v>21</v>
      </c>
    </row>
    <row r="1410" spans="1:16" x14ac:dyDescent="0.25">
      <c r="A1410" t="s">
        <v>2065</v>
      </c>
      <c r="B1410" t="s">
        <v>2066</v>
      </c>
      <c r="C1410" s="3">
        <v>0.89563657407407404</v>
      </c>
      <c r="D1410" t="s">
        <v>16</v>
      </c>
      <c r="E1410" t="s">
        <v>405</v>
      </c>
      <c r="G1410">
        <v>1991</v>
      </c>
      <c r="H1410">
        <v>12</v>
      </c>
      <c r="I1410">
        <v>12</v>
      </c>
      <c r="J1410" t="s">
        <v>178</v>
      </c>
      <c r="K1410">
        <v>274.02999999999997</v>
      </c>
      <c r="L1410">
        <v>2</v>
      </c>
      <c r="M1410">
        <v>548.05999999999995</v>
      </c>
      <c r="N1410" t="s">
        <v>67</v>
      </c>
      <c r="O1410" t="s">
        <v>37</v>
      </c>
    </row>
    <row r="1411" spans="1:16" x14ac:dyDescent="0.25">
      <c r="A1411" t="s">
        <v>2067</v>
      </c>
      <c r="B1411" s="4">
        <v>45862</v>
      </c>
      <c r="C1411" s="5">
        <v>0.91874999999999996</v>
      </c>
      <c r="D1411" t="s">
        <v>16</v>
      </c>
      <c r="E1411" t="s">
        <v>2068</v>
      </c>
      <c r="F1411" s="4"/>
      <c r="G1411">
        <v>1979</v>
      </c>
      <c r="H1411">
        <v>4</v>
      </c>
      <c r="I1411">
        <v>8</v>
      </c>
      <c r="J1411" t="s">
        <v>104</v>
      </c>
      <c r="K1411">
        <v>-253.27</v>
      </c>
      <c r="L1411">
        <v>2</v>
      </c>
      <c r="M1411">
        <v>-506.54</v>
      </c>
      <c r="O1411" t="s">
        <v>47</v>
      </c>
      <c r="P1411" t="s">
        <v>105</v>
      </c>
    </row>
    <row r="1412" spans="1:16" x14ac:dyDescent="0.25">
      <c r="A1412" t="s">
        <v>2069</v>
      </c>
      <c r="B1412" s="1">
        <v>45781</v>
      </c>
      <c r="C1412" s="5">
        <v>0.52361111111111114</v>
      </c>
      <c r="D1412" t="s">
        <v>16</v>
      </c>
      <c r="E1412" t="s">
        <v>240</v>
      </c>
      <c r="G1412">
        <v>1996</v>
      </c>
      <c r="H1412">
        <v>3</v>
      </c>
      <c r="I1412">
        <v>19</v>
      </c>
      <c r="J1412" t="s">
        <v>24</v>
      </c>
      <c r="K1412">
        <v>239.3</v>
      </c>
      <c r="L1412">
        <v>2</v>
      </c>
      <c r="M1412">
        <v>501.6</v>
      </c>
      <c r="N1412" t="s">
        <v>19</v>
      </c>
      <c r="O1412" t="s">
        <v>26</v>
      </c>
    </row>
    <row r="1413" spans="1:16" x14ac:dyDescent="0.25">
      <c r="A1413" t="s">
        <v>2070</v>
      </c>
      <c r="B1413" t="s">
        <v>881</v>
      </c>
      <c r="C1413" s="2">
        <v>0.73472222222222228</v>
      </c>
      <c r="D1413" t="s">
        <v>16</v>
      </c>
      <c r="E1413" t="s">
        <v>370</v>
      </c>
      <c r="G1413">
        <v>1996</v>
      </c>
      <c r="H1413">
        <v>8</v>
      </c>
      <c r="I1413">
        <v>2</v>
      </c>
      <c r="J1413" t="s">
        <v>77</v>
      </c>
      <c r="K1413">
        <v>302.14999999999998</v>
      </c>
      <c r="L1413">
        <v>0</v>
      </c>
      <c r="M1413">
        <v>0</v>
      </c>
      <c r="N1413" t="s">
        <v>25</v>
      </c>
      <c r="O1413" t="s">
        <v>61</v>
      </c>
    </row>
    <row r="1414" spans="1:16" x14ac:dyDescent="0.25">
      <c r="A1414" t="s">
        <v>2071</v>
      </c>
      <c r="B1414" s="4">
        <v>45905</v>
      </c>
      <c r="C1414" s="3">
        <v>0.61751157407407409</v>
      </c>
      <c r="D1414" t="s">
        <v>16</v>
      </c>
      <c r="E1414" t="s">
        <v>206</v>
      </c>
      <c r="F1414" s="4"/>
      <c r="G1414">
        <v>1995</v>
      </c>
      <c r="H1414">
        <v>9</v>
      </c>
      <c r="I1414">
        <v>22</v>
      </c>
      <c r="J1414" t="s">
        <v>126</v>
      </c>
      <c r="K1414">
        <v>217.47</v>
      </c>
      <c r="L1414">
        <v>2</v>
      </c>
      <c r="M1414">
        <v>434.94</v>
      </c>
      <c r="N1414" t="s">
        <v>19</v>
      </c>
      <c r="O1414" t="s">
        <v>47</v>
      </c>
      <c r="P1414" t="s">
        <v>33</v>
      </c>
    </row>
    <row r="1415" spans="1:16" x14ac:dyDescent="0.25">
      <c r="A1415" t="s">
        <v>2072</v>
      </c>
      <c r="B1415" s="4">
        <v>45813</v>
      </c>
      <c r="C1415" s="5">
        <v>0.90416666666666667</v>
      </c>
      <c r="D1415" t="s">
        <v>16</v>
      </c>
      <c r="E1415" t="s">
        <v>222</v>
      </c>
      <c r="F1415" s="1"/>
      <c r="G1415">
        <v>1974</v>
      </c>
      <c r="H1415">
        <v>5</v>
      </c>
      <c r="I1415">
        <v>1</v>
      </c>
      <c r="J1415" t="s">
        <v>141</v>
      </c>
      <c r="K1415">
        <v>164.29</v>
      </c>
      <c r="L1415">
        <v>2</v>
      </c>
      <c r="M1415">
        <v>313.58</v>
      </c>
      <c r="N1415" t="s">
        <v>41</v>
      </c>
      <c r="O1415" t="s">
        <v>47</v>
      </c>
      <c r="P1415" t="s">
        <v>21</v>
      </c>
    </row>
    <row r="1416" spans="1:16" x14ac:dyDescent="0.25">
      <c r="A1416" t="s">
        <v>2073</v>
      </c>
      <c r="B1416" t="s">
        <v>561</v>
      </c>
      <c r="C1416" s="2">
        <v>0.84375</v>
      </c>
      <c r="D1416" t="s">
        <v>16</v>
      </c>
      <c r="E1416" t="s">
        <v>52</v>
      </c>
      <c r="F1416" s="4"/>
      <c r="G1416">
        <v>2009</v>
      </c>
      <c r="H1416">
        <v>2</v>
      </c>
      <c r="I1416">
        <v>12</v>
      </c>
      <c r="J1416" t="s">
        <v>199</v>
      </c>
      <c r="K1416">
        <v>186.82</v>
      </c>
      <c r="L1416">
        <v>2</v>
      </c>
      <c r="M1416">
        <v>373.64</v>
      </c>
      <c r="N1416" t="s">
        <v>64</v>
      </c>
      <c r="O1416" t="s">
        <v>26</v>
      </c>
      <c r="P1416" t="s">
        <v>33</v>
      </c>
    </row>
    <row r="1417" spans="1:16" x14ac:dyDescent="0.25">
      <c r="A1417" t="s">
        <v>2074</v>
      </c>
      <c r="B1417" s="4">
        <v>45932</v>
      </c>
      <c r="C1417" s="5">
        <v>0.73263888888888884</v>
      </c>
      <c r="D1417" t="s">
        <v>16</v>
      </c>
      <c r="E1417" t="s">
        <v>295</v>
      </c>
      <c r="F1417" s="4"/>
      <c r="G1417">
        <v>1997</v>
      </c>
      <c r="H1417">
        <v>9</v>
      </c>
      <c r="I1417">
        <v>20</v>
      </c>
      <c r="J1417" t="s">
        <v>202</v>
      </c>
      <c r="K1417">
        <v>302.08999999999997</v>
      </c>
      <c r="L1417">
        <v>2</v>
      </c>
      <c r="M1417">
        <v>604.17999999999995</v>
      </c>
      <c r="N1417" t="s">
        <v>19</v>
      </c>
      <c r="O1417" t="s">
        <v>61</v>
      </c>
    </row>
    <row r="1418" spans="1:16" x14ac:dyDescent="0.25">
      <c r="A1418" t="s">
        <v>2075</v>
      </c>
      <c r="B1418" s="1">
        <v>45967</v>
      </c>
      <c r="C1418" s="3">
        <v>0.5003009259259259</v>
      </c>
      <c r="D1418" t="s">
        <v>16</v>
      </c>
      <c r="E1418" t="s">
        <v>512</v>
      </c>
      <c r="F1418" s="1"/>
      <c r="G1418">
        <v>2003</v>
      </c>
      <c r="H1418">
        <v>12</v>
      </c>
      <c r="I1418">
        <v>12</v>
      </c>
      <c r="J1418" t="s">
        <v>116</v>
      </c>
      <c r="K1418">
        <v>211.15</v>
      </c>
      <c r="L1418">
        <v>0</v>
      </c>
      <c r="M1418">
        <v>0</v>
      </c>
      <c r="N1418" t="s">
        <v>64</v>
      </c>
      <c r="O1418" t="s">
        <v>26</v>
      </c>
    </row>
    <row r="1419" spans="1:16" x14ac:dyDescent="0.25">
      <c r="A1419" t="s">
        <v>2076</v>
      </c>
      <c r="B1419" s="1">
        <v>45828</v>
      </c>
      <c r="C1419" s="3">
        <v>0.81641203703703702</v>
      </c>
      <c r="D1419" t="s">
        <v>16</v>
      </c>
      <c r="E1419" t="s">
        <v>35</v>
      </c>
      <c r="G1419">
        <v>2010</v>
      </c>
      <c r="H1419">
        <v>8</v>
      </c>
      <c r="I1419">
        <v>14</v>
      </c>
      <c r="J1419" t="s">
        <v>145</v>
      </c>
      <c r="K1419">
        <v>120.71</v>
      </c>
      <c r="L1419">
        <v>2</v>
      </c>
      <c r="M1419">
        <v>241.42</v>
      </c>
      <c r="N1419" t="s">
        <v>41</v>
      </c>
      <c r="O1419" t="s">
        <v>37</v>
      </c>
    </row>
    <row r="1420" spans="1:16" x14ac:dyDescent="0.25">
      <c r="A1420" t="s">
        <v>2077</v>
      </c>
      <c r="B1420" t="s">
        <v>836</v>
      </c>
      <c r="C1420" s="2">
        <v>0.44027777777777777</v>
      </c>
      <c r="D1420" t="s">
        <v>16</v>
      </c>
      <c r="E1420" t="s">
        <v>389</v>
      </c>
      <c r="F1420" s="4"/>
      <c r="G1420">
        <v>2009</v>
      </c>
      <c r="H1420">
        <v>11</v>
      </c>
      <c r="I1420">
        <v>24</v>
      </c>
      <c r="J1420" t="s">
        <v>164</v>
      </c>
      <c r="K1420">
        <v>265.33999999999997</v>
      </c>
      <c r="L1420">
        <v>1</v>
      </c>
      <c r="M1420">
        <v>265.33999999999997</v>
      </c>
      <c r="N1420" t="s">
        <v>19</v>
      </c>
      <c r="O1420" t="s">
        <v>47</v>
      </c>
    </row>
    <row r="1421" spans="1:16" x14ac:dyDescent="0.25">
      <c r="A1421" t="s">
        <v>2078</v>
      </c>
      <c r="B1421" s="4">
        <v>45802</v>
      </c>
      <c r="C1421" s="5">
        <v>0.5395833333333333</v>
      </c>
      <c r="D1421" t="s">
        <v>16</v>
      </c>
      <c r="E1421" t="s">
        <v>1206</v>
      </c>
      <c r="F1421" s="4"/>
      <c r="G1421">
        <v>2009</v>
      </c>
      <c r="H1421">
        <v>8</v>
      </c>
      <c r="I1421">
        <v>8</v>
      </c>
      <c r="J1421" t="s">
        <v>93</v>
      </c>
      <c r="K1421">
        <v>176.69</v>
      </c>
      <c r="L1421">
        <v>3</v>
      </c>
      <c r="M1421">
        <v>530.07000000000005</v>
      </c>
      <c r="N1421" t="s">
        <v>31</v>
      </c>
      <c r="O1421" t="s">
        <v>37</v>
      </c>
    </row>
    <row r="1422" spans="1:16" x14ac:dyDescent="0.25">
      <c r="A1422" t="s">
        <v>2079</v>
      </c>
      <c r="B1422" s="4">
        <v>45620</v>
      </c>
      <c r="C1422" s="3">
        <v>0.62569444444444444</v>
      </c>
      <c r="D1422" t="s">
        <v>16</v>
      </c>
      <c r="E1422" t="s">
        <v>76</v>
      </c>
      <c r="G1422">
        <v>1990</v>
      </c>
      <c r="H1422">
        <v>12</v>
      </c>
      <c r="I1422">
        <v>17</v>
      </c>
      <c r="J1422" t="s">
        <v>24</v>
      </c>
      <c r="K1422">
        <v>238.96</v>
      </c>
      <c r="L1422">
        <v>1</v>
      </c>
      <c r="M1422">
        <v>238.96</v>
      </c>
      <c r="O1422" t="s">
        <v>55</v>
      </c>
      <c r="P1422" t="s">
        <v>74</v>
      </c>
    </row>
    <row r="1423" spans="1:16" x14ac:dyDescent="0.25">
      <c r="A1423" t="s">
        <v>2080</v>
      </c>
      <c r="B1423" s="1">
        <v>45697</v>
      </c>
      <c r="C1423" s="2">
        <v>0.98055555555555551</v>
      </c>
      <c r="D1423" t="s">
        <v>16</v>
      </c>
      <c r="E1423" t="s">
        <v>1627</v>
      </c>
      <c r="F1423" s="4"/>
      <c r="G1423">
        <v>1992</v>
      </c>
      <c r="H1423">
        <v>9</v>
      </c>
      <c r="I1423">
        <v>5</v>
      </c>
      <c r="J1423" t="s">
        <v>73</v>
      </c>
      <c r="K1423">
        <v>-55.87</v>
      </c>
      <c r="L1423">
        <v>1</v>
      </c>
      <c r="M1423">
        <v>-55.87</v>
      </c>
      <c r="N1423" t="s">
        <v>54</v>
      </c>
      <c r="O1423" t="s">
        <v>47</v>
      </c>
      <c r="P1423" t="s">
        <v>48</v>
      </c>
    </row>
    <row r="1424" spans="1:16" x14ac:dyDescent="0.25">
      <c r="A1424" t="s">
        <v>2081</v>
      </c>
      <c r="B1424" s="1">
        <v>45665</v>
      </c>
      <c r="C1424" s="3">
        <v>0.72984953703703703</v>
      </c>
      <c r="D1424" t="s">
        <v>16</v>
      </c>
      <c r="E1424" t="s">
        <v>191</v>
      </c>
      <c r="F1424" s="1"/>
      <c r="G1424">
        <v>1983</v>
      </c>
      <c r="H1424">
        <v>12</v>
      </c>
      <c r="I1424">
        <v>16</v>
      </c>
      <c r="J1424" t="s">
        <v>199</v>
      </c>
      <c r="K1424">
        <v>209.25</v>
      </c>
      <c r="L1424">
        <v>3</v>
      </c>
      <c r="M1424">
        <v>627.75</v>
      </c>
      <c r="N1424" t="s">
        <v>41</v>
      </c>
      <c r="O1424" t="s">
        <v>37</v>
      </c>
      <c r="P1424" t="s">
        <v>33</v>
      </c>
    </row>
    <row r="1425" spans="1:16" x14ac:dyDescent="0.25">
      <c r="A1425" t="s">
        <v>2082</v>
      </c>
      <c r="B1425" t="s">
        <v>1572</v>
      </c>
      <c r="C1425" s="3">
        <v>0.95302083333333332</v>
      </c>
      <c r="D1425" t="s">
        <v>16</v>
      </c>
      <c r="E1425" t="s">
        <v>151</v>
      </c>
      <c r="F1425" s="1"/>
      <c r="G1425">
        <v>2001</v>
      </c>
      <c r="H1425">
        <v>7</v>
      </c>
      <c r="I1425">
        <v>9</v>
      </c>
      <c r="J1425" t="s">
        <v>93</v>
      </c>
      <c r="K1425">
        <v>232.84</v>
      </c>
      <c r="L1425">
        <v>2</v>
      </c>
      <c r="M1425">
        <v>465.68</v>
      </c>
      <c r="N1425" t="s">
        <v>41</v>
      </c>
      <c r="O1425" t="s">
        <v>20</v>
      </c>
      <c r="P1425" t="s">
        <v>21</v>
      </c>
    </row>
    <row r="1426" spans="1:16" x14ac:dyDescent="0.25">
      <c r="A1426" t="s">
        <v>2083</v>
      </c>
      <c r="B1426" t="s">
        <v>1863</v>
      </c>
      <c r="C1426" s="3">
        <v>0.48313657407407407</v>
      </c>
      <c r="D1426" t="s">
        <v>16</v>
      </c>
      <c r="E1426" t="s">
        <v>201</v>
      </c>
      <c r="F1426" s="4"/>
      <c r="G1426">
        <v>1982</v>
      </c>
      <c r="H1426">
        <v>10</v>
      </c>
      <c r="I1426">
        <v>20</v>
      </c>
      <c r="J1426" t="s">
        <v>145</v>
      </c>
      <c r="K1426">
        <v>165.92</v>
      </c>
      <c r="L1426">
        <v>1</v>
      </c>
      <c r="M1426">
        <v>165.92</v>
      </c>
      <c r="O1426" t="s">
        <v>26</v>
      </c>
      <c r="P1426" t="s">
        <v>105</v>
      </c>
    </row>
    <row r="1427" spans="1:16" x14ac:dyDescent="0.25">
      <c r="A1427" t="s">
        <v>2084</v>
      </c>
      <c r="B1427" s="4">
        <v>45742</v>
      </c>
      <c r="C1427" s="3">
        <v>0.83359953703703704</v>
      </c>
      <c r="D1427" t="s">
        <v>16</v>
      </c>
      <c r="E1427" t="s">
        <v>332</v>
      </c>
      <c r="F1427" s="4"/>
      <c r="G1427">
        <v>1996</v>
      </c>
      <c r="H1427">
        <v>3</v>
      </c>
      <c r="I1427">
        <v>11</v>
      </c>
      <c r="J1427" t="s">
        <v>30</v>
      </c>
      <c r="K1427">
        <v>243.7</v>
      </c>
      <c r="L1427">
        <v>0</v>
      </c>
      <c r="M1427">
        <v>0</v>
      </c>
      <c r="N1427" t="s">
        <v>31</v>
      </c>
      <c r="O1427" t="s">
        <v>55</v>
      </c>
    </row>
    <row r="1428" spans="1:16" x14ac:dyDescent="0.25">
      <c r="A1428" t="s">
        <v>2085</v>
      </c>
      <c r="B1428" s="4">
        <v>45652</v>
      </c>
      <c r="C1428" s="2">
        <v>0.71250000000000002</v>
      </c>
      <c r="D1428" t="s">
        <v>16</v>
      </c>
      <c r="E1428" t="s">
        <v>279</v>
      </c>
      <c r="G1428">
        <v>1991</v>
      </c>
      <c r="H1428">
        <v>12</v>
      </c>
      <c r="I1428">
        <v>12</v>
      </c>
      <c r="J1428" t="s">
        <v>202</v>
      </c>
      <c r="K1428">
        <v>347.69</v>
      </c>
      <c r="L1428">
        <v>1</v>
      </c>
      <c r="M1428">
        <v>347.69</v>
      </c>
      <c r="O1428" t="s">
        <v>61</v>
      </c>
      <c r="P1428" t="s">
        <v>74</v>
      </c>
    </row>
    <row r="1429" spans="1:16" x14ac:dyDescent="0.25">
      <c r="A1429" t="s">
        <v>2086</v>
      </c>
      <c r="B1429" s="4">
        <v>45725</v>
      </c>
      <c r="C1429" s="2">
        <v>0.9194444444444444</v>
      </c>
      <c r="D1429" t="s">
        <v>16</v>
      </c>
      <c r="E1429" t="s">
        <v>1827</v>
      </c>
      <c r="F1429" s="1"/>
      <c r="G1429">
        <v>2002</v>
      </c>
      <c r="H1429">
        <v>5</v>
      </c>
      <c r="I1429">
        <v>23</v>
      </c>
      <c r="J1429" t="s">
        <v>129</v>
      </c>
      <c r="K1429">
        <v>220.68</v>
      </c>
      <c r="L1429">
        <v>1</v>
      </c>
      <c r="M1429">
        <v>237.68</v>
      </c>
      <c r="O1429" t="s">
        <v>89</v>
      </c>
    </row>
    <row r="1430" spans="1:16" x14ac:dyDescent="0.25">
      <c r="A1430" t="s">
        <v>2087</v>
      </c>
      <c r="B1430" s="4">
        <v>45702</v>
      </c>
      <c r="C1430" s="3">
        <v>0.46331018518518519</v>
      </c>
      <c r="D1430" t="s">
        <v>16</v>
      </c>
      <c r="E1430" t="s">
        <v>206</v>
      </c>
      <c r="F1430" s="4"/>
      <c r="G1430">
        <v>1970</v>
      </c>
      <c r="H1430">
        <v>4</v>
      </c>
      <c r="I1430">
        <v>2</v>
      </c>
      <c r="J1430" t="s">
        <v>243</v>
      </c>
      <c r="K1430" t="s">
        <v>2088</v>
      </c>
      <c r="L1430">
        <v>1</v>
      </c>
      <c r="M1430">
        <v>155.19</v>
      </c>
      <c r="N1430" t="s">
        <v>19</v>
      </c>
      <c r="O1430" t="s">
        <v>26</v>
      </c>
    </row>
    <row r="1431" spans="1:16" x14ac:dyDescent="0.25">
      <c r="A1431" t="s">
        <v>2089</v>
      </c>
      <c r="B1431" s="4">
        <v>45779</v>
      </c>
      <c r="C1431" s="5">
        <v>0.43472222222222223</v>
      </c>
      <c r="D1431" t="s">
        <v>16</v>
      </c>
      <c r="E1431" t="s">
        <v>528</v>
      </c>
      <c r="F1431" s="4"/>
      <c r="G1431">
        <v>1999</v>
      </c>
      <c r="H1431">
        <v>3</v>
      </c>
      <c r="I1431">
        <v>13</v>
      </c>
      <c r="J1431" t="s">
        <v>104</v>
      </c>
      <c r="K1431" t="s">
        <v>2090</v>
      </c>
      <c r="L1431">
        <v>3</v>
      </c>
      <c r="M1431">
        <v>984.3</v>
      </c>
      <c r="N1431" t="s">
        <v>64</v>
      </c>
      <c r="O1431" t="s">
        <v>26</v>
      </c>
      <c r="P1431" t="s">
        <v>33</v>
      </c>
    </row>
    <row r="1432" spans="1:16" x14ac:dyDescent="0.25">
      <c r="A1432" t="s">
        <v>2091</v>
      </c>
      <c r="B1432" s="4">
        <v>45820</v>
      </c>
      <c r="C1432" s="2">
        <v>0.5083333333333333</v>
      </c>
      <c r="D1432" t="s">
        <v>16</v>
      </c>
      <c r="E1432" t="s">
        <v>405</v>
      </c>
      <c r="G1432">
        <v>1972</v>
      </c>
      <c r="H1432">
        <v>3</v>
      </c>
      <c r="I1432">
        <v>1</v>
      </c>
      <c r="J1432" t="s">
        <v>199</v>
      </c>
      <c r="K1432">
        <v>168.73</v>
      </c>
      <c r="L1432">
        <v>1</v>
      </c>
      <c r="M1432">
        <v>168.73</v>
      </c>
      <c r="O1432" t="s">
        <v>37</v>
      </c>
      <c r="P1432" t="s">
        <v>105</v>
      </c>
    </row>
    <row r="1433" spans="1:16" x14ac:dyDescent="0.25">
      <c r="A1433" t="s">
        <v>2092</v>
      </c>
      <c r="B1433" s="1">
        <v>45940</v>
      </c>
      <c r="C1433" s="2">
        <v>0.44722222222222224</v>
      </c>
      <c r="D1433" t="s">
        <v>16</v>
      </c>
      <c r="E1433" t="s">
        <v>140</v>
      </c>
      <c r="F1433" s="4"/>
      <c r="G1433">
        <v>1983</v>
      </c>
      <c r="H1433">
        <v>12</v>
      </c>
      <c r="I1433">
        <v>22</v>
      </c>
      <c r="J1433" t="s">
        <v>104</v>
      </c>
      <c r="K1433">
        <v>330.57</v>
      </c>
      <c r="L1433">
        <v>2</v>
      </c>
      <c r="M1433">
        <v>661.14</v>
      </c>
      <c r="N1433" t="s">
        <v>67</v>
      </c>
      <c r="O1433" t="s">
        <v>55</v>
      </c>
      <c r="P1433" t="s">
        <v>56</v>
      </c>
    </row>
    <row r="1434" spans="1:16" x14ac:dyDescent="0.25">
      <c r="A1434" t="s">
        <v>2093</v>
      </c>
      <c r="B1434" s="1">
        <v>45957</v>
      </c>
      <c r="C1434" s="2">
        <v>0.46736111111111112</v>
      </c>
      <c r="D1434" t="s">
        <v>16</v>
      </c>
      <c r="E1434" t="s">
        <v>59</v>
      </c>
      <c r="J1434" t="s">
        <v>141</v>
      </c>
      <c r="K1434">
        <v>113.6</v>
      </c>
      <c r="L1434">
        <v>1</v>
      </c>
      <c r="M1434">
        <v>113.6</v>
      </c>
      <c r="N1434" t="s">
        <v>64</v>
      </c>
      <c r="O1434" t="s">
        <v>61</v>
      </c>
      <c r="P1434" t="s">
        <v>48</v>
      </c>
    </row>
    <row r="1435" spans="1:16" x14ac:dyDescent="0.25">
      <c r="A1435" t="s">
        <v>2094</v>
      </c>
      <c r="B1435" s="4">
        <v>45719</v>
      </c>
      <c r="C1435" s="2">
        <v>0.80555555555555558</v>
      </c>
      <c r="D1435" t="s">
        <v>16</v>
      </c>
      <c r="E1435" t="s">
        <v>2095</v>
      </c>
      <c r="F1435" s="1"/>
      <c r="G1435">
        <v>1976</v>
      </c>
      <c r="H1435">
        <v>7</v>
      </c>
      <c r="I1435">
        <v>5</v>
      </c>
      <c r="J1435" t="s">
        <v>145</v>
      </c>
      <c r="K1435">
        <v>293.81</v>
      </c>
      <c r="L1435">
        <v>2</v>
      </c>
      <c r="M1435">
        <v>587.62</v>
      </c>
      <c r="N1435" t="s">
        <v>25</v>
      </c>
      <c r="O1435" t="s">
        <v>20</v>
      </c>
      <c r="P1435" t="s">
        <v>48</v>
      </c>
    </row>
    <row r="1436" spans="1:16" x14ac:dyDescent="0.25">
      <c r="A1436" t="s">
        <v>2096</v>
      </c>
      <c r="B1436" s="4">
        <v>45946</v>
      </c>
      <c r="C1436" s="2">
        <v>0.75416666666666665</v>
      </c>
      <c r="D1436" t="s">
        <v>16</v>
      </c>
      <c r="E1436" t="s">
        <v>154</v>
      </c>
      <c r="J1436" t="s">
        <v>259</v>
      </c>
      <c r="K1436">
        <v>237.88</v>
      </c>
      <c r="L1436">
        <v>3</v>
      </c>
      <c r="M1436">
        <v>713.64</v>
      </c>
      <c r="O1436" t="s">
        <v>61</v>
      </c>
      <c r="P1436" t="s">
        <v>56</v>
      </c>
    </row>
    <row r="1437" spans="1:16" x14ac:dyDescent="0.25">
      <c r="A1437" t="s">
        <v>2097</v>
      </c>
      <c r="B1437" s="4">
        <v>45627</v>
      </c>
      <c r="C1437" s="2">
        <v>0.69513888888888886</v>
      </c>
      <c r="D1437" t="s">
        <v>16</v>
      </c>
      <c r="E1437" t="s">
        <v>397</v>
      </c>
      <c r="F1437" s="1"/>
      <c r="G1437">
        <v>1982</v>
      </c>
      <c r="H1437">
        <v>12</v>
      </c>
      <c r="I1437">
        <v>20</v>
      </c>
      <c r="J1437" t="s">
        <v>213</v>
      </c>
      <c r="K1437">
        <v>235.32</v>
      </c>
      <c r="L1437">
        <v>1</v>
      </c>
      <c r="M1437">
        <v>235.32</v>
      </c>
      <c r="N1437" t="s">
        <v>67</v>
      </c>
      <c r="O1437" t="s">
        <v>89</v>
      </c>
    </row>
    <row r="1438" spans="1:16" x14ac:dyDescent="0.25">
      <c r="A1438" t="s">
        <v>2098</v>
      </c>
      <c r="B1438" s="4">
        <v>45809</v>
      </c>
      <c r="C1438" s="5">
        <v>0.59583333333333333</v>
      </c>
      <c r="D1438" t="s">
        <v>16</v>
      </c>
      <c r="E1438" t="s">
        <v>101</v>
      </c>
      <c r="F1438" s="4"/>
      <c r="G1438">
        <v>1998</v>
      </c>
      <c r="H1438">
        <v>5</v>
      </c>
      <c r="I1438">
        <v>11</v>
      </c>
      <c r="J1438" t="s">
        <v>45</v>
      </c>
      <c r="K1438">
        <v>166.48</v>
      </c>
      <c r="L1438">
        <v>2</v>
      </c>
      <c r="M1438">
        <v>332.96</v>
      </c>
      <c r="N1438" t="s">
        <v>41</v>
      </c>
      <c r="O1438" t="s">
        <v>61</v>
      </c>
      <c r="P1438" t="s">
        <v>27</v>
      </c>
    </row>
    <row r="1439" spans="1:16" x14ac:dyDescent="0.25">
      <c r="A1439" t="s">
        <v>2099</v>
      </c>
      <c r="B1439" t="s">
        <v>449</v>
      </c>
      <c r="C1439" s="2">
        <v>0.83680555555555558</v>
      </c>
      <c r="D1439" t="s">
        <v>16</v>
      </c>
      <c r="E1439" t="s">
        <v>334</v>
      </c>
      <c r="F1439" s="4"/>
      <c r="G1439">
        <v>1990</v>
      </c>
      <c r="H1439">
        <v>1</v>
      </c>
      <c r="I1439">
        <v>21</v>
      </c>
      <c r="J1439" t="s">
        <v>93</v>
      </c>
      <c r="K1439">
        <v>224.06</v>
      </c>
      <c r="L1439">
        <v>2</v>
      </c>
      <c r="M1439">
        <v>448.12</v>
      </c>
      <c r="N1439" t="s">
        <v>67</v>
      </c>
      <c r="O1439" t="s">
        <v>26</v>
      </c>
      <c r="P1439" t="s">
        <v>33</v>
      </c>
    </row>
    <row r="1440" spans="1:16" x14ac:dyDescent="0.25">
      <c r="A1440" t="s">
        <v>2100</v>
      </c>
      <c r="B1440" t="s">
        <v>2101</v>
      </c>
      <c r="C1440" s="2">
        <v>0.6743055555555556</v>
      </c>
      <c r="D1440" t="s">
        <v>16</v>
      </c>
      <c r="E1440" t="s">
        <v>334</v>
      </c>
      <c r="F1440" s="4"/>
      <c r="G1440">
        <v>2001</v>
      </c>
      <c r="H1440">
        <v>6</v>
      </c>
      <c r="I1440">
        <v>9</v>
      </c>
      <c r="J1440" t="s">
        <v>40</v>
      </c>
      <c r="K1440">
        <v>218.57</v>
      </c>
      <c r="L1440">
        <v>3</v>
      </c>
      <c r="M1440">
        <v>655.71</v>
      </c>
      <c r="N1440" t="s">
        <v>19</v>
      </c>
      <c r="O1440" t="s">
        <v>55</v>
      </c>
    </row>
    <row r="1441" spans="1:16" x14ac:dyDescent="0.25">
      <c r="A1441" t="s">
        <v>2102</v>
      </c>
      <c r="B1441" t="s">
        <v>2103</v>
      </c>
      <c r="C1441" s="3">
        <v>0.86275462962962968</v>
      </c>
      <c r="D1441" t="s">
        <v>16</v>
      </c>
      <c r="E1441" t="s">
        <v>229</v>
      </c>
      <c r="G1441">
        <v>1994</v>
      </c>
      <c r="H1441">
        <v>5</v>
      </c>
      <c r="I1441">
        <v>13</v>
      </c>
      <c r="J1441" t="s">
        <v>243</v>
      </c>
      <c r="K1441">
        <v>141.30000000000001</v>
      </c>
      <c r="L1441">
        <v>1</v>
      </c>
      <c r="M1441">
        <v>141.30000000000001</v>
      </c>
      <c r="N1441" t="s">
        <v>25</v>
      </c>
      <c r="O1441" t="s">
        <v>47</v>
      </c>
      <c r="P1441" t="s">
        <v>27</v>
      </c>
    </row>
    <row r="1442" spans="1:16" x14ac:dyDescent="0.25">
      <c r="A1442" t="s">
        <v>2104</v>
      </c>
      <c r="B1442" s="4">
        <v>45799</v>
      </c>
      <c r="C1442" s="5">
        <v>0.81736111111111109</v>
      </c>
      <c r="D1442" t="s">
        <v>16</v>
      </c>
      <c r="E1442" t="s">
        <v>338</v>
      </c>
      <c r="F1442" s="4"/>
      <c r="G1442">
        <v>1992</v>
      </c>
      <c r="H1442">
        <v>11</v>
      </c>
      <c r="I1442">
        <v>11</v>
      </c>
      <c r="J1442" t="s">
        <v>129</v>
      </c>
      <c r="K1442">
        <v>198.68</v>
      </c>
      <c r="L1442">
        <v>2</v>
      </c>
      <c r="M1442">
        <v>397.36</v>
      </c>
      <c r="N1442" t="s">
        <v>19</v>
      </c>
      <c r="O1442" t="s">
        <v>55</v>
      </c>
      <c r="P1442" t="s">
        <v>56</v>
      </c>
    </row>
    <row r="1443" spans="1:16" x14ac:dyDescent="0.25">
      <c r="A1443" t="s">
        <v>2105</v>
      </c>
      <c r="B1443" s="4">
        <v>45712</v>
      </c>
      <c r="C1443" s="5">
        <v>0.94305555555555554</v>
      </c>
      <c r="D1443" t="s">
        <v>16</v>
      </c>
      <c r="E1443" t="s">
        <v>1081</v>
      </c>
      <c r="G1443">
        <v>1984</v>
      </c>
      <c r="H1443">
        <v>1</v>
      </c>
      <c r="I1443">
        <v>24</v>
      </c>
      <c r="J1443" t="s">
        <v>199</v>
      </c>
      <c r="K1443">
        <v>171.41</v>
      </c>
      <c r="L1443">
        <v>3</v>
      </c>
      <c r="M1443">
        <v>514.23</v>
      </c>
      <c r="N1443" t="s">
        <v>54</v>
      </c>
      <c r="O1443" t="s">
        <v>32</v>
      </c>
      <c r="P1443" t="s">
        <v>105</v>
      </c>
    </row>
    <row r="1444" spans="1:16" x14ac:dyDescent="0.25">
      <c r="A1444" t="s">
        <v>2106</v>
      </c>
      <c r="B1444" t="s">
        <v>2107</v>
      </c>
      <c r="C1444" s="3">
        <v>0.44331018518518517</v>
      </c>
      <c r="D1444" t="s">
        <v>16</v>
      </c>
      <c r="E1444" t="s">
        <v>299</v>
      </c>
      <c r="F1444" s="1"/>
      <c r="G1444">
        <v>1971</v>
      </c>
      <c r="H1444">
        <v>7</v>
      </c>
      <c r="I1444">
        <v>19</v>
      </c>
      <c r="J1444" t="s">
        <v>213</v>
      </c>
      <c r="K1444">
        <v>261.14</v>
      </c>
      <c r="L1444">
        <v>2</v>
      </c>
      <c r="M1444">
        <v>522.28</v>
      </c>
      <c r="N1444" t="s">
        <v>64</v>
      </c>
      <c r="O1444" t="s">
        <v>61</v>
      </c>
      <c r="P1444" t="s">
        <v>27</v>
      </c>
    </row>
    <row r="1445" spans="1:16" x14ac:dyDescent="0.25">
      <c r="A1445" t="s">
        <v>2108</v>
      </c>
      <c r="B1445" t="s">
        <v>968</v>
      </c>
      <c r="C1445" s="3">
        <v>0.54913194444444446</v>
      </c>
      <c r="D1445" t="s">
        <v>16</v>
      </c>
      <c r="E1445" t="s">
        <v>39</v>
      </c>
      <c r="F1445" s="4"/>
      <c r="G1445">
        <v>2001</v>
      </c>
      <c r="H1445">
        <v>1</v>
      </c>
      <c r="I1445">
        <v>7</v>
      </c>
      <c r="J1445" t="s">
        <v>129</v>
      </c>
      <c r="K1445">
        <v>176.73</v>
      </c>
      <c r="L1445">
        <v>2</v>
      </c>
      <c r="M1445">
        <v>353.46</v>
      </c>
      <c r="N1445" t="s">
        <v>31</v>
      </c>
      <c r="O1445" t="s">
        <v>47</v>
      </c>
      <c r="P1445" t="s">
        <v>27</v>
      </c>
    </row>
    <row r="1446" spans="1:16" x14ac:dyDescent="0.25">
      <c r="A1446" t="s">
        <v>2109</v>
      </c>
      <c r="B1446" t="s">
        <v>2110</v>
      </c>
      <c r="C1446" s="2">
        <v>0.70208333333333328</v>
      </c>
      <c r="D1446" t="s">
        <v>16</v>
      </c>
      <c r="E1446" t="s">
        <v>322</v>
      </c>
      <c r="F1446" s="4"/>
      <c r="G1446">
        <v>2010</v>
      </c>
      <c r="H1446">
        <v>2</v>
      </c>
      <c r="I1446">
        <v>19</v>
      </c>
      <c r="J1446" t="s">
        <v>73</v>
      </c>
      <c r="K1446">
        <v>50.99</v>
      </c>
      <c r="L1446">
        <v>1</v>
      </c>
      <c r="M1446">
        <v>50.99</v>
      </c>
      <c r="N1446" t="s">
        <v>25</v>
      </c>
      <c r="O1446" t="s">
        <v>26</v>
      </c>
      <c r="P1446" t="s">
        <v>33</v>
      </c>
    </row>
    <row r="1447" spans="1:16" x14ac:dyDescent="0.25">
      <c r="A1447" t="s">
        <v>2111</v>
      </c>
      <c r="B1447" t="s">
        <v>2112</v>
      </c>
      <c r="C1447" s="3">
        <v>0.88045138888888885</v>
      </c>
      <c r="D1447" t="s">
        <v>16</v>
      </c>
      <c r="E1447" t="s">
        <v>29</v>
      </c>
      <c r="G1447">
        <v>1976</v>
      </c>
      <c r="H1447">
        <v>12</v>
      </c>
      <c r="I1447">
        <v>10</v>
      </c>
      <c r="J1447" t="s">
        <v>243</v>
      </c>
      <c r="K1447">
        <v>140.32</v>
      </c>
      <c r="L1447">
        <v>2</v>
      </c>
      <c r="M1447">
        <v>280.64</v>
      </c>
      <c r="N1447" t="s">
        <v>25</v>
      </c>
      <c r="O1447" t="s">
        <v>61</v>
      </c>
      <c r="P1447" t="s">
        <v>33</v>
      </c>
    </row>
    <row r="1448" spans="1:16" x14ac:dyDescent="0.25">
      <c r="A1448" t="s">
        <v>2113</v>
      </c>
      <c r="B1448" t="s">
        <v>2114</v>
      </c>
      <c r="C1448" s="2">
        <v>0.77361111111111114</v>
      </c>
      <c r="D1448" t="s">
        <v>16</v>
      </c>
      <c r="E1448" t="s">
        <v>328</v>
      </c>
      <c r="F1448" s="4"/>
      <c r="G1448">
        <v>1971</v>
      </c>
      <c r="H1448">
        <v>1</v>
      </c>
      <c r="I1448">
        <v>18</v>
      </c>
      <c r="J1448" t="s">
        <v>24</v>
      </c>
      <c r="K1448">
        <v>202.08</v>
      </c>
      <c r="L1448">
        <v>2</v>
      </c>
      <c r="M1448">
        <v>421.16</v>
      </c>
      <c r="N1448" t="s">
        <v>25</v>
      </c>
      <c r="O1448" t="s">
        <v>26</v>
      </c>
    </row>
    <row r="1449" spans="1:16" x14ac:dyDescent="0.25">
      <c r="A1449" t="s">
        <v>2115</v>
      </c>
      <c r="B1449" s="4">
        <v>45967</v>
      </c>
      <c r="C1449" s="2">
        <v>0.59583333333333333</v>
      </c>
      <c r="D1449" t="s">
        <v>16</v>
      </c>
      <c r="E1449" t="s">
        <v>397</v>
      </c>
      <c r="F1449" s="1"/>
      <c r="G1449">
        <v>1974</v>
      </c>
      <c r="H1449">
        <v>8</v>
      </c>
      <c r="I1449">
        <v>7</v>
      </c>
      <c r="J1449" t="s">
        <v>30</v>
      </c>
      <c r="K1449">
        <v>294.87</v>
      </c>
      <c r="L1449">
        <v>2</v>
      </c>
      <c r="M1449">
        <v>589.74</v>
      </c>
      <c r="N1449" t="s">
        <v>67</v>
      </c>
      <c r="O1449" t="s">
        <v>55</v>
      </c>
      <c r="P1449" t="s">
        <v>48</v>
      </c>
    </row>
    <row r="1450" spans="1:16" x14ac:dyDescent="0.25">
      <c r="A1450" t="s">
        <v>2116</v>
      </c>
      <c r="C1450" s="2">
        <v>0.54166666666666663</v>
      </c>
      <c r="D1450" t="s">
        <v>16</v>
      </c>
      <c r="E1450" t="s">
        <v>63</v>
      </c>
      <c r="F1450" s="1"/>
      <c r="G1450">
        <v>1975</v>
      </c>
      <c r="H1450">
        <v>7</v>
      </c>
      <c r="I1450">
        <v>10</v>
      </c>
      <c r="J1450" t="s">
        <v>45</v>
      </c>
      <c r="K1450">
        <v>85.31</v>
      </c>
      <c r="L1450">
        <v>3</v>
      </c>
      <c r="M1450">
        <v>255.93</v>
      </c>
      <c r="N1450" t="s">
        <v>64</v>
      </c>
      <c r="O1450" t="s">
        <v>47</v>
      </c>
      <c r="P1450" t="s">
        <v>27</v>
      </c>
    </row>
    <row r="1451" spans="1:16" x14ac:dyDescent="0.25">
      <c r="A1451" t="s">
        <v>2117</v>
      </c>
      <c r="B1451" s="4">
        <v>45803</v>
      </c>
      <c r="C1451" s="5">
        <v>0.45763888888888887</v>
      </c>
      <c r="D1451" t="s">
        <v>16</v>
      </c>
      <c r="E1451" t="s">
        <v>84</v>
      </c>
      <c r="F1451" s="1"/>
      <c r="G1451">
        <v>1985</v>
      </c>
      <c r="H1451">
        <v>4</v>
      </c>
      <c r="I1451">
        <v>17</v>
      </c>
      <c r="J1451" t="s">
        <v>199</v>
      </c>
      <c r="L1451">
        <v>2</v>
      </c>
      <c r="N1451" t="s">
        <v>19</v>
      </c>
      <c r="O1451" t="s">
        <v>55</v>
      </c>
      <c r="P1451" t="s">
        <v>56</v>
      </c>
    </row>
    <row r="1452" spans="1:16" x14ac:dyDescent="0.25">
      <c r="A1452" t="s">
        <v>2118</v>
      </c>
      <c r="B1452" s="4">
        <v>45972</v>
      </c>
      <c r="C1452" s="5">
        <v>0.6875</v>
      </c>
      <c r="D1452" t="s">
        <v>16</v>
      </c>
      <c r="E1452" t="s">
        <v>397</v>
      </c>
      <c r="F1452" s="4"/>
      <c r="G1452">
        <v>2009</v>
      </c>
      <c r="H1452">
        <v>11</v>
      </c>
      <c r="I1452">
        <v>8</v>
      </c>
      <c r="J1452" t="s">
        <v>85</v>
      </c>
      <c r="K1452">
        <v>134.63999999999999</v>
      </c>
      <c r="L1452">
        <v>3</v>
      </c>
      <c r="M1452">
        <v>403.92</v>
      </c>
      <c r="N1452" t="s">
        <v>67</v>
      </c>
      <c r="O1452" t="s">
        <v>20</v>
      </c>
    </row>
    <row r="1453" spans="1:16" x14ac:dyDescent="0.25">
      <c r="A1453" t="s">
        <v>2119</v>
      </c>
      <c r="B1453" s="4">
        <v>45693</v>
      </c>
      <c r="C1453" s="2">
        <v>0.43611111111111112</v>
      </c>
      <c r="D1453" t="s">
        <v>16</v>
      </c>
      <c r="E1453" t="s">
        <v>158</v>
      </c>
      <c r="F1453" s="4"/>
      <c r="G1453">
        <v>1975</v>
      </c>
      <c r="H1453">
        <v>6</v>
      </c>
      <c r="I1453">
        <v>14</v>
      </c>
      <c r="J1453" t="s">
        <v>24</v>
      </c>
      <c r="K1453">
        <v>274.85000000000002</v>
      </c>
      <c r="L1453">
        <v>1</v>
      </c>
      <c r="M1453">
        <v>274.85000000000002</v>
      </c>
      <c r="N1453" t="s">
        <v>41</v>
      </c>
      <c r="O1453" t="s">
        <v>55</v>
      </c>
      <c r="P1453" t="s">
        <v>48</v>
      </c>
    </row>
    <row r="1454" spans="1:16" x14ac:dyDescent="0.25">
      <c r="A1454" t="s">
        <v>2120</v>
      </c>
      <c r="B1454" s="4">
        <v>45767</v>
      </c>
      <c r="C1454" s="3">
        <v>0.44111111111111112</v>
      </c>
      <c r="D1454" t="s">
        <v>16</v>
      </c>
      <c r="E1454" t="s">
        <v>471</v>
      </c>
      <c r="F1454" s="4"/>
      <c r="G1454">
        <v>1991</v>
      </c>
      <c r="H1454">
        <v>7</v>
      </c>
      <c r="I1454">
        <v>6</v>
      </c>
      <c r="J1454" t="s">
        <v>116</v>
      </c>
      <c r="K1454">
        <v>121.28</v>
      </c>
      <c r="L1454">
        <v>1</v>
      </c>
      <c r="M1454">
        <v>121.28</v>
      </c>
      <c r="N1454" t="s">
        <v>64</v>
      </c>
      <c r="O1454" t="s">
        <v>26</v>
      </c>
      <c r="P1454" t="s">
        <v>33</v>
      </c>
    </row>
    <row r="1455" spans="1:16" x14ac:dyDescent="0.25">
      <c r="A1455" t="s">
        <v>2121</v>
      </c>
      <c r="B1455" s="4">
        <v>45825</v>
      </c>
      <c r="C1455" s="3">
        <v>0.68320601851851848</v>
      </c>
      <c r="D1455" t="s">
        <v>16</v>
      </c>
      <c r="E1455" t="s">
        <v>528</v>
      </c>
      <c r="F1455" s="4"/>
      <c r="G1455">
        <v>1986</v>
      </c>
      <c r="H1455">
        <v>11</v>
      </c>
      <c r="I1455">
        <v>8</v>
      </c>
      <c r="J1455" t="s">
        <v>116</v>
      </c>
      <c r="K1455">
        <v>223.92</v>
      </c>
      <c r="L1455">
        <v>2</v>
      </c>
      <c r="M1455">
        <v>447.84</v>
      </c>
      <c r="N1455" t="s">
        <v>64</v>
      </c>
      <c r="O1455" t="s">
        <v>37</v>
      </c>
      <c r="P1455" t="s">
        <v>48</v>
      </c>
    </row>
    <row r="1456" spans="1:16" x14ac:dyDescent="0.25">
      <c r="A1456" t="s">
        <v>2122</v>
      </c>
      <c r="B1456" t="s">
        <v>926</v>
      </c>
      <c r="C1456" s="2">
        <v>0.48194444444444445</v>
      </c>
      <c r="D1456" t="s">
        <v>16</v>
      </c>
      <c r="E1456" t="s">
        <v>44</v>
      </c>
      <c r="G1456">
        <v>2006</v>
      </c>
      <c r="H1456">
        <v>3</v>
      </c>
      <c r="I1456">
        <v>7</v>
      </c>
      <c r="J1456" t="s">
        <v>110</v>
      </c>
      <c r="K1456">
        <v>106.22</v>
      </c>
      <c r="L1456">
        <v>3</v>
      </c>
      <c r="M1456">
        <v>318.66000000000003</v>
      </c>
      <c r="N1456" t="s">
        <v>19</v>
      </c>
      <c r="O1456" t="s">
        <v>20</v>
      </c>
      <c r="P1456" t="s">
        <v>21</v>
      </c>
    </row>
    <row r="1457" spans="1:16" x14ac:dyDescent="0.25">
      <c r="A1457" t="s">
        <v>2123</v>
      </c>
      <c r="B1457" t="s">
        <v>1645</v>
      </c>
      <c r="C1457" s="5">
        <v>0.8930555555555556</v>
      </c>
      <c r="D1457" t="s">
        <v>16</v>
      </c>
      <c r="E1457" t="s">
        <v>1010</v>
      </c>
      <c r="F1457" s="4"/>
      <c r="G1457">
        <v>2002</v>
      </c>
      <c r="H1457">
        <v>12</v>
      </c>
      <c r="I1457">
        <v>1</v>
      </c>
      <c r="J1457" t="s">
        <v>145</v>
      </c>
      <c r="K1457">
        <v>184.9</v>
      </c>
      <c r="L1457">
        <v>2</v>
      </c>
      <c r="M1457" t="s">
        <v>2124</v>
      </c>
      <c r="O1457" t="s">
        <v>47</v>
      </c>
      <c r="P1457" t="s">
        <v>33</v>
      </c>
    </row>
    <row r="1458" spans="1:16" x14ac:dyDescent="0.25">
      <c r="A1458" t="s">
        <v>2125</v>
      </c>
      <c r="B1458" s="4">
        <v>45964</v>
      </c>
      <c r="C1458" s="5">
        <v>0.80486111111111114</v>
      </c>
      <c r="D1458" t="s">
        <v>16</v>
      </c>
      <c r="E1458" t="s">
        <v>1427</v>
      </c>
      <c r="G1458">
        <v>1981</v>
      </c>
      <c r="H1458">
        <v>6</v>
      </c>
      <c r="I1458">
        <v>2</v>
      </c>
      <c r="J1458" t="s">
        <v>116</v>
      </c>
      <c r="K1458" t="s">
        <v>2126</v>
      </c>
      <c r="L1458">
        <v>1</v>
      </c>
      <c r="M1458">
        <v>197.32</v>
      </c>
      <c r="N1458" t="s">
        <v>64</v>
      </c>
      <c r="O1458" t="s">
        <v>32</v>
      </c>
    </row>
    <row r="1459" spans="1:16" x14ac:dyDescent="0.25">
      <c r="A1459" t="s">
        <v>2127</v>
      </c>
      <c r="B1459" s="1">
        <v>45724</v>
      </c>
      <c r="C1459" s="3">
        <v>0.46083333333333332</v>
      </c>
      <c r="D1459" t="s">
        <v>16</v>
      </c>
      <c r="E1459" t="s">
        <v>66</v>
      </c>
      <c r="F1459" s="1"/>
      <c r="G1459">
        <v>1977</v>
      </c>
      <c r="H1459">
        <v>7</v>
      </c>
      <c r="I1459">
        <v>26</v>
      </c>
      <c r="J1459" t="s">
        <v>53</v>
      </c>
      <c r="K1459">
        <v>99.26</v>
      </c>
      <c r="L1459">
        <v>1</v>
      </c>
      <c r="M1459">
        <v>99.26</v>
      </c>
      <c r="N1459" t="s">
        <v>67</v>
      </c>
      <c r="O1459" t="s">
        <v>20</v>
      </c>
    </row>
    <row r="1460" spans="1:16" x14ac:dyDescent="0.25">
      <c r="A1460" t="s">
        <v>2128</v>
      </c>
      <c r="B1460" s="1">
        <v>45785</v>
      </c>
      <c r="C1460" s="5">
        <v>0.60069444444444442</v>
      </c>
      <c r="D1460" t="s">
        <v>16</v>
      </c>
      <c r="E1460" t="s">
        <v>191</v>
      </c>
      <c r="G1460">
        <v>1981</v>
      </c>
      <c r="H1460">
        <v>7</v>
      </c>
      <c r="I1460">
        <v>1</v>
      </c>
      <c r="J1460" t="s">
        <v>77</v>
      </c>
      <c r="K1460">
        <v>203.05</v>
      </c>
      <c r="L1460">
        <v>1</v>
      </c>
      <c r="M1460">
        <v>203.05</v>
      </c>
      <c r="N1460" t="s">
        <v>54</v>
      </c>
      <c r="O1460" t="s">
        <v>89</v>
      </c>
      <c r="P1460" t="s">
        <v>21</v>
      </c>
    </row>
    <row r="1461" spans="1:16" x14ac:dyDescent="0.25">
      <c r="A1461" t="s">
        <v>2129</v>
      </c>
      <c r="B1461" s="4">
        <v>45765</v>
      </c>
      <c r="C1461" s="2">
        <v>0.67638888888888893</v>
      </c>
      <c r="D1461" t="s">
        <v>16</v>
      </c>
      <c r="E1461" t="s">
        <v>562</v>
      </c>
      <c r="F1461" s="4"/>
      <c r="G1461">
        <v>1994</v>
      </c>
      <c r="H1461">
        <v>2</v>
      </c>
      <c r="I1461">
        <v>19</v>
      </c>
      <c r="J1461" t="s">
        <v>202</v>
      </c>
      <c r="K1461">
        <v>-228.98</v>
      </c>
      <c r="L1461">
        <v>1</v>
      </c>
      <c r="M1461">
        <v>-228.98</v>
      </c>
      <c r="N1461" t="s">
        <v>41</v>
      </c>
      <c r="O1461" t="s">
        <v>26</v>
      </c>
      <c r="P1461" t="s">
        <v>33</v>
      </c>
    </row>
    <row r="1462" spans="1:16" x14ac:dyDescent="0.25">
      <c r="A1462" t="s">
        <v>2130</v>
      </c>
      <c r="B1462" s="1">
        <v>45757</v>
      </c>
      <c r="C1462" s="2">
        <v>0.66180555555555554</v>
      </c>
      <c r="D1462" t="s">
        <v>16</v>
      </c>
      <c r="E1462" t="s">
        <v>2131</v>
      </c>
      <c r="F1462" s="4"/>
      <c r="G1462">
        <v>1981</v>
      </c>
      <c r="H1462">
        <v>6</v>
      </c>
      <c r="I1462">
        <v>13</v>
      </c>
      <c r="J1462" t="s">
        <v>24</v>
      </c>
      <c r="K1462">
        <v>229.07</v>
      </c>
      <c r="L1462">
        <v>2</v>
      </c>
      <c r="M1462">
        <v>458.14</v>
      </c>
      <c r="N1462" t="s">
        <v>25</v>
      </c>
      <c r="O1462" t="s">
        <v>26</v>
      </c>
      <c r="P1462" t="s">
        <v>33</v>
      </c>
    </row>
    <row r="1463" spans="1:16" x14ac:dyDescent="0.25">
      <c r="A1463" t="s">
        <v>2132</v>
      </c>
      <c r="B1463" t="s">
        <v>1972</v>
      </c>
      <c r="C1463" s="3">
        <v>0.68863425925925925</v>
      </c>
      <c r="D1463" t="s">
        <v>16</v>
      </c>
      <c r="E1463" t="s">
        <v>198</v>
      </c>
      <c r="F1463" s="1"/>
      <c r="G1463">
        <v>1978</v>
      </c>
      <c r="H1463">
        <v>5</v>
      </c>
      <c r="I1463">
        <v>28</v>
      </c>
      <c r="J1463" t="s">
        <v>129</v>
      </c>
      <c r="K1463">
        <v>170.27</v>
      </c>
      <c r="L1463">
        <v>1</v>
      </c>
      <c r="M1463">
        <v>170.27</v>
      </c>
      <c r="N1463" t="s">
        <v>25</v>
      </c>
      <c r="O1463" t="s">
        <v>89</v>
      </c>
      <c r="P1463" t="s">
        <v>33</v>
      </c>
    </row>
    <row r="1464" spans="1:16" x14ac:dyDescent="0.25">
      <c r="A1464" t="s">
        <v>2133</v>
      </c>
      <c r="B1464" s="4">
        <v>45903</v>
      </c>
      <c r="C1464" s="3">
        <v>0.70390046296296294</v>
      </c>
      <c r="D1464" t="s">
        <v>16</v>
      </c>
      <c r="E1464" t="s">
        <v>107</v>
      </c>
      <c r="F1464" s="1"/>
      <c r="G1464">
        <v>1994</v>
      </c>
      <c r="H1464">
        <v>7</v>
      </c>
      <c r="I1464">
        <v>16</v>
      </c>
      <c r="J1464" t="s">
        <v>77</v>
      </c>
      <c r="K1464">
        <v>36.159999999999997</v>
      </c>
      <c r="L1464">
        <v>3</v>
      </c>
      <c r="M1464">
        <v>108.48</v>
      </c>
      <c r="N1464" t="s">
        <v>54</v>
      </c>
      <c r="O1464" t="s">
        <v>89</v>
      </c>
      <c r="P1464" t="s">
        <v>105</v>
      </c>
    </row>
    <row r="1465" spans="1:16" x14ac:dyDescent="0.25">
      <c r="A1465" t="s">
        <v>2134</v>
      </c>
      <c r="B1465" s="1">
        <v>45968</v>
      </c>
      <c r="C1465" s="5">
        <v>0.60347222222222219</v>
      </c>
      <c r="D1465" t="s">
        <v>16</v>
      </c>
      <c r="E1465" t="s">
        <v>88</v>
      </c>
      <c r="G1465">
        <v>1987</v>
      </c>
      <c r="H1465">
        <v>6</v>
      </c>
      <c r="I1465">
        <v>24</v>
      </c>
      <c r="J1465" t="s">
        <v>243</v>
      </c>
      <c r="K1465">
        <v>157.63</v>
      </c>
      <c r="L1465">
        <v>1</v>
      </c>
      <c r="M1465">
        <v>157.63</v>
      </c>
      <c r="N1465" t="s">
        <v>31</v>
      </c>
      <c r="O1465" t="s">
        <v>55</v>
      </c>
      <c r="P1465" t="s">
        <v>33</v>
      </c>
    </row>
    <row r="1466" spans="1:16" x14ac:dyDescent="0.25">
      <c r="A1466" t="s">
        <v>2135</v>
      </c>
      <c r="B1466" s="4">
        <v>45846</v>
      </c>
      <c r="C1466" s="2">
        <v>0.55555555555555558</v>
      </c>
      <c r="D1466" t="s">
        <v>16</v>
      </c>
      <c r="E1466" t="s">
        <v>360</v>
      </c>
      <c r="J1466" t="s">
        <v>259</v>
      </c>
      <c r="K1466">
        <v>86.33</v>
      </c>
      <c r="L1466">
        <v>2</v>
      </c>
      <c r="M1466">
        <v>172.66</v>
      </c>
      <c r="O1466" t="s">
        <v>89</v>
      </c>
      <c r="P1466" t="s">
        <v>74</v>
      </c>
    </row>
    <row r="1467" spans="1:16" x14ac:dyDescent="0.25">
      <c r="A1467" t="s">
        <v>2136</v>
      </c>
      <c r="B1467" t="s">
        <v>2137</v>
      </c>
      <c r="C1467" s="2">
        <v>0.9375</v>
      </c>
      <c r="D1467" t="s">
        <v>16</v>
      </c>
      <c r="E1467" t="s">
        <v>194</v>
      </c>
      <c r="F1467" s="4"/>
      <c r="G1467">
        <v>2003</v>
      </c>
      <c r="H1467">
        <v>7</v>
      </c>
      <c r="I1467">
        <v>3</v>
      </c>
      <c r="J1467" t="s">
        <v>213</v>
      </c>
      <c r="K1467" t="s">
        <v>2138</v>
      </c>
      <c r="L1467">
        <v>2</v>
      </c>
      <c r="M1467">
        <v>191.94</v>
      </c>
      <c r="N1467" t="s">
        <v>31</v>
      </c>
      <c r="O1467" t="s">
        <v>89</v>
      </c>
      <c r="P1467" t="s">
        <v>105</v>
      </c>
    </row>
    <row r="1468" spans="1:16" x14ac:dyDescent="0.25">
      <c r="A1468" t="s">
        <v>2139</v>
      </c>
      <c r="B1468" t="s">
        <v>739</v>
      </c>
      <c r="C1468" s="3">
        <v>0.66101851851851856</v>
      </c>
      <c r="D1468" t="s">
        <v>16</v>
      </c>
      <c r="E1468" t="s">
        <v>50</v>
      </c>
      <c r="G1468">
        <v>1984</v>
      </c>
      <c r="H1468">
        <v>7</v>
      </c>
      <c r="I1468">
        <v>10</v>
      </c>
      <c r="J1468" t="s">
        <v>141</v>
      </c>
      <c r="K1468">
        <v>114.19</v>
      </c>
      <c r="L1468">
        <v>1</v>
      </c>
      <c r="M1468">
        <v>114.19</v>
      </c>
      <c r="N1468" t="s">
        <v>25</v>
      </c>
      <c r="O1468" t="s">
        <v>37</v>
      </c>
    </row>
    <row r="1469" spans="1:16" x14ac:dyDescent="0.25">
      <c r="A1469" t="s">
        <v>2140</v>
      </c>
      <c r="B1469" s="4">
        <v>45621</v>
      </c>
      <c r="C1469" s="5">
        <v>0.95902777777777781</v>
      </c>
      <c r="D1469" t="s">
        <v>16</v>
      </c>
      <c r="E1469" t="s">
        <v>2141</v>
      </c>
      <c r="F1469" s="4"/>
      <c r="G1469">
        <v>1995</v>
      </c>
      <c r="H1469">
        <v>9</v>
      </c>
      <c r="I1469">
        <v>14</v>
      </c>
      <c r="J1469" t="s">
        <v>30</v>
      </c>
      <c r="K1469" t="s">
        <v>2142</v>
      </c>
      <c r="L1469">
        <v>2</v>
      </c>
      <c r="M1469">
        <v>457.27</v>
      </c>
      <c r="N1469" t="s">
        <v>25</v>
      </c>
      <c r="O1469" t="s">
        <v>37</v>
      </c>
    </row>
    <row r="1470" spans="1:16" x14ac:dyDescent="0.25">
      <c r="A1470" t="s">
        <v>2143</v>
      </c>
      <c r="B1470" s="4">
        <v>45833</v>
      </c>
      <c r="C1470" s="3">
        <v>0.86887731481481478</v>
      </c>
      <c r="D1470" t="s">
        <v>16</v>
      </c>
      <c r="E1470" t="s">
        <v>387</v>
      </c>
      <c r="F1470" s="4"/>
      <c r="G1470">
        <v>1985</v>
      </c>
      <c r="H1470">
        <v>4</v>
      </c>
      <c r="I1470">
        <v>8</v>
      </c>
      <c r="J1470" t="s">
        <v>199</v>
      </c>
      <c r="K1470">
        <v>170.43</v>
      </c>
      <c r="L1470">
        <v>1</v>
      </c>
      <c r="M1470">
        <v>170.43</v>
      </c>
      <c r="N1470" t="s">
        <v>64</v>
      </c>
      <c r="O1470" t="s">
        <v>55</v>
      </c>
      <c r="P1470" t="s">
        <v>74</v>
      </c>
    </row>
    <row r="1471" spans="1:16" x14ac:dyDescent="0.25">
      <c r="A1471" t="s">
        <v>2144</v>
      </c>
      <c r="B1471" s="4">
        <v>45761</v>
      </c>
      <c r="C1471" s="5">
        <v>0.48194444444444445</v>
      </c>
      <c r="D1471" t="s">
        <v>16</v>
      </c>
      <c r="E1471" t="s">
        <v>1427</v>
      </c>
      <c r="G1471">
        <v>2010</v>
      </c>
      <c r="H1471">
        <v>7</v>
      </c>
      <c r="I1471">
        <v>12</v>
      </c>
      <c r="J1471" t="s">
        <v>141</v>
      </c>
      <c r="K1471">
        <v>133.77000000000001</v>
      </c>
      <c r="L1471">
        <v>2</v>
      </c>
      <c r="M1471">
        <v>267.54000000000002</v>
      </c>
      <c r="N1471" t="s">
        <v>25</v>
      </c>
      <c r="O1471" t="s">
        <v>89</v>
      </c>
      <c r="P1471" t="s">
        <v>105</v>
      </c>
    </row>
    <row r="1472" spans="1:16" x14ac:dyDescent="0.25">
      <c r="A1472" t="s">
        <v>2145</v>
      </c>
      <c r="B1472" s="4">
        <v>45655</v>
      </c>
      <c r="C1472" s="2">
        <v>0.89722222222222225</v>
      </c>
      <c r="D1472" t="s">
        <v>16</v>
      </c>
      <c r="E1472" t="s">
        <v>420</v>
      </c>
      <c r="F1472" s="1"/>
      <c r="G1472">
        <v>1983</v>
      </c>
      <c r="H1472">
        <v>6</v>
      </c>
      <c r="I1472">
        <v>27</v>
      </c>
      <c r="J1472" t="s">
        <v>93</v>
      </c>
      <c r="K1472">
        <v>223.5</v>
      </c>
      <c r="L1472">
        <v>1</v>
      </c>
      <c r="M1472">
        <v>223.5</v>
      </c>
      <c r="N1472" t="s">
        <v>25</v>
      </c>
      <c r="O1472" t="s">
        <v>61</v>
      </c>
      <c r="P1472" t="s">
        <v>56</v>
      </c>
    </row>
    <row r="1473" spans="1:16" x14ac:dyDescent="0.25">
      <c r="A1473" t="s">
        <v>2146</v>
      </c>
      <c r="B1473" s="1">
        <v>45654</v>
      </c>
      <c r="C1473" s="2">
        <v>0.91805555555555551</v>
      </c>
      <c r="D1473" t="s">
        <v>16</v>
      </c>
      <c r="E1473" t="s">
        <v>118</v>
      </c>
      <c r="F1473" s="4"/>
      <c r="G1473">
        <v>1990</v>
      </c>
      <c r="H1473">
        <v>1</v>
      </c>
      <c r="I1473">
        <v>12</v>
      </c>
      <c r="J1473" t="s">
        <v>85</v>
      </c>
      <c r="K1473">
        <v>308.95</v>
      </c>
      <c r="L1473">
        <v>2</v>
      </c>
      <c r="M1473">
        <v>617.9</v>
      </c>
      <c r="N1473" t="s">
        <v>64</v>
      </c>
      <c r="O1473" t="s">
        <v>61</v>
      </c>
      <c r="P1473" t="s">
        <v>33</v>
      </c>
    </row>
    <row r="1474" spans="1:16" x14ac:dyDescent="0.25">
      <c r="A1474" t="s">
        <v>2147</v>
      </c>
      <c r="B1474" s="1">
        <v>45944</v>
      </c>
      <c r="C1474" s="5">
        <v>0.57638888888888884</v>
      </c>
      <c r="D1474" t="s">
        <v>16</v>
      </c>
      <c r="E1474" t="s">
        <v>324</v>
      </c>
      <c r="G1474">
        <v>1984</v>
      </c>
      <c r="H1474">
        <v>10</v>
      </c>
      <c r="I1474">
        <v>26</v>
      </c>
      <c r="J1474" t="s">
        <v>110</v>
      </c>
      <c r="K1474">
        <v>123.64</v>
      </c>
      <c r="L1474">
        <v>1</v>
      </c>
      <c r="M1474">
        <v>123.64</v>
      </c>
      <c r="N1474" t="s">
        <v>67</v>
      </c>
      <c r="O1474" t="s">
        <v>55</v>
      </c>
      <c r="P1474" t="s">
        <v>56</v>
      </c>
    </row>
    <row r="1475" spans="1:16" x14ac:dyDescent="0.25">
      <c r="A1475" t="s">
        <v>2148</v>
      </c>
      <c r="B1475" s="4">
        <v>45967</v>
      </c>
      <c r="C1475" s="3">
        <v>0.95989583333333328</v>
      </c>
      <c r="D1475" t="s">
        <v>16</v>
      </c>
      <c r="E1475" t="s">
        <v>109</v>
      </c>
      <c r="J1475" t="s">
        <v>129</v>
      </c>
      <c r="K1475">
        <v>198.51</v>
      </c>
      <c r="L1475">
        <v>3</v>
      </c>
      <c r="M1475">
        <v>595.53</v>
      </c>
      <c r="N1475" t="s">
        <v>31</v>
      </c>
      <c r="O1475" t="s">
        <v>32</v>
      </c>
    </row>
    <row r="1476" spans="1:16" x14ac:dyDescent="0.25">
      <c r="A1476" t="s">
        <v>2149</v>
      </c>
      <c r="B1476" s="4">
        <v>45896</v>
      </c>
      <c r="C1476" s="2">
        <v>0.80208333333333337</v>
      </c>
      <c r="D1476" t="s">
        <v>16</v>
      </c>
      <c r="E1476" t="s">
        <v>330</v>
      </c>
      <c r="F1476" s="4"/>
      <c r="G1476">
        <v>1992</v>
      </c>
      <c r="H1476">
        <v>2</v>
      </c>
      <c r="I1476">
        <v>18</v>
      </c>
      <c r="J1476" t="s">
        <v>213</v>
      </c>
      <c r="K1476">
        <v>139.76</v>
      </c>
      <c r="L1476">
        <v>1</v>
      </c>
      <c r="M1476">
        <v>139.76</v>
      </c>
      <c r="N1476" t="s">
        <v>54</v>
      </c>
      <c r="O1476" t="s">
        <v>26</v>
      </c>
    </row>
    <row r="1477" spans="1:16" x14ac:dyDescent="0.25">
      <c r="A1477" t="s">
        <v>2150</v>
      </c>
      <c r="B1477" s="1">
        <v>45925</v>
      </c>
      <c r="C1477" s="2">
        <v>0.8618055555555556</v>
      </c>
      <c r="D1477" t="s">
        <v>16</v>
      </c>
      <c r="E1477" t="s">
        <v>548</v>
      </c>
      <c r="F1477" s="1"/>
      <c r="G1477">
        <v>1971</v>
      </c>
      <c r="H1477">
        <v>8</v>
      </c>
      <c r="I1477">
        <v>25</v>
      </c>
      <c r="J1477" t="s">
        <v>202</v>
      </c>
      <c r="K1477">
        <v>72.14</v>
      </c>
      <c r="L1477">
        <v>3</v>
      </c>
      <c r="M1477">
        <v>216.42</v>
      </c>
      <c r="N1477" t="s">
        <v>54</v>
      </c>
      <c r="O1477" t="s">
        <v>37</v>
      </c>
      <c r="P1477" t="s">
        <v>105</v>
      </c>
    </row>
    <row r="1478" spans="1:16" x14ac:dyDescent="0.25">
      <c r="A1478" t="s">
        <v>2151</v>
      </c>
      <c r="B1478" s="4">
        <v>45865</v>
      </c>
      <c r="C1478" s="2">
        <v>0.42777777777777776</v>
      </c>
      <c r="D1478" t="s">
        <v>16</v>
      </c>
      <c r="E1478" t="s">
        <v>640</v>
      </c>
      <c r="F1478" s="4"/>
      <c r="G1478">
        <v>1971</v>
      </c>
      <c r="H1478">
        <v>11</v>
      </c>
      <c r="I1478">
        <v>13</v>
      </c>
      <c r="J1478" t="s">
        <v>77</v>
      </c>
      <c r="K1478">
        <v>239.39</v>
      </c>
      <c r="L1478">
        <v>0</v>
      </c>
      <c r="M1478">
        <v>0</v>
      </c>
      <c r="O1478" t="s">
        <v>26</v>
      </c>
    </row>
    <row r="1479" spans="1:16" x14ac:dyDescent="0.25">
      <c r="A1479" t="s">
        <v>2152</v>
      </c>
      <c r="B1479" s="4">
        <v>45951</v>
      </c>
      <c r="C1479" s="5">
        <v>0.46111111111111114</v>
      </c>
      <c r="D1479" t="s">
        <v>16</v>
      </c>
      <c r="E1479" t="s">
        <v>84</v>
      </c>
      <c r="F1479" s="4"/>
      <c r="G1479">
        <v>1974</v>
      </c>
      <c r="H1479">
        <v>12</v>
      </c>
      <c r="I1479">
        <v>13</v>
      </c>
      <c r="J1479" t="s">
        <v>202</v>
      </c>
      <c r="K1479">
        <v>125.19</v>
      </c>
      <c r="L1479">
        <v>2</v>
      </c>
      <c r="M1479">
        <v>250.38</v>
      </c>
      <c r="N1479" t="s">
        <v>64</v>
      </c>
      <c r="O1479" t="s">
        <v>37</v>
      </c>
      <c r="P1479" t="s">
        <v>105</v>
      </c>
    </row>
    <row r="1480" spans="1:16" x14ac:dyDescent="0.25">
      <c r="A1480" t="s">
        <v>2153</v>
      </c>
      <c r="B1480" s="4">
        <v>45895</v>
      </c>
      <c r="C1480" s="5">
        <v>0.44513888888888886</v>
      </c>
      <c r="D1480" t="s">
        <v>16</v>
      </c>
      <c r="E1480" t="s">
        <v>131</v>
      </c>
      <c r="F1480" s="1"/>
      <c r="G1480">
        <v>1984</v>
      </c>
      <c r="H1480">
        <v>3</v>
      </c>
      <c r="I1480">
        <v>3</v>
      </c>
      <c r="J1480" t="s">
        <v>141</v>
      </c>
      <c r="K1480">
        <v>112.17</v>
      </c>
      <c r="L1480">
        <v>1</v>
      </c>
      <c r="M1480">
        <v>112.17</v>
      </c>
      <c r="N1480" t="s">
        <v>67</v>
      </c>
      <c r="O1480" t="s">
        <v>26</v>
      </c>
      <c r="P1480" t="s">
        <v>74</v>
      </c>
    </row>
    <row r="1481" spans="1:16" x14ac:dyDescent="0.25">
      <c r="A1481" t="s">
        <v>2154</v>
      </c>
      <c r="B1481" s="4">
        <v>45868</v>
      </c>
      <c r="C1481" s="2">
        <v>0.97152777777777777</v>
      </c>
      <c r="D1481" t="s">
        <v>16</v>
      </c>
      <c r="E1481" t="s">
        <v>2155</v>
      </c>
      <c r="F1481" s="4"/>
      <c r="G1481">
        <v>1973</v>
      </c>
      <c r="H1481">
        <v>7</v>
      </c>
      <c r="I1481">
        <v>2</v>
      </c>
      <c r="J1481" t="s">
        <v>164</v>
      </c>
      <c r="K1481">
        <v>267.23</v>
      </c>
      <c r="L1481">
        <v>2</v>
      </c>
      <c r="M1481">
        <v>534.46</v>
      </c>
      <c r="N1481" t="s">
        <v>54</v>
      </c>
      <c r="O1481" t="s">
        <v>26</v>
      </c>
      <c r="P1481" t="s">
        <v>21</v>
      </c>
    </row>
    <row r="1482" spans="1:16" x14ac:dyDescent="0.25">
      <c r="A1482" t="s">
        <v>2156</v>
      </c>
      <c r="B1482" s="1">
        <v>45850</v>
      </c>
      <c r="C1482" s="3">
        <v>0.93422453703703701</v>
      </c>
      <c r="D1482" t="s">
        <v>16</v>
      </c>
      <c r="E1482" t="s">
        <v>144</v>
      </c>
      <c r="F1482" s="4"/>
      <c r="G1482">
        <v>1993</v>
      </c>
      <c r="H1482">
        <v>8</v>
      </c>
      <c r="I1482">
        <v>25</v>
      </c>
      <c r="J1482" t="s">
        <v>53</v>
      </c>
      <c r="K1482">
        <v>109.28</v>
      </c>
      <c r="L1482">
        <v>3</v>
      </c>
      <c r="M1482">
        <v>327.84</v>
      </c>
      <c r="N1482" t="s">
        <v>54</v>
      </c>
      <c r="O1482" t="s">
        <v>47</v>
      </c>
    </row>
    <row r="1483" spans="1:16" x14ac:dyDescent="0.25">
      <c r="A1483" t="s">
        <v>2157</v>
      </c>
      <c r="B1483" t="s">
        <v>2158</v>
      </c>
      <c r="C1483" s="5">
        <v>0.63194444444444442</v>
      </c>
      <c r="D1483" t="s">
        <v>16</v>
      </c>
      <c r="E1483" t="s">
        <v>140</v>
      </c>
      <c r="J1483" t="s">
        <v>77</v>
      </c>
      <c r="K1483" t="s">
        <v>2159</v>
      </c>
      <c r="L1483">
        <v>1</v>
      </c>
      <c r="M1483">
        <v>46.89</v>
      </c>
      <c r="O1483" t="s">
        <v>32</v>
      </c>
      <c r="P1483" t="s">
        <v>56</v>
      </c>
    </row>
    <row r="1484" spans="1:16" x14ac:dyDescent="0.25">
      <c r="A1484" t="s">
        <v>2160</v>
      </c>
      <c r="B1484" s="4">
        <v>45751</v>
      </c>
      <c r="C1484" s="2">
        <v>0.94791666666666663</v>
      </c>
      <c r="D1484" t="s">
        <v>16</v>
      </c>
      <c r="E1484" t="s">
        <v>232</v>
      </c>
      <c r="F1484" s="4"/>
      <c r="G1484">
        <v>1997</v>
      </c>
      <c r="H1484">
        <v>4</v>
      </c>
      <c r="I1484">
        <v>17</v>
      </c>
      <c r="J1484" t="s">
        <v>24</v>
      </c>
      <c r="K1484">
        <v>209.21</v>
      </c>
      <c r="L1484">
        <v>1</v>
      </c>
      <c r="M1484">
        <v>209.21</v>
      </c>
      <c r="N1484" t="s">
        <v>54</v>
      </c>
      <c r="O1484" t="s">
        <v>89</v>
      </c>
    </row>
    <row r="1485" spans="1:16" x14ac:dyDescent="0.25">
      <c r="A1485" t="s">
        <v>2161</v>
      </c>
      <c r="B1485" s="4">
        <v>45943</v>
      </c>
      <c r="C1485" s="2">
        <v>0.78888888888888886</v>
      </c>
      <c r="D1485" t="s">
        <v>16</v>
      </c>
      <c r="E1485" t="s">
        <v>131</v>
      </c>
      <c r="J1485" t="s">
        <v>141</v>
      </c>
      <c r="K1485">
        <v>150.13</v>
      </c>
      <c r="L1485">
        <v>1</v>
      </c>
      <c r="M1485">
        <v>150.13</v>
      </c>
      <c r="N1485" t="s">
        <v>31</v>
      </c>
      <c r="O1485" t="s">
        <v>26</v>
      </c>
      <c r="P1485" t="s">
        <v>105</v>
      </c>
    </row>
    <row r="1486" spans="1:16" x14ac:dyDescent="0.25">
      <c r="A1486" t="s">
        <v>2162</v>
      </c>
      <c r="B1486" s="4">
        <v>45906</v>
      </c>
      <c r="C1486" s="3">
        <v>0.98813657407407407</v>
      </c>
      <c r="D1486" t="s">
        <v>16</v>
      </c>
      <c r="E1486" t="s">
        <v>204</v>
      </c>
      <c r="F1486" s="4"/>
      <c r="G1486">
        <v>1978</v>
      </c>
      <c r="H1486">
        <v>2</v>
      </c>
      <c r="I1486">
        <v>11</v>
      </c>
      <c r="J1486" t="s">
        <v>164</v>
      </c>
      <c r="K1486">
        <v>235.62</v>
      </c>
      <c r="L1486">
        <v>2</v>
      </c>
      <c r="M1486">
        <v>471.24</v>
      </c>
      <c r="N1486" t="s">
        <v>67</v>
      </c>
      <c r="O1486" t="s">
        <v>32</v>
      </c>
      <c r="P1486" t="s">
        <v>48</v>
      </c>
    </row>
    <row r="1487" spans="1:16" x14ac:dyDescent="0.25">
      <c r="A1487" t="s">
        <v>2163</v>
      </c>
      <c r="B1487" s="1">
        <v>45835</v>
      </c>
      <c r="C1487" s="3">
        <v>0.56978009259259255</v>
      </c>
      <c r="D1487" t="s">
        <v>16</v>
      </c>
      <c r="E1487" t="s">
        <v>764</v>
      </c>
      <c r="F1487" s="4"/>
      <c r="G1487">
        <v>1994</v>
      </c>
      <c r="H1487">
        <v>9</v>
      </c>
      <c r="I1487">
        <v>19</v>
      </c>
      <c r="J1487" t="s">
        <v>36</v>
      </c>
      <c r="K1487">
        <v>47.45</v>
      </c>
      <c r="L1487">
        <v>1</v>
      </c>
      <c r="M1487">
        <v>47.45</v>
      </c>
      <c r="N1487" t="s">
        <v>54</v>
      </c>
      <c r="O1487" t="s">
        <v>26</v>
      </c>
      <c r="P1487" t="s">
        <v>48</v>
      </c>
    </row>
    <row r="1488" spans="1:16" x14ac:dyDescent="0.25">
      <c r="A1488" t="s">
        <v>2164</v>
      </c>
      <c r="B1488" s="1">
        <v>45963</v>
      </c>
      <c r="C1488" s="2">
        <v>0.90347222222222223</v>
      </c>
      <c r="D1488" t="s">
        <v>16</v>
      </c>
      <c r="E1488" t="s">
        <v>208</v>
      </c>
      <c r="F1488" s="4"/>
      <c r="G1488">
        <v>1976</v>
      </c>
      <c r="H1488">
        <v>10</v>
      </c>
      <c r="I1488">
        <v>20</v>
      </c>
      <c r="J1488" t="s">
        <v>24</v>
      </c>
      <c r="K1488">
        <v>257.3</v>
      </c>
      <c r="L1488">
        <v>3</v>
      </c>
      <c r="M1488">
        <v>771.9</v>
      </c>
      <c r="N1488" t="s">
        <v>67</v>
      </c>
      <c r="O1488" t="s">
        <v>47</v>
      </c>
    </row>
    <row r="1489" spans="1:16" x14ac:dyDescent="0.25">
      <c r="A1489" t="s">
        <v>2165</v>
      </c>
      <c r="B1489" s="4">
        <v>45766</v>
      </c>
      <c r="C1489" s="2">
        <v>0.94652777777777775</v>
      </c>
      <c r="D1489" t="s">
        <v>16</v>
      </c>
      <c r="E1489" t="s">
        <v>346</v>
      </c>
      <c r="F1489" s="4"/>
      <c r="G1489">
        <v>2002</v>
      </c>
      <c r="H1489">
        <v>2</v>
      </c>
      <c r="I1489">
        <v>11</v>
      </c>
      <c r="J1489" t="s">
        <v>199</v>
      </c>
      <c r="K1489">
        <v>249.33</v>
      </c>
      <c r="L1489">
        <v>2</v>
      </c>
      <c r="M1489">
        <v>498.66</v>
      </c>
      <c r="N1489" t="s">
        <v>67</v>
      </c>
      <c r="O1489" t="s">
        <v>32</v>
      </c>
      <c r="P1489" t="s">
        <v>74</v>
      </c>
    </row>
    <row r="1490" spans="1:16" x14ac:dyDescent="0.25">
      <c r="A1490" t="s">
        <v>2166</v>
      </c>
      <c r="B1490" t="s">
        <v>2158</v>
      </c>
      <c r="C1490" s="5">
        <v>0.73541666666666672</v>
      </c>
      <c r="D1490" t="s">
        <v>16</v>
      </c>
      <c r="E1490" t="s">
        <v>166</v>
      </c>
      <c r="G1490">
        <v>1986</v>
      </c>
      <c r="H1490">
        <v>2</v>
      </c>
      <c r="I1490">
        <v>23</v>
      </c>
      <c r="J1490" t="s">
        <v>18</v>
      </c>
      <c r="K1490">
        <v>72.819999999999993</v>
      </c>
      <c r="L1490">
        <v>2</v>
      </c>
      <c r="M1490" t="s">
        <v>2167</v>
      </c>
      <c r="N1490" t="s">
        <v>41</v>
      </c>
      <c r="O1490" t="s">
        <v>32</v>
      </c>
      <c r="P1490" t="s">
        <v>21</v>
      </c>
    </row>
    <row r="1491" spans="1:16" x14ac:dyDescent="0.25">
      <c r="A1491" t="s">
        <v>2168</v>
      </c>
      <c r="B1491" s="4">
        <v>45832</v>
      </c>
      <c r="C1491" s="3">
        <v>0.76344907407407403</v>
      </c>
      <c r="D1491" t="s">
        <v>16</v>
      </c>
      <c r="E1491" t="s">
        <v>377</v>
      </c>
      <c r="F1491" s="1"/>
      <c r="G1491">
        <v>1983</v>
      </c>
      <c r="H1491">
        <v>4</v>
      </c>
      <c r="I1491">
        <v>4</v>
      </c>
      <c r="J1491" t="s">
        <v>53</v>
      </c>
      <c r="K1491">
        <v>-125.23</v>
      </c>
      <c r="L1491">
        <v>2</v>
      </c>
      <c r="M1491">
        <v>-250.46</v>
      </c>
      <c r="N1491" t="s">
        <v>31</v>
      </c>
      <c r="O1491" t="s">
        <v>32</v>
      </c>
      <c r="P1491" t="s">
        <v>27</v>
      </c>
    </row>
    <row r="1492" spans="1:16" x14ac:dyDescent="0.25">
      <c r="A1492" t="s">
        <v>2169</v>
      </c>
      <c r="B1492" t="s">
        <v>2170</v>
      </c>
      <c r="C1492" s="5">
        <v>0.78541666666666665</v>
      </c>
      <c r="D1492" t="s">
        <v>16</v>
      </c>
      <c r="E1492" t="s">
        <v>107</v>
      </c>
      <c r="G1492">
        <v>1974</v>
      </c>
      <c r="H1492">
        <v>8</v>
      </c>
      <c r="I1492">
        <v>4</v>
      </c>
      <c r="J1492" t="s">
        <v>110</v>
      </c>
      <c r="K1492" t="s">
        <v>2171</v>
      </c>
      <c r="L1492">
        <v>1</v>
      </c>
      <c r="M1492">
        <v>122.12</v>
      </c>
      <c r="N1492" t="s">
        <v>25</v>
      </c>
      <c r="O1492" t="s">
        <v>32</v>
      </c>
    </row>
    <row r="1493" spans="1:16" x14ac:dyDescent="0.25">
      <c r="A1493" t="s">
        <v>2172</v>
      </c>
      <c r="B1493" t="s">
        <v>2173</v>
      </c>
      <c r="C1493" s="2">
        <v>0.6069444444444444</v>
      </c>
      <c r="D1493" t="s">
        <v>16</v>
      </c>
      <c r="E1493" t="s">
        <v>528</v>
      </c>
      <c r="G1493">
        <v>1977</v>
      </c>
      <c r="H1493">
        <v>3</v>
      </c>
      <c r="I1493">
        <v>15</v>
      </c>
      <c r="J1493" t="s">
        <v>45</v>
      </c>
      <c r="K1493">
        <v>316.83999999999997</v>
      </c>
      <c r="L1493">
        <v>3</v>
      </c>
      <c r="M1493">
        <v>950.52</v>
      </c>
      <c r="N1493" t="s">
        <v>54</v>
      </c>
      <c r="O1493" t="s">
        <v>47</v>
      </c>
      <c r="P1493" t="s">
        <v>56</v>
      </c>
    </row>
    <row r="1494" spans="1:16" x14ac:dyDescent="0.25">
      <c r="A1494" t="s">
        <v>2174</v>
      </c>
      <c r="B1494" t="s">
        <v>2175</v>
      </c>
      <c r="C1494" s="3">
        <v>0.69783564814814814</v>
      </c>
      <c r="D1494" t="s">
        <v>16</v>
      </c>
      <c r="E1494" t="s">
        <v>125</v>
      </c>
      <c r="F1494" s="1"/>
      <c r="G1494">
        <v>1976</v>
      </c>
      <c r="H1494">
        <v>11</v>
      </c>
      <c r="I1494">
        <v>25</v>
      </c>
      <c r="J1494" t="s">
        <v>18</v>
      </c>
      <c r="K1494">
        <v>94.73</v>
      </c>
      <c r="L1494">
        <v>2</v>
      </c>
      <c r="M1494">
        <v>189.46</v>
      </c>
      <c r="N1494" t="s">
        <v>54</v>
      </c>
      <c r="O1494" t="s">
        <v>26</v>
      </c>
      <c r="P1494" t="s">
        <v>27</v>
      </c>
    </row>
    <row r="1495" spans="1:16" x14ac:dyDescent="0.25">
      <c r="A1495" t="s">
        <v>2176</v>
      </c>
      <c r="B1495" s="4">
        <v>45851</v>
      </c>
      <c r="C1495" s="5">
        <v>0.72986111111111107</v>
      </c>
      <c r="D1495" t="s">
        <v>16</v>
      </c>
      <c r="E1495" t="s">
        <v>222</v>
      </c>
      <c r="G1495">
        <v>1982</v>
      </c>
      <c r="H1495">
        <v>10</v>
      </c>
      <c r="I1495">
        <v>1</v>
      </c>
      <c r="J1495" t="s">
        <v>199</v>
      </c>
      <c r="K1495" t="s">
        <v>2177</v>
      </c>
      <c r="L1495">
        <v>3</v>
      </c>
      <c r="M1495">
        <v>732.27</v>
      </c>
      <c r="N1495" t="s">
        <v>54</v>
      </c>
      <c r="O1495" t="s">
        <v>20</v>
      </c>
      <c r="P1495" t="s">
        <v>48</v>
      </c>
    </row>
    <row r="1496" spans="1:16" x14ac:dyDescent="0.25">
      <c r="A1496" t="s">
        <v>2178</v>
      </c>
      <c r="B1496" t="s">
        <v>1803</v>
      </c>
      <c r="C1496" s="3">
        <v>0.64984953703703707</v>
      </c>
      <c r="D1496" t="s">
        <v>16</v>
      </c>
      <c r="E1496" t="s">
        <v>582</v>
      </c>
      <c r="F1496" s="4"/>
      <c r="G1496">
        <v>1996</v>
      </c>
      <c r="H1496">
        <v>5</v>
      </c>
      <c r="I1496">
        <v>11</v>
      </c>
      <c r="J1496" t="s">
        <v>145</v>
      </c>
      <c r="K1496">
        <v>245.59</v>
      </c>
      <c r="L1496">
        <v>3</v>
      </c>
      <c r="M1496">
        <v>760.77</v>
      </c>
      <c r="N1496" t="s">
        <v>19</v>
      </c>
      <c r="O1496" t="s">
        <v>55</v>
      </c>
      <c r="P1496" t="s">
        <v>105</v>
      </c>
    </row>
    <row r="1497" spans="1:16" x14ac:dyDescent="0.25">
      <c r="A1497" t="s">
        <v>2179</v>
      </c>
      <c r="B1497" s="4">
        <v>45974</v>
      </c>
      <c r="C1497" s="3">
        <v>0.6661111111111111</v>
      </c>
      <c r="D1497" t="s">
        <v>16</v>
      </c>
      <c r="E1497" t="s">
        <v>377</v>
      </c>
      <c r="F1497" s="4"/>
      <c r="G1497">
        <v>2003</v>
      </c>
      <c r="H1497">
        <v>12</v>
      </c>
      <c r="I1497">
        <v>16</v>
      </c>
      <c r="J1497" t="s">
        <v>85</v>
      </c>
      <c r="K1497">
        <v>217.21</v>
      </c>
      <c r="L1497">
        <v>1</v>
      </c>
      <c r="M1497">
        <v>217.21</v>
      </c>
      <c r="O1497" t="s">
        <v>20</v>
      </c>
      <c r="P1497" t="s">
        <v>74</v>
      </c>
    </row>
    <row r="1498" spans="1:16" x14ac:dyDescent="0.25">
      <c r="A1498" t="s">
        <v>2180</v>
      </c>
      <c r="B1498" s="1">
        <v>45702</v>
      </c>
      <c r="C1498" s="2">
        <v>0.47361111111111109</v>
      </c>
      <c r="D1498" t="s">
        <v>16</v>
      </c>
      <c r="E1498" t="s">
        <v>712</v>
      </c>
      <c r="G1498">
        <v>1970</v>
      </c>
      <c r="H1498">
        <v>11</v>
      </c>
      <c r="I1498">
        <v>5</v>
      </c>
      <c r="J1498" t="s">
        <v>93</v>
      </c>
      <c r="K1498">
        <v>209.29</v>
      </c>
      <c r="L1498">
        <v>2</v>
      </c>
      <c r="M1498">
        <v>418.58</v>
      </c>
      <c r="O1498" t="s">
        <v>89</v>
      </c>
      <c r="P1498" t="s">
        <v>56</v>
      </c>
    </row>
    <row r="1499" spans="1:16" x14ac:dyDescent="0.25">
      <c r="A1499" t="s">
        <v>2181</v>
      </c>
      <c r="B1499" s="4">
        <v>45796</v>
      </c>
      <c r="C1499" s="2">
        <v>0.79791666666666672</v>
      </c>
      <c r="D1499" t="s">
        <v>16</v>
      </c>
      <c r="E1499" t="s">
        <v>628</v>
      </c>
      <c r="F1499" s="1"/>
      <c r="G1499">
        <v>2002</v>
      </c>
      <c r="H1499">
        <v>6</v>
      </c>
      <c r="I1499">
        <v>15</v>
      </c>
      <c r="J1499" t="s">
        <v>202</v>
      </c>
      <c r="K1499">
        <v>293.72000000000003</v>
      </c>
      <c r="L1499">
        <v>3</v>
      </c>
      <c r="M1499">
        <v>881.16</v>
      </c>
      <c r="N1499" t="s">
        <v>41</v>
      </c>
      <c r="O1499" t="s">
        <v>20</v>
      </c>
      <c r="P1499" t="s">
        <v>21</v>
      </c>
    </row>
    <row r="1500" spans="1:16" x14ac:dyDescent="0.25">
      <c r="A1500" t="s">
        <v>2182</v>
      </c>
      <c r="B1500" s="4">
        <v>45756</v>
      </c>
      <c r="C1500" s="2">
        <v>0.9555555555555556</v>
      </c>
      <c r="D1500" t="s">
        <v>16</v>
      </c>
      <c r="E1500" t="s">
        <v>528</v>
      </c>
      <c r="F1500" s="4"/>
      <c r="G1500">
        <v>2010</v>
      </c>
      <c r="H1500">
        <v>11</v>
      </c>
      <c r="I1500">
        <v>6</v>
      </c>
      <c r="J1500" t="s">
        <v>110</v>
      </c>
      <c r="K1500">
        <v>106.41</v>
      </c>
      <c r="L1500">
        <v>1</v>
      </c>
      <c r="M1500">
        <v>106.41</v>
      </c>
      <c r="N1500" t="s">
        <v>25</v>
      </c>
      <c r="O1500" t="s">
        <v>61</v>
      </c>
      <c r="P1500" t="s">
        <v>48</v>
      </c>
    </row>
    <row r="1501" spans="1:16" x14ac:dyDescent="0.25">
      <c r="A1501" t="s">
        <v>2183</v>
      </c>
      <c r="B1501" s="4">
        <v>45917</v>
      </c>
      <c r="C1501" s="3">
        <v>0.82998842592592592</v>
      </c>
      <c r="D1501" t="s">
        <v>16</v>
      </c>
      <c r="E1501" t="s">
        <v>397</v>
      </c>
      <c r="J1501" t="s">
        <v>116</v>
      </c>
      <c r="K1501" t="s">
        <v>2184</v>
      </c>
      <c r="L1501">
        <v>1</v>
      </c>
      <c r="M1501">
        <v>158.83000000000001</v>
      </c>
      <c r="N1501" t="s">
        <v>19</v>
      </c>
      <c r="O1501" t="s">
        <v>61</v>
      </c>
      <c r="P1501" t="s">
        <v>48</v>
      </c>
    </row>
    <row r="1502" spans="1:16" x14ac:dyDescent="0.25">
      <c r="A1502" t="s">
        <v>2185</v>
      </c>
      <c r="B1502" s="1">
        <v>45724</v>
      </c>
      <c r="C1502" s="5">
        <v>0.72222222222222221</v>
      </c>
      <c r="D1502" t="s">
        <v>16</v>
      </c>
      <c r="E1502" t="s">
        <v>79</v>
      </c>
      <c r="F1502" s="4"/>
      <c r="G1502">
        <v>1993</v>
      </c>
      <c r="H1502">
        <v>11</v>
      </c>
      <c r="I1502">
        <v>14</v>
      </c>
      <c r="J1502" t="s">
        <v>199</v>
      </c>
      <c r="K1502">
        <v>171.35</v>
      </c>
      <c r="L1502">
        <v>1</v>
      </c>
      <c r="M1502">
        <v>171.35</v>
      </c>
      <c r="N1502" t="s">
        <v>25</v>
      </c>
      <c r="O1502" t="s">
        <v>61</v>
      </c>
      <c r="P1502" t="s">
        <v>105</v>
      </c>
    </row>
    <row r="1503" spans="1:16" x14ac:dyDescent="0.25">
      <c r="A1503" t="s">
        <v>2186</v>
      </c>
      <c r="B1503" s="1">
        <v>45619</v>
      </c>
      <c r="C1503" s="5">
        <v>0.48333333333333334</v>
      </c>
      <c r="D1503" t="s">
        <v>16</v>
      </c>
      <c r="E1503" t="s">
        <v>267</v>
      </c>
      <c r="F1503" s="4"/>
      <c r="G1503">
        <v>1987</v>
      </c>
      <c r="H1503">
        <v>7</v>
      </c>
      <c r="I1503">
        <v>2</v>
      </c>
      <c r="J1503" t="s">
        <v>141</v>
      </c>
      <c r="K1503">
        <v>139.96</v>
      </c>
      <c r="L1503">
        <v>1</v>
      </c>
      <c r="M1503">
        <v>139.96</v>
      </c>
      <c r="N1503" t="s">
        <v>54</v>
      </c>
      <c r="O1503" t="s">
        <v>26</v>
      </c>
      <c r="P1503" t="s">
        <v>105</v>
      </c>
    </row>
    <row r="1504" spans="1:16" x14ac:dyDescent="0.25">
      <c r="A1504" t="s">
        <v>2187</v>
      </c>
      <c r="B1504" t="s">
        <v>1146</v>
      </c>
      <c r="C1504" s="3">
        <v>0.55394675925925929</v>
      </c>
      <c r="D1504" t="s">
        <v>16</v>
      </c>
      <c r="E1504" t="s">
        <v>528</v>
      </c>
      <c r="F1504" s="1"/>
      <c r="G1504">
        <v>1978</v>
      </c>
      <c r="H1504">
        <v>1</v>
      </c>
      <c r="I1504">
        <v>22</v>
      </c>
      <c r="J1504" t="s">
        <v>40</v>
      </c>
      <c r="K1504">
        <v>191.82</v>
      </c>
      <c r="L1504">
        <v>3</v>
      </c>
      <c r="M1504">
        <v>575.46</v>
      </c>
      <c r="O1504" t="s">
        <v>32</v>
      </c>
      <c r="P1504" t="s">
        <v>56</v>
      </c>
    </row>
    <row r="1505" spans="1:16" x14ac:dyDescent="0.25">
      <c r="A1505" t="s">
        <v>2188</v>
      </c>
      <c r="B1505" t="s">
        <v>2189</v>
      </c>
      <c r="C1505" s="2">
        <v>0.76388888888888884</v>
      </c>
      <c r="D1505" t="s">
        <v>16</v>
      </c>
      <c r="E1505" t="s">
        <v>473</v>
      </c>
      <c r="F1505" s="1"/>
      <c r="G1505">
        <v>1994</v>
      </c>
      <c r="H1505">
        <v>5</v>
      </c>
      <c r="I1505">
        <v>17</v>
      </c>
      <c r="J1505" t="s">
        <v>104</v>
      </c>
      <c r="K1505">
        <v>242.9</v>
      </c>
      <c r="L1505">
        <v>1</v>
      </c>
      <c r="M1505">
        <v>242.9</v>
      </c>
      <c r="N1505" t="s">
        <v>64</v>
      </c>
      <c r="O1505" t="s">
        <v>37</v>
      </c>
      <c r="P1505" t="s">
        <v>48</v>
      </c>
    </row>
    <row r="1506" spans="1:16" x14ac:dyDescent="0.25">
      <c r="A1506" t="s">
        <v>2190</v>
      </c>
      <c r="B1506" s="1">
        <v>45942</v>
      </c>
      <c r="C1506" s="3">
        <v>0.60347222222222219</v>
      </c>
      <c r="D1506" t="s">
        <v>16</v>
      </c>
      <c r="E1506" t="s">
        <v>420</v>
      </c>
      <c r="F1506" s="4"/>
      <c r="G1506">
        <v>1994</v>
      </c>
      <c r="H1506">
        <v>4</v>
      </c>
      <c r="I1506">
        <v>25</v>
      </c>
      <c r="J1506" t="s">
        <v>164</v>
      </c>
      <c r="K1506">
        <v>301.93</v>
      </c>
      <c r="L1506">
        <v>3</v>
      </c>
      <c r="M1506">
        <v>905.79</v>
      </c>
      <c r="N1506" t="s">
        <v>41</v>
      </c>
      <c r="O1506" t="s">
        <v>37</v>
      </c>
    </row>
    <row r="1507" spans="1:16" x14ac:dyDescent="0.25">
      <c r="A1507" t="s">
        <v>2191</v>
      </c>
      <c r="B1507" s="4">
        <v>45669</v>
      </c>
      <c r="C1507" s="5">
        <v>0.83958333333333335</v>
      </c>
      <c r="D1507" t="s">
        <v>16</v>
      </c>
      <c r="E1507" t="s">
        <v>360</v>
      </c>
      <c r="J1507" t="s">
        <v>104</v>
      </c>
      <c r="K1507">
        <v>301.66000000000003</v>
      </c>
      <c r="L1507">
        <v>2</v>
      </c>
      <c r="M1507">
        <v>603.32000000000005</v>
      </c>
      <c r="N1507" t="s">
        <v>64</v>
      </c>
      <c r="O1507" t="s">
        <v>37</v>
      </c>
    </row>
    <row r="1508" spans="1:16" x14ac:dyDescent="0.25">
      <c r="A1508" t="s">
        <v>2192</v>
      </c>
      <c r="B1508" s="4">
        <v>45667</v>
      </c>
      <c r="C1508" s="3">
        <v>0.85180555555555559</v>
      </c>
      <c r="D1508" t="s">
        <v>16</v>
      </c>
      <c r="E1508" t="s">
        <v>562</v>
      </c>
      <c r="F1508" s="1"/>
      <c r="G1508">
        <v>2010</v>
      </c>
      <c r="H1508">
        <v>5</v>
      </c>
      <c r="I1508">
        <v>25</v>
      </c>
      <c r="J1508" t="s">
        <v>164</v>
      </c>
      <c r="K1508">
        <v>284.83</v>
      </c>
      <c r="L1508">
        <v>2</v>
      </c>
      <c r="M1508">
        <v>569.66</v>
      </c>
      <c r="N1508" t="s">
        <v>25</v>
      </c>
      <c r="O1508" t="s">
        <v>47</v>
      </c>
      <c r="P1508" t="s">
        <v>21</v>
      </c>
    </row>
    <row r="1509" spans="1:16" x14ac:dyDescent="0.25">
      <c r="A1509" t="s">
        <v>2193</v>
      </c>
      <c r="B1509" s="1">
        <v>45933</v>
      </c>
      <c r="C1509" s="2">
        <v>0.53194444444444444</v>
      </c>
      <c r="D1509" t="s">
        <v>16</v>
      </c>
      <c r="E1509" t="s">
        <v>387</v>
      </c>
      <c r="F1509" s="1"/>
      <c r="G1509">
        <v>1971</v>
      </c>
      <c r="H1509">
        <v>6</v>
      </c>
      <c r="I1509">
        <v>7</v>
      </c>
      <c r="J1509" t="s">
        <v>141</v>
      </c>
      <c r="K1509">
        <v>111.73</v>
      </c>
      <c r="L1509">
        <v>3</v>
      </c>
      <c r="M1509">
        <v>335.19</v>
      </c>
      <c r="N1509" t="s">
        <v>31</v>
      </c>
      <c r="O1509" t="s">
        <v>32</v>
      </c>
      <c r="P1509" t="s">
        <v>56</v>
      </c>
    </row>
    <row r="1510" spans="1:16" x14ac:dyDescent="0.25">
      <c r="A1510" t="s">
        <v>2194</v>
      </c>
      <c r="B1510" s="4">
        <v>45906</v>
      </c>
      <c r="C1510" s="2">
        <v>0.84027777777777779</v>
      </c>
      <c r="D1510" t="s">
        <v>16</v>
      </c>
      <c r="E1510" t="s">
        <v>558</v>
      </c>
      <c r="G1510">
        <v>1998</v>
      </c>
      <c r="H1510">
        <v>4</v>
      </c>
      <c r="I1510">
        <v>4</v>
      </c>
      <c r="J1510" t="s">
        <v>104</v>
      </c>
      <c r="K1510">
        <v>236.53</v>
      </c>
      <c r="L1510">
        <v>2</v>
      </c>
      <c r="M1510">
        <v>473.06</v>
      </c>
      <c r="N1510" t="s">
        <v>41</v>
      </c>
      <c r="O1510" t="s">
        <v>89</v>
      </c>
      <c r="P1510" t="s">
        <v>56</v>
      </c>
    </row>
    <row r="1511" spans="1:16" x14ac:dyDescent="0.25">
      <c r="A1511" t="s">
        <v>2195</v>
      </c>
      <c r="B1511" s="4">
        <v>45780</v>
      </c>
      <c r="C1511" s="5">
        <v>0.49236111111111114</v>
      </c>
      <c r="D1511" t="s">
        <v>16</v>
      </c>
      <c r="E1511" t="s">
        <v>101</v>
      </c>
      <c r="F1511" s="4"/>
      <c r="G1511">
        <v>1976</v>
      </c>
      <c r="H1511">
        <v>5</v>
      </c>
      <c r="I1511">
        <v>20</v>
      </c>
      <c r="J1511" t="s">
        <v>93</v>
      </c>
      <c r="K1511">
        <v>170.47</v>
      </c>
      <c r="L1511">
        <v>2</v>
      </c>
      <c r="M1511">
        <v>370.94</v>
      </c>
      <c r="N1511" t="s">
        <v>31</v>
      </c>
      <c r="O1511" t="s">
        <v>47</v>
      </c>
      <c r="P1511" t="s">
        <v>48</v>
      </c>
    </row>
    <row r="1512" spans="1:16" x14ac:dyDescent="0.25">
      <c r="A1512" t="s">
        <v>2196</v>
      </c>
      <c r="B1512" s="1">
        <v>45757</v>
      </c>
      <c r="C1512" s="5">
        <v>0.85138888888888886</v>
      </c>
      <c r="D1512" t="s">
        <v>16</v>
      </c>
      <c r="E1512" t="s">
        <v>144</v>
      </c>
      <c r="F1512" s="1"/>
      <c r="G1512">
        <v>1993</v>
      </c>
      <c r="H1512">
        <v>7</v>
      </c>
      <c r="I1512">
        <v>9</v>
      </c>
      <c r="J1512" t="s">
        <v>24</v>
      </c>
      <c r="K1512">
        <v>274.20999999999998</v>
      </c>
      <c r="L1512">
        <v>1</v>
      </c>
      <c r="M1512">
        <v>274.20999999999998</v>
      </c>
      <c r="N1512" t="s">
        <v>19</v>
      </c>
      <c r="O1512" t="s">
        <v>61</v>
      </c>
      <c r="P1512" t="s">
        <v>27</v>
      </c>
    </row>
    <row r="1513" spans="1:16" x14ac:dyDescent="0.25">
      <c r="A1513" t="s">
        <v>2197</v>
      </c>
      <c r="B1513" t="s">
        <v>392</v>
      </c>
      <c r="C1513" s="3">
        <v>0.76599537037037035</v>
      </c>
      <c r="D1513" t="s">
        <v>16</v>
      </c>
      <c r="E1513" t="s">
        <v>76</v>
      </c>
      <c r="F1513" s="1"/>
      <c r="G1513">
        <v>1973</v>
      </c>
      <c r="H1513">
        <v>11</v>
      </c>
      <c r="I1513">
        <v>25</v>
      </c>
      <c r="J1513" t="s">
        <v>93</v>
      </c>
      <c r="K1513">
        <v>227.57</v>
      </c>
      <c r="L1513">
        <v>1</v>
      </c>
      <c r="M1513">
        <v>227.57</v>
      </c>
      <c r="N1513" t="s">
        <v>19</v>
      </c>
      <c r="O1513" t="s">
        <v>47</v>
      </c>
      <c r="P1513" t="s">
        <v>105</v>
      </c>
    </row>
    <row r="1514" spans="1:16" x14ac:dyDescent="0.25">
      <c r="A1514" t="s">
        <v>2198</v>
      </c>
      <c r="B1514" s="4">
        <v>45619</v>
      </c>
      <c r="C1514" s="2">
        <v>0.72430555555555554</v>
      </c>
      <c r="D1514" t="s">
        <v>16</v>
      </c>
      <c r="E1514" t="s">
        <v>492</v>
      </c>
      <c r="G1514">
        <v>1972</v>
      </c>
      <c r="H1514">
        <v>6</v>
      </c>
      <c r="I1514">
        <v>14</v>
      </c>
      <c r="J1514" t="s">
        <v>40</v>
      </c>
      <c r="K1514">
        <v>233.75</v>
      </c>
      <c r="L1514">
        <v>1</v>
      </c>
      <c r="M1514">
        <v>233.75</v>
      </c>
      <c r="N1514" t="s">
        <v>25</v>
      </c>
      <c r="O1514" t="s">
        <v>20</v>
      </c>
    </row>
    <row r="1515" spans="1:16" x14ac:dyDescent="0.25">
      <c r="A1515" t="s">
        <v>2199</v>
      </c>
      <c r="B1515" s="1">
        <v>45638</v>
      </c>
      <c r="C1515" s="2">
        <v>0.89097222222222228</v>
      </c>
      <c r="D1515" t="s">
        <v>16</v>
      </c>
      <c r="E1515" t="s">
        <v>2200</v>
      </c>
      <c r="G1515">
        <v>2009</v>
      </c>
      <c r="H1515">
        <v>12</v>
      </c>
      <c r="I1515">
        <v>5</v>
      </c>
      <c r="J1515" t="s">
        <v>110</v>
      </c>
      <c r="K1515">
        <v>-112.8</v>
      </c>
      <c r="L1515">
        <v>2</v>
      </c>
      <c r="M1515">
        <v>-225.6</v>
      </c>
      <c r="N1515" t="s">
        <v>64</v>
      </c>
      <c r="O1515" t="s">
        <v>32</v>
      </c>
    </row>
    <row r="1516" spans="1:16" x14ac:dyDescent="0.25">
      <c r="A1516" t="s">
        <v>2201</v>
      </c>
      <c r="B1516" s="4">
        <v>45921</v>
      </c>
      <c r="C1516" s="2">
        <v>0.85069444444444442</v>
      </c>
      <c r="D1516" t="s">
        <v>16</v>
      </c>
      <c r="E1516" t="s">
        <v>107</v>
      </c>
      <c r="J1516" t="s">
        <v>53</v>
      </c>
      <c r="K1516">
        <v>91.76</v>
      </c>
      <c r="L1516">
        <v>1</v>
      </c>
      <c r="M1516">
        <v>91.76</v>
      </c>
      <c r="N1516" t="s">
        <v>67</v>
      </c>
      <c r="O1516" t="s">
        <v>32</v>
      </c>
      <c r="P1516" t="s">
        <v>21</v>
      </c>
    </row>
    <row r="1517" spans="1:16" x14ac:dyDescent="0.25">
      <c r="A1517" t="s">
        <v>2202</v>
      </c>
      <c r="B1517" s="4">
        <v>45960</v>
      </c>
      <c r="C1517" s="5">
        <v>0.97152777777777777</v>
      </c>
      <c r="D1517" t="s">
        <v>16</v>
      </c>
      <c r="E1517" t="s">
        <v>582</v>
      </c>
      <c r="G1517">
        <v>1979</v>
      </c>
      <c r="H1517">
        <v>4</v>
      </c>
      <c r="I1517">
        <v>6</v>
      </c>
      <c r="J1517" t="s">
        <v>199</v>
      </c>
      <c r="K1517">
        <v>226.42</v>
      </c>
      <c r="L1517">
        <v>1</v>
      </c>
      <c r="M1517" t="s">
        <v>2203</v>
      </c>
      <c r="N1517" t="s">
        <v>67</v>
      </c>
      <c r="O1517" t="s">
        <v>37</v>
      </c>
      <c r="P1517" t="s">
        <v>105</v>
      </c>
    </row>
    <row r="1518" spans="1:16" x14ac:dyDescent="0.25">
      <c r="A1518" t="s">
        <v>2204</v>
      </c>
      <c r="C1518" s="2">
        <v>0.54722222222222228</v>
      </c>
      <c r="D1518" t="s">
        <v>16</v>
      </c>
      <c r="E1518" t="s">
        <v>161</v>
      </c>
      <c r="F1518" s="4"/>
      <c r="G1518">
        <v>1986</v>
      </c>
      <c r="H1518">
        <v>11</v>
      </c>
      <c r="I1518">
        <v>8</v>
      </c>
      <c r="J1518" t="s">
        <v>129</v>
      </c>
      <c r="K1518">
        <v>162.41999999999999</v>
      </c>
      <c r="L1518">
        <v>3</v>
      </c>
      <c r="M1518">
        <v>487.26</v>
      </c>
      <c r="N1518" t="s">
        <v>25</v>
      </c>
      <c r="O1518" t="s">
        <v>20</v>
      </c>
    </row>
    <row r="1519" spans="1:16" x14ac:dyDescent="0.25">
      <c r="A1519" t="s">
        <v>2205</v>
      </c>
      <c r="B1519" t="s">
        <v>297</v>
      </c>
      <c r="C1519" s="3">
        <v>0.73471064814814813</v>
      </c>
      <c r="D1519" t="s">
        <v>16</v>
      </c>
      <c r="E1519" t="s">
        <v>1627</v>
      </c>
      <c r="F1519" s="4"/>
      <c r="G1519">
        <v>2005</v>
      </c>
      <c r="H1519">
        <v>4</v>
      </c>
      <c r="I1519">
        <v>1</v>
      </c>
      <c r="J1519" t="s">
        <v>53</v>
      </c>
      <c r="K1519">
        <v>83.46</v>
      </c>
      <c r="L1519">
        <v>1</v>
      </c>
      <c r="M1519">
        <v>83.46</v>
      </c>
      <c r="N1519" t="s">
        <v>67</v>
      </c>
      <c r="O1519" t="s">
        <v>20</v>
      </c>
      <c r="P1519" t="s">
        <v>27</v>
      </c>
    </row>
    <row r="1520" spans="1:16" x14ac:dyDescent="0.25">
      <c r="A1520" t="s">
        <v>2206</v>
      </c>
      <c r="B1520" s="1">
        <v>45917</v>
      </c>
      <c r="C1520" s="2">
        <v>0.94305555555555554</v>
      </c>
      <c r="D1520" t="s">
        <v>16</v>
      </c>
      <c r="E1520" t="s">
        <v>50</v>
      </c>
      <c r="F1520" s="4"/>
      <c r="G1520">
        <v>1982</v>
      </c>
      <c r="H1520">
        <v>9</v>
      </c>
      <c r="I1520">
        <v>24</v>
      </c>
      <c r="J1520" t="s">
        <v>110</v>
      </c>
      <c r="K1520">
        <v>111.61</v>
      </c>
      <c r="L1520">
        <v>1</v>
      </c>
      <c r="M1520">
        <v>111.61</v>
      </c>
      <c r="N1520" t="s">
        <v>64</v>
      </c>
      <c r="O1520" t="s">
        <v>37</v>
      </c>
      <c r="P1520" t="s">
        <v>27</v>
      </c>
    </row>
    <row r="1521" spans="1:16" x14ac:dyDescent="0.25">
      <c r="A1521" t="s">
        <v>2207</v>
      </c>
      <c r="B1521" s="4">
        <v>45728</v>
      </c>
      <c r="C1521" s="2">
        <v>0.67291666666666672</v>
      </c>
      <c r="D1521" t="s">
        <v>16</v>
      </c>
      <c r="E1521" t="s">
        <v>334</v>
      </c>
      <c r="F1521" s="4"/>
      <c r="G1521">
        <v>1972</v>
      </c>
      <c r="H1521">
        <v>12</v>
      </c>
      <c r="I1521">
        <v>22</v>
      </c>
      <c r="J1521" t="s">
        <v>178</v>
      </c>
      <c r="K1521">
        <v>298.77999999999997</v>
      </c>
      <c r="L1521">
        <v>3</v>
      </c>
      <c r="M1521">
        <v>896.34</v>
      </c>
      <c r="N1521" t="s">
        <v>64</v>
      </c>
      <c r="O1521" t="s">
        <v>55</v>
      </c>
      <c r="P1521" t="s">
        <v>48</v>
      </c>
    </row>
    <row r="1522" spans="1:16" x14ac:dyDescent="0.25">
      <c r="A1522" t="s">
        <v>2208</v>
      </c>
      <c r="B1522" s="4">
        <v>45829</v>
      </c>
      <c r="C1522" s="3">
        <v>0.57047453703703699</v>
      </c>
      <c r="D1522" t="s">
        <v>16</v>
      </c>
      <c r="E1522" t="s">
        <v>324</v>
      </c>
      <c r="G1522">
        <v>2005</v>
      </c>
      <c r="H1522">
        <v>12</v>
      </c>
      <c r="I1522">
        <v>28</v>
      </c>
      <c r="J1522" t="s">
        <v>213</v>
      </c>
      <c r="L1522">
        <v>2</v>
      </c>
      <c r="N1522" t="s">
        <v>64</v>
      </c>
      <c r="O1522" t="s">
        <v>61</v>
      </c>
      <c r="P1522" t="s">
        <v>56</v>
      </c>
    </row>
    <row r="1523" spans="1:16" x14ac:dyDescent="0.25">
      <c r="A1523" t="s">
        <v>2209</v>
      </c>
      <c r="B1523" s="4">
        <v>45909</v>
      </c>
      <c r="C1523" s="3">
        <v>0.66108796296296302</v>
      </c>
      <c r="D1523" t="s">
        <v>16</v>
      </c>
      <c r="E1523" t="s">
        <v>492</v>
      </c>
      <c r="F1523" s="1"/>
      <c r="G1523">
        <v>1982</v>
      </c>
      <c r="H1523">
        <v>1</v>
      </c>
      <c r="I1523">
        <v>1</v>
      </c>
      <c r="J1523" t="s">
        <v>77</v>
      </c>
      <c r="K1523">
        <v>42.07</v>
      </c>
      <c r="L1523">
        <v>3</v>
      </c>
      <c r="M1523">
        <v>126.21</v>
      </c>
      <c r="N1523" t="s">
        <v>64</v>
      </c>
      <c r="O1523" t="s">
        <v>20</v>
      </c>
      <c r="P1523" t="s">
        <v>56</v>
      </c>
    </row>
    <row r="1524" spans="1:16" x14ac:dyDescent="0.25">
      <c r="A1524" t="s">
        <v>2210</v>
      </c>
      <c r="B1524" t="s">
        <v>2211</v>
      </c>
      <c r="C1524" s="5">
        <v>0.79722222222222228</v>
      </c>
      <c r="D1524" t="s">
        <v>16</v>
      </c>
      <c r="E1524" t="s">
        <v>88</v>
      </c>
      <c r="F1524" s="4"/>
      <c r="G1524">
        <v>1978</v>
      </c>
      <c r="H1524">
        <v>11</v>
      </c>
      <c r="I1524">
        <v>22</v>
      </c>
      <c r="J1524" t="s">
        <v>213</v>
      </c>
      <c r="K1524">
        <v>267.33</v>
      </c>
      <c r="L1524">
        <v>1</v>
      </c>
      <c r="M1524">
        <v>267.33</v>
      </c>
      <c r="O1524" t="s">
        <v>20</v>
      </c>
    </row>
    <row r="1525" spans="1:16" x14ac:dyDescent="0.25">
      <c r="A1525" t="s">
        <v>2212</v>
      </c>
      <c r="B1525" s="1">
        <v>45630</v>
      </c>
      <c r="C1525" s="2">
        <v>0.44930555555555557</v>
      </c>
      <c r="D1525" t="s">
        <v>16</v>
      </c>
      <c r="E1525" t="s">
        <v>232</v>
      </c>
      <c r="F1525" s="4"/>
      <c r="G1525">
        <v>1997</v>
      </c>
      <c r="H1525">
        <v>5</v>
      </c>
      <c r="I1525">
        <v>6</v>
      </c>
      <c r="J1525" t="s">
        <v>199</v>
      </c>
      <c r="K1525">
        <v>200.72</v>
      </c>
      <c r="L1525">
        <v>1</v>
      </c>
      <c r="M1525">
        <v>200.72</v>
      </c>
      <c r="N1525" t="s">
        <v>67</v>
      </c>
      <c r="O1525" t="s">
        <v>61</v>
      </c>
      <c r="P1525" t="s">
        <v>21</v>
      </c>
    </row>
    <row r="1526" spans="1:16" x14ac:dyDescent="0.25">
      <c r="A1526" t="s">
        <v>2213</v>
      </c>
      <c r="B1526" s="1">
        <v>45793</v>
      </c>
      <c r="C1526" s="5">
        <v>0.57638888888888884</v>
      </c>
      <c r="D1526" t="s">
        <v>16</v>
      </c>
      <c r="E1526" t="s">
        <v>659</v>
      </c>
      <c r="F1526" s="4"/>
      <c r="G1526">
        <v>1996</v>
      </c>
      <c r="H1526">
        <v>9</v>
      </c>
      <c r="I1526">
        <v>8</v>
      </c>
      <c r="J1526" t="s">
        <v>259</v>
      </c>
      <c r="K1526">
        <v>267.48</v>
      </c>
      <c r="L1526">
        <v>2</v>
      </c>
      <c r="M1526">
        <v>534.96</v>
      </c>
      <c r="N1526" t="s">
        <v>31</v>
      </c>
      <c r="O1526" t="s">
        <v>61</v>
      </c>
      <c r="P1526" t="s">
        <v>74</v>
      </c>
    </row>
    <row r="1527" spans="1:16" x14ac:dyDescent="0.25">
      <c r="A1527" t="s">
        <v>2214</v>
      </c>
      <c r="B1527" t="s">
        <v>2215</v>
      </c>
      <c r="C1527" s="5">
        <v>0.87430555555555556</v>
      </c>
      <c r="D1527" t="s">
        <v>16</v>
      </c>
      <c r="E1527" t="s">
        <v>640</v>
      </c>
      <c r="G1527">
        <v>1999</v>
      </c>
      <c r="H1527">
        <v>9</v>
      </c>
      <c r="I1527">
        <v>3</v>
      </c>
      <c r="J1527" t="s">
        <v>141</v>
      </c>
      <c r="K1527" t="s">
        <v>2216</v>
      </c>
      <c r="L1527">
        <v>1</v>
      </c>
      <c r="M1527">
        <v>139.41999999999999</v>
      </c>
      <c r="O1527" t="s">
        <v>89</v>
      </c>
      <c r="P1527" t="s">
        <v>105</v>
      </c>
    </row>
    <row r="1528" spans="1:16" x14ac:dyDescent="0.25">
      <c r="A1528" t="s">
        <v>2217</v>
      </c>
      <c r="B1528" s="4">
        <v>45630</v>
      </c>
      <c r="C1528" s="2">
        <v>0.9604166666666667</v>
      </c>
      <c r="D1528" t="s">
        <v>16</v>
      </c>
      <c r="E1528" t="s">
        <v>640</v>
      </c>
      <c r="F1528" s="4"/>
      <c r="G1528">
        <v>1974</v>
      </c>
      <c r="H1528">
        <v>12</v>
      </c>
      <c r="I1528">
        <v>27</v>
      </c>
      <c r="J1528" t="s">
        <v>199</v>
      </c>
      <c r="K1528">
        <v>226.16</v>
      </c>
      <c r="L1528">
        <v>2</v>
      </c>
      <c r="M1528">
        <v>452.32</v>
      </c>
      <c r="N1528" t="s">
        <v>54</v>
      </c>
      <c r="O1528" t="s">
        <v>32</v>
      </c>
      <c r="P1528" t="s">
        <v>56</v>
      </c>
    </row>
    <row r="1529" spans="1:16" x14ac:dyDescent="0.25">
      <c r="A1529" t="s">
        <v>2218</v>
      </c>
      <c r="B1529" s="1">
        <v>45621</v>
      </c>
      <c r="C1529" s="3">
        <v>0.89828703703703705</v>
      </c>
      <c r="D1529" t="s">
        <v>16</v>
      </c>
      <c r="E1529" t="s">
        <v>2219</v>
      </c>
      <c r="G1529">
        <v>1997</v>
      </c>
      <c r="H1529">
        <v>8</v>
      </c>
      <c r="I1529">
        <v>26</v>
      </c>
      <c r="J1529" t="s">
        <v>164</v>
      </c>
      <c r="K1529" t="s">
        <v>2220</v>
      </c>
      <c r="L1529">
        <v>1</v>
      </c>
      <c r="M1529">
        <v>277.18</v>
      </c>
      <c r="N1529" t="s">
        <v>41</v>
      </c>
      <c r="O1529" t="s">
        <v>26</v>
      </c>
      <c r="P1529" t="s">
        <v>56</v>
      </c>
    </row>
    <row r="1530" spans="1:16" x14ac:dyDescent="0.25">
      <c r="A1530" t="s">
        <v>2221</v>
      </c>
      <c r="B1530" s="4">
        <v>45734</v>
      </c>
      <c r="C1530" s="5">
        <v>0.47291666666666665</v>
      </c>
      <c r="D1530" t="s">
        <v>16</v>
      </c>
      <c r="E1530" t="s">
        <v>622</v>
      </c>
      <c r="F1530" s="4"/>
      <c r="G1530">
        <v>1976</v>
      </c>
      <c r="H1530">
        <v>5</v>
      </c>
      <c r="I1530">
        <v>7</v>
      </c>
      <c r="J1530" t="s">
        <v>202</v>
      </c>
      <c r="K1530">
        <v>44.44</v>
      </c>
      <c r="L1530">
        <v>1</v>
      </c>
      <c r="M1530">
        <v>44.44</v>
      </c>
      <c r="O1530" t="s">
        <v>47</v>
      </c>
    </row>
    <row r="1531" spans="1:16" x14ac:dyDescent="0.25">
      <c r="A1531" t="s">
        <v>2222</v>
      </c>
      <c r="B1531" s="4">
        <v>45655</v>
      </c>
      <c r="C1531" s="2">
        <v>0.71458333333333335</v>
      </c>
      <c r="D1531" t="s">
        <v>16</v>
      </c>
      <c r="E1531" t="s">
        <v>512</v>
      </c>
      <c r="F1531" s="1"/>
      <c r="G1531">
        <v>1981</v>
      </c>
      <c r="H1531">
        <v>5</v>
      </c>
      <c r="I1531">
        <v>1</v>
      </c>
      <c r="J1531" t="s">
        <v>36</v>
      </c>
      <c r="K1531">
        <v>115.7</v>
      </c>
      <c r="L1531">
        <v>3</v>
      </c>
      <c r="M1531">
        <v>347.1</v>
      </c>
      <c r="N1531" t="s">
        <v>67</v>
      </c>
      <c r="O1531" t="s">
        <v>26</v>
      </c>
      <c r="P1531" t="s">
        <v>21</v>
      </c>
    </row>
    <row r="1532" spans="1:16" x14ac:dyDescent="0.25">
      <c r="A1532" t="s">
        <v>2223</v>
      </c>
      <c r="B1532" s="4">
        <v>45978</v>
      </c>
      <c r="C1532" s="2">
        <v>0.45208333333333334</v>
      </c>
      <c r="D1532" t="s">
        <v>16</v>
      </c>
      <c r="E1532" t="s">
        <v>256</v>
      </c>
      <c r="F1532" s="4"/>
      <c r="G1532">
        <v>2009</v>
      </c>
      <c r="H1532">
        <v>8</v>
      </c>
      <c r="I1532">
        <v>23</v>
      </c>
      <c r="J1532" t="s">
        <v>145</v>
      </c>
      <c r="K1532">
        <v>112.37</v>
      </c>
      <c r="L1532">
        <v>2</v>
      </c>
      <c r="M1532">
        <v>224.74</v>
      </c>
      <c r="N1532" t="s">
        <v>64</v>
      </c>
      <c r="O1532" t="s">
        <v>55</v>
      </c>
      <c r="P1532" t="s">
        <v>27</v>
      </c>
    </row>
    <row r="1533" spans="1:16" x14ac:dyDescent="0.25">
      <c r="A1533" t="s">
        <v>2224</v>
      </c>
      <c r="B1533" s="4">
        <v>45824</v>
      </c>
      <c r="C1533" s="2">
        <v>0.71875</v>
      </c>
      <c r="D1533" t="s">
        <v>16</v>
      </c>
      <c r="E1533" t="s">
        <v>107</v>
      </c>
      <c r="F1533" s="4"/>
      <c r="G1533">
        <v>1987</v>
      </c>
      <c r="H1533">
        <v>9</v>
      </c>
      <c r="I1533">
        <v>3</v>
      </c>
      <c r="J1533" t="s">
        <v>126</v>
      </c>
      <c r="K1533">
        <v>136.1</v>
      </c>
      <c r="L1533">
        <v>2</v>
      </c>
      <c r="M1533">
        <v>272.2</v>
      </c>
      <c r="N1533" t="s">
        <v>54</v>
      </c>
      <c r="O1533" t="s">
        <v>61</v>
      </c>
      <c r="P1533" t="s">
        <v>105</v>
      </c>
    </row>
    <row r="1534" spans="1:16" x14ac:dyDescent="0.25">
      <c r="A1534" t="s">
        <v>2225</v>
      </c>
      <c r="B1534" s="4">
        <v>45878</v>
      </c>
      <c r="C1534" s="2">
        <v>0.5854166666666667</v>
      </c>
      <c r="D1534" t="s">
        <v>16</v>
      </c>
      <c r="E1534" t="s">
        <v>411</v>
      </c>
      <c r="F1534" s="4"/>
      <c r="G1534">
        <v>1984</v>
      </c>
      <c r="H1534">
        <v>4</v>
      </c>
      <c r="I1534">
        <v>24</v>
      </c>
      <c r="J1534" t="s">
        <v>36</v>
      </c>
      <c r="K1534">
        <v>310.97000000000003</v>
      </c>
      <c r="L1534">
        <v>1</v>
      </c>
      <c r="M1534">
        <v>310.97000000000003</v>
      </c>
      <c r="N1534" t="s">
        <v>19</v>
      </c>
      <c r="O1534" t="s">
        <v>37</v>
      </c>
      <c r="P1534" t="s">
        <v>74</v>
      </c>
    </row>
    <row r="1535" spans="1:16" x14ac:dyDescent="0.25">
      <c r="A1535" t="s">
        <v>2226</v>
      </c>
      <c r="B1535" t="s">
        <v>1381</v>
      </c>
      <c r="C1535" s="2">
        <v>0.45555555555555555</v>
      </c>
      <c r="D1535" t="s">
        <v>16</v>
      </c>
      <c r="E1535" t="s">
        <v>107</v>
      </c>
      <c r="F1535" s="4"/>
      <c r="G1535">
        <v>1975</v>
      </c>
      <c r="H1535">
        <v>1</v>
      </c>
      <c r="I1535">
        <v>18</v>
      </c>
      <c r="J1535" t="s">
        <v>36</v>
      </c>
      <c r="K1535">
        <v>197.73</v>
      </c>
      <c r="L1535">
        <v>1</v>
      </c>
      <c r="M1535">
        <v>197.73</v>
      </c>
      <c r="N1535" t="s">
        <v>64</v>
      </c>
      <c r="O1535" t="s">
        <v>55</v>
      </c>
      <c r="P1535" t="s">
        <v>74</v>
      </c>
    </row>
    <row r="1536" spans="1:16" x14ac:dyDescent="0.25">
      <c r="A1536" t="s">
        <v>2227</v>
      </c>
      <c r="B1536" t="s">
        <v>1114</v>
      </c>
      <c r="C1536" s="2">
        <v>0.66666666666666663</v>
      </c>
      <c r="D1536" t="s">
        <v>16</v>
      </c>
      <c r="E1536" t="s">
        <v>1384</v>
      </c>
      <c r="F1536" s="1"/>
      <c r="G1536">
        <v>1972</v>
      </c>
      <c r="H1536">
        <v>6</v>
      </c>
      <c r="I1536">
        <v>27</v>
      </c>
      <c r="J1536" t="s">
        <v>202</v>
      </c>
      <c r="K1536" t="s">
        <v>2228</v>
      </c>
      <c r="L1536">
        <v>1</v>
      </c>
      <c r="M1536">
        <v>119.21</v>
      </c>
      <c r="N1536" t="s">
        <v>64</v>
      </c>
      <c r="O1536" t="s">
        <v>20</v>
      </c>
      <c r="P1536" t="s">
        <v>48</v>
      </c>
    </row>
    <row r="1537" spans="1:16" x14ac:dyDescent="0.25">
      <c r="A1537" t="s">
        <v>2229</v>
      </c>
      <c r="B1537" s="1">
        <v>45776</v>
      </c>
      <c r="C1537" s="5">
        <v>0.9194444444444444</v>
      </c>
      <c r="D1537" t="s">
        <v>16</v>
      </c>
      <c r="E1537" t="s">
        <v>330</v>
      </c>
      <c r="F1537" s="4"/>
      <c r="G1537">
        <v>1993</v>
      </c>
      <c r="H1537">
        <v>1</v>
      </c>
      <c r="I1537">
        <v>23</v>
      </c>
      <c r="J1537" t="s">
        <v>243</v>
      </c>
      <c r="K1537">
        <v>131.94</v>
      </c>
      <c r="L1537">
        <v>3</v>
      </c>
      <c r="M1537">
        <v>395.82</v>
      </c>
      <c r="N1537" t="s">
        <v>25</v>
      </c>
      <c r="O1537" t="s">
        <v>55</v>
      </c>
      <c r="P1537" t="s">
        <v>33</v>
      </c>
    </row>
    <row r="1538" spans="1:16" x14ac:dyDescent="0.25">
      <c r="A1538" t="s">
        <v>2230</v>
      </c>
      <c r="B1538" s="4">
        <v>45685</v>
      </c>
      <c r="C1538" s="2">
        <v>0.72777777777777775</v>
      </c>
      <c r="D1538" t="s">
        <v>16</v>
      </c>
      <c r="E1538" t="s">
        <v>295</v>
      </c>
      <c r="G1538">
        <v>1997</v>
      </c>
      <c r="H1538">
        <v>8</v>
      </c>
      <c r="I1538">
        <v>11</v>
      </c>
      <c r="J1538" t="s">
        <v>30</v>
      </c>
      <c r="K1538">
        <v>301.95999999999998</v>
      </c>
      <c r="L1538">
        <v>1</v>
      </c>
      <c r="M1538">
        <v>301.95999999999998</v>
      </c>
      <c r="N1538" t="s">
        <v>54</v>
      </c>
      <c r="O1538" t="s">
        <v>47</v>
      </c>
    </row>
    <row r="1539" spans="1:16" x14ac:dyDescent="0.25">
      <c r="A1539" t="s">
        <v>2231</v>
      </c>
      <c r="B1539" s="4">
        <v>45818</v>
      </c>
      <c r="C1539" s="3">
        <v>0.79390046296296302</v>
      </c>
      <c r="D1539" t="s">
        <v>16</v>
      </c>
      <c r="E1539" t="s">
        <v>562</v>
      </c>
      <c r="F1539" s="4"/>
      <c r="G1539">
        <v>1993</v>
      </c>
      <c r="H1539">
        <v>7</v>
      </c>
      <c r="I1539">
        <v>16</v>
      </c>
      <c r="J1539" t="s">
        <v>129</v>
      </c>
      <c r="K1539">
        <v>163.87</v>
      </c>
      <c r="L1539">
        <v>3</v>
      </c>
      <c r="M1539">
        <v>491.61</v>
      </c>
      <c r="N1539" t="s">
        <v>54</v>
      </c>
      <c r="O1539" t="s">
        <v>55</v>
      </c>
      <c r="P1539" t="s">
        <v>33</v>
      </c>
    </row>
    <row r="1540" spans="1:16" x14ac:dyDescent="0.25">
      <c r="A1540" t="s">
        <v>2232</v>
      </c>
      <c r="B1540" s="4">
        <v>45869</v>
      </c>
      <c r="C1540" s="2">
        <v>0.45833333333333331</v>
      </c>
      <c r="D1540" t="s">
        <v>16</v>
      </c>
      <c r="E1540" t="s">
        <v>59</v>
      </c>
      <c r="J1540" t="s">
        <v>36</v>
      </c>
      <c r="K1540">
        <v>109.48</v>
      </c>
      <c r="L1540">
        <v>2</v>
      </c>
      <c r="M1540" t="s">
        <v>2233</v>
      </c>
      <c r="N1540" t="s">
        <v>31</v>
      </c>
      <c r="O1540" t="s">
        <v>89</v>
      </c>
      <c r="P1540" t="s">
        <v>48</v>
      </c>
    </row>
    <row r="1541" spans="1:16" x14ac:dyDescent="0.25">
      <c r="A1541" t="s">
        <v>2234</v>
      </c>
      <c r="B1541" s="4">
        <v>45753</v>
      </c>
      <c r="C1541" s="2">
        <v>0.59305555555555556</v>
      </c>
      <c r="D1541" t="s">
        <v>16</v>
      </c>
      <c r="E1541" t="s">
        <v>125</v>
      </c>
      <c r="F1541" s="1"/>
      <c r="G1541">
        <v>1979</v>
      </c>
      <c r="H1541">
        <v>3</v>
      </c>
      <c r="I1541">
        <v>23</v>
      </c>
      <c r="J1541" t="s">
        <v>104</v>
      </c>
      <c r="K1541">
        <v>218.24</v>
      </c>
      <c r="L1541">
        <v>1</v>
      </c>
      <c r="M1541">
        <v>218.24</v>
      </c>
      <c r="N1541" t="s">
        <v>31</v>
      </c>
      <c r="O1541" t="s">
        <v>32</v>
      </c>
      <c r="P1541" t="s">
        <v>56</v>
      </c>
    </row>
    <row r="1542" spans="1:16" x14ac:dyDescent="0.25">
      <c r="A1542" t="s">
        <v>2235</v>
      </c>
      <c r="B1542" s="4">
        <v>45916</v>
      </c>
      <c r="C1542" s="3">
        <v>0.89834490740740736</v>
      </c>
      <c r="D1542" t="s">
        <v>16</v>
      </c>
      <c r="E1542" t="s">
        <v>191</v>
      </c>
      <c r="G1542">
        <v>1986</v>
      </c>
      <c r="H1542">
        <v>10</v>
      </c>
      <c r="I1542">
        <v>19</v>
      </c>
      <c r="J1542" t="s">
        <v>40</v>
      </c>
      <c r="K1542">
        <v>169.17</v>
      </c>
      <c r="L1542">
        <v>1</v>
      </c>
      <c r="M1542">
        <v>169.17</v>
      </c>
      <c r="N1542" t="s">
        <v>25</v>
      </c>
      <c r="O1542" t="s">
        <v>47</v>
      </c>
      <c r="P1542" t="s">
        <v>33</v>
      </c>
    </row>
    <row r="1543" spans="1:16" x14ac:dyDescent="0.25">
      <c r="A1543" t="s">
        <v>2236</v>
      </c>
      <c r="B1543" t="s">
        <v>720</v>
      </c>
      <c r="C1543" s="2">
        <v>0.55833333333333335</v>
      </c>
      <c r="D1543" t="s">
        <v>16</v>
      </c>
      <c r="E1543" t="s">
        <v>346</v>
      </c>
      <c r="F1543" s="1"/>
      <c r="G1543">
        <v>2002</v>
      </c>
      <c r="H1543">
        <v>6</v>
      </c>
      <c r="I1543">
        <v>15</v>
      </c>
      <c r="J1543" t="s">
        <v>85</v>
      </c>
      <c r="K1543">
        <v>228.56</v>
      </c>
      <c r="L1543">
        <v>0</v>
      </c>
      <c r="M1543">
        <v>0</v>
      </c>
      <c r="O1543" t="s">
        <v>32</v>
      </c>
      <c r="P1543" t="s">
        <v>27</v>
      </c>
    </row>
    <row r="1544" spans="1:16" x14ac:dyDescent="0.25">
      <c r="A1544" t="s">
        <v>2237</v>
      </c>
      <c r="B1544" s="4">
        <v>45720</v>
      </c>
      <c r="C1544" s="5">
        <v>0.62777777777777777</v>
      </c>
      <c r="D1544" t="s">
        <v>16</v>
      </c>
      <c r="E1544" t="s">
        <v>622</v>
      </c>
      <c r="J1544" t="s">
        <v>73</v>
      </c>
      <c r="K1544">
        <v>53.47</v>
      </c>
      <c r="L1544">
        <v>2</v>
      </c>
      <c r="M1544">
        <v>106.94</v>
      </c>
      <c r="N1544" t="s">
        <v>67</v>
      </c>
      <c r="O1544" t="s">
        <v>32</v>
      </c>
      <c r="P1544" t="s">
        <v>48</v>
      </c>
    </row>
    <row r="1545" spans="1:16" x14ac:dyDescent="0.25">
      <c r="A1545" t="s">
        <v>2238</v>
      </c>
      <c r="B1545" s="4">
        <v>45976</v>
      </c>
      <c r="C1545" s="2">
        <v>0.86250000000000004</v>
      </c>
      <c r="D1545" t="s">
        <v>16</v>
      </c>
      <c r="E1545" t="s">
        <v>871</v>
      </c>
      <c r="F1545" s="1"/>
      <c r="G1545">
        <v>2006</v>
      </c>
      <c r="H1545">
        <v>9</v>
      </c>
      <c r="I1545">
        <v>13</v>
      </c>
      <c r="J1545" t="s">
        <v>77</v>
      </c>
      <c r="K1545">
        <v>82.02</v>
      </c>
      <c r="L1545">
        <v>2</v>
      </c>
      <c r="M1545">
        <v>164.04</v>
      </c>
      <c r="N1545" t="s">
        <v>41</v>
      </c>
      <c r="O1545" t="s">
        <v>47</v>
      </c>
      <c r="P1545" t="s">
        <v>21</v>
      </c>
    </row>
    <row r="1546" spans="1:16" x14ac:dyDescent="0.25">
      <c r="A1546" t="s">
        <v>2239</v>
      </c>
      <c r="B1546" s="4">
        <v>45793</v>
      </c>
      <c r="C1546" s="3">
        <v>0.43751157407407409</v>
      </c>
      <c r="D1546" t="s">
        <v>16</v>
      </c>
      <c r="E1546" t="s">
        <v>659</v>
      </c>
      <c r="F1546" s="4"/>
      <c r="G1546">
        <v>2003</v>
      </c>
      <c r="H1546">
        <v>12</v>
      </c>
      <c r="I1546">
        <v>16</v>
      </c>
      <c r="J1546" t="s">
        <v>18</v>
      </c>
      <c r="K1546">
        <v>109.2</v>
      </c>
      <c r="L1546">
        <v>2</v>
      </c>
      <c r="M1546">
        <v>218.4</v>
      </c>
      <c r="N1546" t="s">
        <v>67</v>
      </c>
      <c r="O1546" t="s">
        <v>47</v>
      </c>
    </row>
    <row r="1547" spans="1:16" x14ac:dyDescent="0.25">
      <c r="A1547" t="s">
        <v>2240</v>
      </c>
      <c r="B1547" s="1">
        <v>45903</v>
      </c>
      <c r="C1547" s="2">
        <v>0.85486111111111107</v>
      </c>
      <c r="D1547" t="s">
        <v>16</v>
      </c>
      <c r="E1547" t="s">
        <v>365</v>
      </c>
      <c r="F1547" s="4"/>
      <c r="G1547">
        <v>1989</v>
      </c>
      <c r="H1547">
        <v>4</v>
      </c>
      <c r="I1547">
        <v>17</v>
      </c>
      <c r="J1547" t="s">
        <v>202</v>
      </c>
      <c r="K1547">
        <v>221.22</v>
      </c>
      <c r="L1547">
        <v>0</v>
      </c>
      <c r="M1547">
        <v>0</v>
      </c>
      <c r="N1547" t="s">
        <v>64</v>
      </c>
      <c r="O1547" t="s">
        <v>61</v>
      </c>
      <c r="P1547" t="s">
        <v>74</v>
      </c>
    </row>
    <row r="1548" spans="1:16" x14ac:dyDescent="0.25">
      <c r="A1548" t="s">
        <v>2241</v>
      </c>
      <c r="B1548" s="4">
        <v>45982</v>
      </c>
      <c r="C1548" s="5">
        <v>0.70416666666666672</v>
      </c>
      <c r="D1548" t="s">
        <v>16</v>
      </c>
      <c r="E1548" t="s">
        <v>1627</v>
      </c>
      <c r="F1548" s="4"/>
      <c r="G1548">
        <v>1986</v>
      </c>
      <c r="H1548">
        <v>8</v>
      </c>
      <c r="I1548">
        <v>9</v>
      </c>
      <c r="J1548" t="s">
        <v>93</v>
      </c>
      <c r="K1548">
        <v>205.34</v>
      </c>
      <c r="L1548">
        <v>1</v>
      </c>
      <c r="M1548">
        <v>205.34</v>
      </c>
      <c r="N1548" t="s">
        <v>67</v>
      </c>
      <c r="O1548" t="s">
        <v>20</v>
      </c>
      <c r="P1548" t="s">
        <v>48</v>
      </c>
    </row>
    <row r="1549" spans="1:16" x14ac:dyDescent="0.25">
      <c r="A1549" t="s">
        <v>2242</v>
      </c>
      <c r="B1549" t="s">
        <v>1144</v>
      </c>
      <c r="C1549" s="3">
        <v>0.75745370370370368</v>
      </c>
      <c r="D1549" t="s">
        <v>16</v>
      </c>
      <c r="E1549" t="s">
        <v>181</v>
      </c>
      <c r="G1549">
        <v>1991</v>
      </c>
      <c r="H1549">
        <v>12</v>
      </c>
      <c r="I1549">
        <v>12</v>
      </c>
      <c r="J1549" t="s">
        <v>116</v>
      </c>
      <c r="L1549">
        <v>3</v>
      </c>
      <c r="N1549" t="s">
        <v>41</v>
      </c>
      <c r="O1549" t="s">
        <v>32</v>
      </c>
      <c r="P1549" t="s">
        <v>74</v>
      </c>
    </row>
    <row r="1550" spans="1:16" x14ac:dyDescent="0.25">
      <c r="A1550" t="s">
        <v>2243</v>
      </c>
      <c r="B1550" s="4">
        <v>45963</v>
      </c>
      <c r="C1550" s="2">
        <v>0.98819444444444449</v>
      </c>
      <c r="D1550" t="s">
        <v>16</v>
      </c>
      <c r="E1550" t="s">
        <v>144</v>
      </c>
      <c r="F1550" s="4"/>
      <c r="G1550">
        <v>1985</v>
      </c>
      <c r="H1550">
        <v>11</v>
      </c>
      <c r="I1550">
        <v>26</v>
      </c>
      <c r="J1550" t="s">
        <v>93</v>
      </c>
      <c r="K1550">
        <v>172.07</v>
      </c>
      <c r="L1550">
        <v>1</v>
      </c>
      <c r="M1550">
        <v>172.07</v>
      </c>
      <c r="N1550" t="s">
        <v>41</v>
      </c>
      <c r="O1550" t="s">
        <v>20</v>
      </c>
      <c r="P1550" t="s">
        <v>56</v>
      </c>
    </row>
    <row r="1551" spans="1:16" x14ac:dyDescent="0.25">
      <c r="A1551" t="s">
        <v>2244</v>
      </c>
      <c r="B1551" s="1">
        <v>45947</v>
      </c>
      <c r="C1551" s="2">
        <v>0.52500000000000002</v>
      </c>
      <c r="D1551" t="s">
        <v>16</v>
      </c>
      <c r="E1551" t="s">
        <v>267</v>
      </c>
      <c r="F1551" s="4"/>
      <c r="G1551">
        <v>1993</v>
      </c>
      <c r="H1551">
        <v>5</v>
      </c>
      <c r="I1551">
        <v>11</v>
      </c>
      <c r="J1551" t="s">
        <v>77</v>
      </c>
      <c r="K1551">
        <v>86.45</v>
      </c>
      <c r="L1551">
        <v>3</v>
      </c>
      <c r="M1551">
        <v>259.35000000000002</v>
      </c>
      <c r="N1551" t="s">
        <v>25</v>
      </c>
      <c r="O1551" t="s">
        <v>89</v>
      </c>
    </row>
    <row r="1552" spans="1:16" x14ac:dyDescent="0.25">
      <c r="A1552" t="s">
        <v>2245</v>
      </c>
      <c r="B1552" s="4">
        <v>45820</v>
      </c>
      <c r="C1552" s="2">
        <v>0.8208333333333333</v>
      </c>
      <c r="D1552" t="s">
        <v>16</v>
      </c>
      <c r="E1552" t="s">
        <v>405</v>
      </c>
      <c r="F1552" s="4"/>
      <c r="G1552">
        <v>1999</v>
      </c>
      <c r="H1552">
        <v>7</v>
      </c>
      <c r="I1552">
        <v>25</v>
      </c>
      <c r="J1552" t="s">
        <v>145</v>
      </c>
      <c r="K1552">
        <v>106.56</v>
      </c>
      <c r="L1552">
        <v>3</v>
      </c>
      <c r="M1552">
        <v>319.68</v>
      </c>
      <c r="N1552" t="s">
        <v>25</v>
      </c>
      <c r="O1552" t="s">
        <v>47</v>
      </c>
      <c r="P1552" t="s">
        <v>105</v>
      </c>
    </row>
    <row r="1553" spans="1:16" x14ac:dyDescent="0.25">
      <c r="A1553" t="s">
        <v>2246</v>
      </c>
      <c r="B1553" t="s">
        <v>1689</v>
      </c>
      <c r="C1553" s="3">
        <v>0.88582175925925921</v>
      </c>
      <c r="D1553" t="s">
        <v>16</v>
      </c>
      <c r="E1553" t="s">
        <v>299</v>
      </c>
      <c r="F1553" s="4"/>
      <c r="G1553">
        <v>1987</v>
      </c>
      <c r="H1553">
        <v>1</v>
      </c>
      <c r="I1553">
        <v>5</v>
      </c>
      <c r="J1553" t="s">
        <v>141</v>
      </c>
      <c r="K1553">
        <v>149.93</v>
      </c>
      <c r="L1553">
        <v>3</v>
      </c>
      <c r="M1553">
        <v>490.79</v>
      </c>
      <c r="N1553" t="s">
        <v>67</v>
      </c>
      <c r="O1553" t="s">
        <v>89</v>
      </c>
      <c r="P1553" t="s">
        <v>27</v>
      </c>
    </row>
    <row r="1554" spans="1:16" x14ac:dyDescent="0.25">
      <c r="A1554" t="s">
        <v>2247</v>
      </c>
      <c r="B1554" t="s">
        <v>2248</v>
      </c>
      <c r="C1554" s="5">
        <v>0.93680555555555556</v>
      </c>
      <c r="D1554" t="s">
        <v>16</v>
      </c>
      <c r="E1554" t="s">
        <v>451</v>
      </c>
      <c r="F1554" s="1"/>
      <c r="G1554">
        <v>2004</v>
      </c>
      <c r="H1554">
        <v>2</v>
      </c>
      <c r="I1554">
        <v>11</v>
      </c>
      <c r="J1554" t="s">
        <v>30</v>
      </c>
      <c r="K1554">
        <v>250.48</v>
      </c>
      <c r="L1554">
        <v>1</v>
      </c>
      <c r="M1554">
        <v>250.48</v>
      </c>
      <c r="N1554" t="s">
        <v>19</v>
      </c>
      <c r="O1554" t="s">
        <v>20</v>
      </c>
      <c r="P1554" t="s">
        <v>74</v>
      </c>
    </row>
    <row r="1555" spans="1:16" x14ac:dyDescent="0.25">
      <c r="A1555" t="s">
        <v>2249</v>
      </c>
      <c r="B1555" s="4">
        <v>45829</v>
      </c>
      <c r="C1555" s="2">
        <v>0.67361111111111116</v>
      </c>
      <c r="D1555" t="s">
        <v>16</v>
      </c>
      <c r="E1555" t="s">
        <v>144</v>
      </c>
      <c r="F1555" s="4"/>
      <c r="G1555">
        <v>2006</v>
      </c>
      <c r="H1555">
        <v>11</v>
      </c>
      <c r="I1555">
        <v>24</v>
      </c>
      <c r="J1555" t="s">
        <v>145</v>
      </c>
      <c r="K1555">
        <v>257.42</v>
      </c>
      <c r="L1555">
        <v>3</v>
      </c>
      <c r="M1555">
        <v>772.26</v>
      </c>
      <c r="O1555" t="s">
        <v>26</v>
      </c>
      <c r="P1555" t="s">
        <v>74</v>
      </c>
    </row>
    <row r="1556" spans="1:16" x14ac:dyDescent="0.25">
      <c r="A1556" t="s">
        <v>2250</v>
      </c>
      <c r="B1556" s="1">
        <v>45843</v>
      </c>
      <c r="C1556" s="3">
        <v>0.77958333333333329</v>
      </c>
      <c r="D1556" t="s">
        <v>16</v>
      </c>
      <c r="E1556" t="s">
        <v>387</v>
      </c>
      <c r="F1556" s="4"/>
      <c r="G1556">
        <v>1993</v>
      </c>
      <c r="H1556">
        <v>12</v>
      </c>
      <c r="I1556">
        <v>6</v>
      </c>
      <c r="J1556" t="s">
        <v>213</v>
      </c>
      <c r="K1556">
        <v>119.35</v>
      </c>
      <c r="L1556">
        <v>2</v>
      </c>
      <c r="M1556">
        <v>238.7</v>
      </c>
      <c r="N1556" t="s">
        <v>19</v>
      </c>
      <c r="O1556" t="s">
        <v>26</v>
      </c>
      <c r="P1556" t="s">
        <v>56</v>
      </c>
    </row>
    <row r="1557" spans="1:16" x14ac:dyDescent="0.25">
      <c r="A1557" t="s">
        <v>2251</v>
      </c>
      <c r="B1557" s="4">
        <v>45778</v>
      </c>
      <c r="C1557" s="2">
        <v>0.96597222222222223</v>
      </c>
      <c r="D1557" t="s">
        <v>16</v>
      </c>
      <c r="E1557" t="s">
        <v>712</v>
      </c>
      <c r="F1557" s="4"/>
      <c r="G1557">
        <v>2008</v>
      </c>
      <c r="H1557">
        <v>1</v>
      </c>
      <c r="I1557">
        <v>15</v>
      </c>
      <c r="J1557" t="s">
        <v>104</v>
      </c>
      <c r="K1557">
        <v>241.14</v>
      </c>
      <c r="L1557">
        <v>2</v>
      </c>
      <c r="M1557">
        <v>482.28</v>
      </c>
      <c r="N1557" t="s">
        <v>54</v>
      </c>
      <c r="O1557" t="s">
        <v>47</v>
      </c>
      <c r="P1557" t="s">
        <v>56</v>
      </c>
    </row>
    <row r="1558" spans="1:16" x14ac:dyDescent="0.25">
      <c r="A1558" t="s">
        <v>2252</v>
      </c>
      <c r="B1558" s="4">
        <v>45742</v>
      </c>
      <c r="C1558" s="5">
        <v>0.99027777777777781</v>
      </c>
      <c r="D1558" t="s">
        <v>16</v>
      </c>
      <c r="E1558" t="s">
        <v>229</v>
      </c>
      <c r="G1558">
        <v>1995</v>
      </c>
      <c r="H1558">
        <v>8</v>
      </c>
      <c r="I1558">
        <v>11</v>
      </c>
      <c r="J1558" t="s">
        <v>60</v>
      </c>
      <c r="K1558">
        <v>119.36</v>
      </c>
      <c r="L1558">
        <v>0</v>
      </c>
      <c r="M1558">
        <v>0</v>
      </c>
      <c r="N1558" t="s">
        <v>41</v>
      </c>
      <c r="O1558" t="s">
        <v>32</v>
      </c>
    </row>
    <row r="1559" spans="1:16" x14ac:dyDescent="0.25">
      <c r="A1559" t="s">
        <v>2253</v>
      </c>
      <c r="B1559" s="4">
        <v>45717</v>
      </c>
      <c r="C1559" s="5">
        <v>0.61875000000000002</v>
      </c>
      <c r="D1559" t="s">
        <v>16</v>
      </c>
      <c r="E1559" t="s">
        <v>173</v>
      </c>
      <c r="F1559" s="4"/>
      <c r="G1559">
        <v>1982</v>
      </c>
      <c r="H1559">
        <v>7</v>
      </c>
      <c r="I1559">
        <v>28</v>
      </c>
      <c r="J1559" t="s">
        <v>73</v>
      </c>
      <c r="K1559">
        <v>46.01</v>
      </c>
      <c r="L1559">
        <v>3</v>
      </c>
      <c r="M1559">
        <v>138.03</v>
      </c>
      <c r="N1559" t="s">
        <v>31</v>
      </c>
      <c r="O1559" t="s">
        <v>47</v>
      </c>
      <c r="P1559" t="s">
        <v>27</v>
      </c>
    </row>
    <row r="1560" spans="1:16" x14ac:dyDescent="0.25">
      <c r="A1560" t="s">
        <v>2254</v>
      </c>
      <c r="B1560" s="4">
        <v>45828</v>
      </c>
      <c r="C1560" s="5">
        <v>0.79722222222222228</v>
      </c>
      <c r="D1560" t="s">
        <v>16</v>
      </c>
      <c r="E1560" t="s">
        <v>594</v>
      </c>
      <c r="F1560" s="4"/>
      <c r="G1560">
        <v>2007</v>
      </c>
      <c r="H1560">
        <v>5</v>
      </c>
      <c r="I1560">
        <v>5</v>
      </c>
      <c r="J1560" t="s">
        <v>110</v>
      </c>
      <c r="K1560">
        <v>112.34</v>
      </c>
      <c r="L1560">
        <v>3</v>
      </c>
      <c r="M1560">
        <v>337.02</v>
      </c>
      <c r="N1560" t="s">
        <v>67</v>
      </c>
      <c r="O1560" t="s">
        <v>61</v>
      </c>
      <c r="P1560" t="s">
        <v>27</v>
      </c>
    </row>
    <row r="1561" spans="1:16" x14ac:dyDescent="0.25">
      <c r="A1561" t="s">
        <v>2255</v>
      </c>
      <c r="B1561" s="4">
        <v>45677</v>
      </c>
      <c r="C1561" s="2">
        <v>0.56388888888888888</v>
      </c>
      <c r="D1561" t="s">
        <v>16</v>
      </c>
      <c r="E1561" t="s">
        <v>360</v>
      </c>
      <c r="J1561" t="s">
        <v>36</v>
      </c>
      <c r="K1561">
        <v>111.49</v>
      </c>
      <c r="L1561">
        <v>1</v>
      </c>
      <c r="M1561">
        <v>111.49</v>
      </c>
      <c r="N1561" t="s">
        <v>54</v>
      </c>
      <c r="O1561" t="s">
        <v>47</v>
      </c>
      <c r="P1561" t="s">
        <v>105</v>
      </c>
    </row>
    <row r="1562" spans="1:16" x14ac:dyDescent="0.25">
      <c r="A1562" t="s">
        <v>2256</v>
      </c>
      <c r="B1562" s="4">
        <v>45775</v>
      </c>
      <c r="C1562" s="2">
        <v>0.4548611111111111</v>
      </c>
      <c r="D1562" t="s">
        <v>16</v>
      </c>
      <c r="E1562" t="s">
        <v>76</v>
      </c>
      <c r="F1562" s="4"/>
      <c r="G1562">
        <v>1975</v>
      </c>
      <c r="H1562">
        <v>12</v>
      </c>
      <c r="I1562">
        <v>25</v>
      </c>
      <c r="J1562" t="s">
        <v>73</v>
      </c>
      <c r="K1562">
        <v>36.020000000000003</v>
      </c>
      <c r="L1562">
        <v>2</v>
      </c>
      <c r="M1562">
        <v>72.040000000000006</v>
      </c>
      <c r="N1562" t="s">
        <v>41</v>
      </c>
      <c r="O1562" t="s">
        <v>26</v>
      </c>
    </row>
    <row r="1563" spans="1:16" x14ac:dyDescent="0.25">
      <c r="A1563" t="s">
        <v>2257</v>
      </c>
      <c r="B1563" s="4">
        <v>45921</v>
      </c>
      <c r="C1563" s="2">
        <v>0.80833333333333335</v>
      </c>
      <c r="D1563" t="s">
        <v>16</v>
      </c>
      <c r="E1563" t="s">
        <v>346</v>
      </c>
      <c r="F1563" s="4"/>
      <c r="G1563">
        <v>1994</v>
      </c>
      <c r="H1563">
        <v>5</v>
      </c>
      <c r="I1563">
        <v>3</v>
      </c>
      <c r="J1563" t="s">
        <v>40</v>
      </c>
      <c r="K1563">
        <v>236.15</v>
      </c>
      <c r="L1563">
        <v>1</v>
      </c>
      <c r="M1563">
        <v>236.15</v>
      </c>
      <c r="N1563" t="s">
        <v>19</v>
      </c>
      <c r="O1563" t="s">
        <v>26</v>
      </c>
      <c r="P1563" t="s">
        <v>56</v>
      </c>
    </row>
    <row r="1564" spans="1:16" x14ac:dyDescent="0.25">
      <c r="A1564" t="s">
        <v>2258</v>
      </c>
      <c r="B1564" t="s">
        <v>2259</v>
      </c>
      <c r="C1564" s="3">
        <v>0.4440277777777778</v>
      </c>
      <c r="D1564" t="s">
        <v>16</v>
      </c>
      <c r="E1564" t="s">
        <v>699</v>
      </c>
      <c r="J1564" t="s">
        <v>60</v>
      </c>
      <c r="K1564">
        <v>210.84</v>
      </c>
      <c r="L1564">
        <v>1</v>
      </c>
      <c r="M1564">
        <v>210.84</v>
      </c>
      <c r="N1564" t="s">
        <v>31</v>
      </c>
      <c r="O1564" t="s">
        <v>37</v>
      </c>
      <c r="P1564" t="s">
        <v>48</v>
      </c>
    </row>
    <row r="1565" spans="1:16" x14ac:dyDescent="0.25">
      <c r="A1565" t="s">
        <v>2260</v>
      </c>
      <c r="B1565" s="4">
        <v>45963</v>
      </c>
      <c r="C1565" s="2">
        <v>0.99375000000000002</v>
      </c>
      <c r="D1565" t="s">
        <v>16</v>
      </c>
      <c r="E1565" t="s">
        <v>88</v>
      </c>
      <c r="F1565" s="4"/>
      <c r="G1565">
        <v>1991</v>
      </c>
      <c r="H1565">
        <v>6</v>
      </c>
      <c r="I1565">
        <v>12</v>
      </c>
      <c r="J1565" t="s">
        <v>126</v>
      </c>
      <c r="K1565">
        <v>155.69</v>
      </c>
      <c r="L1565">
        <v>1</v>
      </c>
      <c r="M1565">
        <v>155.69</v>
      </c>
      <c r="N1565" t="s">
        <v>67</v>
      </c>
      <c r="O1565" t="s">
        <v>32</v>
      </c>
      <c r="P1565" t="s">
        <v>33</v>
      </c>
    </row>
    <row r="1566" spans="1:16" x14ac:dyDescent="0.25">
      <c r="A1566" t="s">
        <v>2261</v>
      </c>
      <c r="B1566" s="4">
        <v>45907</v>
      </c>
      <c r="C1566" s="2">
        <v>0.56388888888888888</v>
      </c>
      <c r="D1566" t="s">
        <v>16</v>
      </c>
      <c r="E1566" t="s">
        <v>622</v>
      </c>
      <c r="G1566">
        <v>1998</v>
      </c>
      <c r="H1566">
        <v>11</v>
      </c>
      <c r="I1566">
        <v>1</v>
      </c>
      <c r="J1566" t="s">
        <v>36</v>
      </c>
      <c r="K1566">
        <v>132.52000000000001</v>
      </c>
      <c r="L1566">
        <v>3</v>
      </c>
      <c r="M1566">
        <v>412.56</v>
      </c>
      <c r="N1566" t="s">
        <v>41</v>
      </c>
      <c r="O1566" t="s">
        <v>32</v>
      </c>
    </row>
    <row r="1567" spans="1:16" x14ac:dyDescent="0.25">
      <c r="A1567" t="s">
        <v>2262</v>
      </c>
      <c r="B1567" s="4">
        <v>45941</v>
      </c>
      <c r="C1567" s="2">
        <v>0.82291666666666663</v>
      </c>
      <c r="D1567" t="s">
        <v>16</v>
      </c>
      <c r="E1567" t="s">
        <v>252</v>
      </c>
      <c r="F1567" s="1"/>
      <c r="G1567">
        <v>2000</v>
      </c>
      <c r="H1567">
        <v>4</v>
      </c>
      <c r="I1567">
        <v>25</v>
      </c>
      <c r="J1567" t="s">
        <v>60</v>
      </c>
      <c r="K1567">
        <v>199.02</v>
      </c>
      <c r="L1567">
        <v>1</v>
      </c>
      <c r="M1567" t="s">
        <v>2263</v>
      </c>
      <c r="N1567" t="s">
        <v>64</v>
      </c>
      <c r="O1567" t="s">
        <v>26</v>
      </c>
      <c r="P1567" t="s">
        <v>48</v>
      </c>
    </row>
    <row r="1568" spans="1:16" x14ac:dyDescent="0.25">
      <c r="A1568" t="s">
        <v>2264</v>
      </c>
      <c r="B1568" s="4">
        <v>45624</v>
      </c>
      <c r="C1568" s="2">
        <v>0.75416666666666665</v>
      </c>
      <c r="D1568" t="s">
        <v>16</v>
      </c>
      <c r="E1568" t="s">
        <v>131</v>
      </c>
      <c r="F1568" s="4"/>
      <c r="G1568">
        <v>1970</v>
      </c>
      <c r="H1568">
        <v>1</v>
      </c>
      <c r="I1568">
        <v>9</v>
      </c>
      <c r="J1568" t="s">
        <v>36</v>
      </c>
      <c r="K1568">
        <v>295.85000000000002</v>
      </c>
      <c r="L1568">
        <v>2</v>
      </c>
      <c r="M1568">
        <v>591.70000000000005</v>
      </c>
      <c r="N1568" t="s">
        <v>31</v>
      </c>
      <c r="O1568" t="s">
        <v>37</v>
      </c>
      <c r="P1568" t="s">
        <v>56</v>
      </c>
    </row>
    <row r="1569" spans="1:16" x14ac:dyDescent="0.25">
      <c r="A1569" t="s">
        <v>2265</v>
      </c>
      <c r="B1569" s="1">
        <v>45801</v>
      </c>
      <c r="C1569" s="5">
        <v>0.58750000000000002</v>
      </c>
      <c r="D1569" t="s">
        <v>16</v>
      </c>
      <c r="E1569" t="s">
        <v>79</v>
      </c>
      <c r="F1569" s="1"/>
      <c r="G1569">
        <v>1973</v>
      </c>
      <c r="H1569">
        <v>10</v>
      </c>
      <c r="I1569">
        <v>7</v>
      </c>
      <c r="J1569" t="s">
        <v>213</v>
      </c>
      <c r="K1569">
        <v>219.6</v>
      </c>
      <c r="L1569">
        <v>3</v>
      </c>
      <c r="M1569">
        <v>658.8</v>
      </c>
      <c r="N1569" t="s">
        <v>41</v>
      </c>
      <c r="O1569" t="s">
        <v>20</v>
      </c>
      <c r="P1569" t="s">
        <v>21</v>
      </c>
    </row>
    <row r="1570" spans="1:16" x14ac:dyDescent="0.25">
      <c r="A1570" t="s">
        <v>2266</v>
      </c>
      <c r="B1570" t="s">
        <v>1689</v>
      </c>
      <c r="C1570" s="2">
        <v>0.9</v>
      </c>
      <c r="D1570" t="s">
        <v>16</v>
      </c>
      <c r="E1570" t="s">
        <v>664</v>
      </c>
      <c r="J1570" t="s">
        <v>73</v>
      </c>
      <c r="K1570">
        <v>45.1</v>
      </c>
      <c r="L1570">
        <v>1</v>
      </c>
      <c r="M1570">
        <v>45.1</v>
      </c>
      <c r="N1570" t="s">
        <v>67</v>
      </c>
      <c r="O1570" t="s">
        <v>20</v>
      </c>
    </row>
    <row r="1571" spans="1:16" x14ac:dyDescent="0.25">
      <c r="A1571" t="s">
        <v>2267</v>
      </c>
      <c r="B1571" s="4">
        <v>45774</v>
      </c>
      <c r="C1571" s="5">
        <v>0.59583333333333333</v>
      </c>
      <c r="D1571" t="s">
        <v>16</v>
      </c>
      <c r="E1571" t="s">
        <v>2268</v>
      </c>
      <c r="F1571" s="4"/>
      <c r="G1571">
        <v>2008</v>
      </c>
      <c r="H1571">
        <v>11</v>
      </c>
      <c r="I1571">
        <v>2</v>
      </c>
      <c r="J1571" t="s">
        <v>129</v>
      </c>
      <c r="K1571">
        <v>202.41</v>
      </c>
      <c r="L1571">
        <v>1</v>
      </c>
      <c r="M1571">
        <v>202.41</v>
      </c>
      <c r="N1571" t="s">
        <v>41</v>
      </c>
      <c r="O1571" t="s">
        <v>32</v>
      </c>
    </row>
    <row r="1572" spans="1:16" x14ac:dyDescent="0.25">
      <c r="A1572" t="s">
        <v>2269</v>
      </c>
      <c r="B1572" s="4">
        <v>45868</v>
      </c>
      <c r="C1572" s="5">
        <v>0.89722222222222225</v>
      </c>
      <c r="D1572" t="s">
        <v>16</v>
      </c>
      <c r="E1572" t="s">
        <v>562</v>
      </c>
      <c r="F1572" s="4"/>
      <c r="G1572">
        <v>1973</v>
      </c>
      <c r="H1572">
        <v>6</v>
      </c>
      <c r="I1572">
        <v>19</v>
      </c>
      <c r="J1572" t="s">
        <v>40</v>
      </c>
      <c r="K1572">
        <v>181.86</v>
      </c>
      <c r="L1572">
        <v>2</v>
      </c>
      <c r="M1572">
        <v>363.72</v>
      </c>
      <c r="N1572" t="s">
        <v>41</v>
      </c>
      <c r="O1572" t="s">
        <v>26</v>
      </c>
    </row>
    <row r="1573" spans="1:16" x14ac:dyDescent="0.25">
      <c r="A1573" t="s">
        <v>2270</v>
      </c>
      <c r="B1573" s="1">
        <v>45718</v>
      </c>
      <c r="C1573" s="2">
        <v>0.51111111111111107</v>
      </c>
      <c r="D1573" t="s">
        <v>16</v>
      </c>
      <c r="E1573" t="s">
        <v>82</v>
      </c>
      <c r="G1573">
        <v>1980</v>
      </c>
      <c r="H1573">
        <v>1</v>
      </c>
      <c r="I1573">
        <v>5</v>
      </c>
      <c r="J1573" t="s">
        <v>85</v>
      </c>
      <c r="K1573">
        <v>257.64999999999998</v>
      </c>
      <c r="L1573">
        <v>1</v>
      </c>
      <c r="M1573">
        <v>257.64999999999998</v>
      </c>
      <c r="N1573" t="s">
        <v>25</v>
      </c>
      <c r="O1573" t="s">
        <v>32</v>
      </c>
      <c r="P1573" t="s">
        <v>74</v>
      </c>
    </row>
    <row r="1574" spans="1:16" x14ac:dyDescent="0.25">
      <c r="A1574" t="s">
        <v>2271</v>
      </c>
      <c r="B1574" s="4">
        <v>45687</v>
      </c>
      <c r="C1574" s="5">
        <v>0.42569444444444443</v>
      </c>
      <c r="D1574" t="s">
        <v>16</v>
      </c>
      <c r="E1574" t="s">
        <v>2272</v>
      </c>
      <c r="F1574" s="4"/>
      <c r="G1574">
        <v>1977</v>
      </c>
      <c r="H1574">
        <v>4</v>
      </c>
      <c r="I1574">
        <v>3</v>
      </c>
      <c r="J1574" t="s">
        <v>243</v>
      </c>
      <c r="L1574">
        <v>3</v>
      </c>
      <c r="N1574" t="s">
        <v>41</v>
      </c>
      <c r="O1574" t="s">
        <v>37</v>
      </c>
    </row>
    <row r="1575" spans="1:16" x14ac:dyDescent="0.25">
      <c r="A1575" t="s">
        <v>2273</v>
      </c>
      <c r="C1575" s="5">
        <v>0.83888888888888891</v>
      </c>
      <c r="D1575" t="s">
        <v>16</v>
      </c>
      <c r="E1575" t="s">
        <v>76</v>
      </c>
      <c r="F1575" s="1"/>
      <c r="G1575">
        <v>2000</v>
      </c>
      <c r="H1575">
        <v>10</v>
      </c>
      <c r="I1575">
        <v>19</v>
      </c>
      <c r="J1575" t="s">
        <v>36</v>
      </c>
      <c r="K1575" t="s">
        <v>2274</v>
      </c>
      <c r="L1575">
        <v>2</v>
      </c>
      <c r="M1575">
        <v>268.32</v>
      </c>
      <c r="N1575" t="s">
        <v>41</v>
      </c>
      <c r="O1575" t="s">
        <v>61</v>
      </c>
      <c r="P1575" t="s">
        <v>74</v>
      </c>
    </row>
    <row r="1576" spans="1:16" x14ac:dyDescent="0.25">
      <c r="A1576" t="s">
        <v>2275</v>
      </c>
      <c r="B1576" t="s">
        <v>100</v>
      </c>
      <c r="C1576" s="3">
        <v>0.75071759259259263</v>
      </c>
      <c r="D1576" t="s">
        <v>16</v>
      </c>
      <c r="E1576" t="s">
        <v>246</v>
      </c>
      <c r="F1576" s="4"/>
      <c r="G1576">
        <v>1990</v>
      </c>
      <c r="H1576">
        <v>1</v>
      </c>
      <c r="I1576">
        <v>22</v>
      </c>
      <c r="J1576" t="s">
        <v>93</v>
      </c>
      <c r="K1576" t="s">
        <v>2276</v>
      </c>
      <c r="L1576">
        <v>2</v>
      </c>
      <c r="M1576">
        <v>456.34</v>
      </c>
      <c r="N1576" t="s">
        <v>67</v>
      </c>
      <c r="O1576" t="s">
        <v>37</v>
      </c>
      <c r="P1576" t="s">
        <v>33</v>
      </c>
    </row>
    <row r="1577" spans="1:16" x14ac:dyDescent="0.25">
      <c r="A1577" t="s">
        <v>2277</v>
      </c>
      <c r="B1577" s="1">
        <v>45899</v>
      </c>
      <c r="C1577" s="3">
        <v>0.55077546296296298</v>
      </c>
      <c r="D1577" t="s">
        <v>16</v>
      </c>
      <c r="E1577" t="s">
        <v>622</v>
      </c>
      <c r="F1577" s="4"/>
      <c r="G1577">
        <v>2009</v>
      </c>
      <c r="H1577">
        <v>11</v>
      </c>
      <c r="I1577">
        <v>16</v>
      </c>
      <c r="J1577" t="s">
        <v>116</v>
      </c>
      <c r="K1577">
        <v>200.76</v>
      </c>
      <c r="L1577">
        <v>2</v>
      </c>
      <c r="M1577">
        <v>401.52</v>
      </c>
      <c r="N1577" t="s">
        <v>67</v>
      </c>
      <c r="O1577" t="s">
        <v>55</v>
      </c>
      <c r="P1577" t="s">
        <v>33</v>
      </c>
    </row>
    <row r="1578" spans="1:16" x14ac:dyDescent="0.25">
      <c r="A1578" t="s">
        <v>2278</v>
      </c>
      <c r="B1578" s="1">
        <v>45870</v>
      </c>
      <c r="C1578" s="5">
        <v>0.76736111111111116</v>
      </c>
      <c r="D1578" t="s">
        <v>16</v>
      </c>
      <c r="E1578" t="s">
        <v>232</v>
      </c>
      <c r="F1578" s="1"/>
      <c r="G1578">
        <v>1981</v>
      </c>
      <c r="H1578">
        <v>12</v>
      </c>
      <c r="I1578">
        <v>27</v>
      </c>
      <c r="J1578" t="s">
        <v>259</v>
      </c>
      <c r="K1578">
        <v>159.04</v>
      </c>
      <c r="L1578">
        <v>1</v>
      </c>
      <c r="M1578">
        <v>159.04</v>
      </c>
      <c r="N1578" t="s">
        <v>19</v>
      </c>
      <c r="O1578" t="s">
        <v>26</v>
      </c>
    </row>
    <row r="1579" spans="1:16" x14ac:dyDescent="0.25">
      <c r="A1579" t="s">
        <v>2279</v>
      </c>
      <c r="B1579" s="1">
        <v>45887</v>
      </c>
      <c r="C1579" s="5">
        <v>0.5854166666666667</v>
      </c>
      <c r="D1579" t="s">
        <v>16</v>
      </c>
      <c r="E1579" t="s">
        <v>101</v>
      </c>
      <c r="F1579" s="1"/>
      <c r="G1579">
        <v>2008</v>
      </c>
      <c r="H1579">
        <v>5</v>
      </c>
      <c r="I1579">
        <v>6</v>
      </c>
      <c r="J1579" t="s">
        <v>53</v>
      </c>
      <c r="K1579">
        <v>100.25</v>
      </c>
      <c r="L1579">
        <v>3</v>
      </c>
      <c r="M1579">
        <v>300.75</v>
      </c>
      <c r="N1579" t="s">
        <v>41</v>
      </c>
      <c r="O1579" t="s">
        <v>61</v>
      </c>
    </row>
    <row r="1580" spans="1:16" x14ac:dyDescent="0.25">
      <c r="A1580" t="s">
        <v>2280</v>
      </c>
      <c r="B1580" t="s">
        <v>1563</v>
      </c>
      <c r="C1580" s="3">
        <v>0.7212615740740741</v>
      </c>
      <c r="D1580" t="s">
        <v>16</v>
      </c>
      <c r="E1580" t="s">
        <v>240</v>
      </c>
      <c r="F1580" s="4"/>
      <c r="G1580">
        <v>1978</v>
      </c>
      <c r="H1580">
        <v>8</v>
      </c>
      <c r="I1580">
        <v>8</v>
      </c>
      <c r="J1580" t="s">
        <v>129</v>
      </c>
      <c r="K1580">
        <v>177.23</v>
      </c>
      <c r="L1580">
        <v>2</v>
      </c>
      <c r="M1580">
        <v>354.46</v>
      </c>
      <c r="O1580" t="s">
        <v>55</v>
      </c>
    </row>
    <row r="1581" spans="1:16" x14ac:dyDescent="0.25">
      <c r="A1581" t="s">
        <v>2281</v>
      </c>
      <c r="B1581" s="4">
        <v>45924</v>
      </c>
      <c r="C1581" s="2">
        <v>0.74791666666666667</v>
      </c>
      <c r="D1581" t="s">
        <v>16</v>
      </c>
      <c r="E1581" t="s">
        <v>351</v>
      </c>
      <c r="F1581" s="4"/>
      <c r="G1581">
        <v>1983</v>
      </c>
      <c r="H1581">
        <v>1</v>
      </c>
      <c r="I1581">
        <v>1</v>
      </c>
      <c r="J1581" t="s">
        <v>116</v>
      </c>
      <c r="K1581">
        <v>359</v>
      </c>
      <c r="L1581">
        <v>1</v>
      </c>
      <c r="M1581">
        <v>359</v>
      </c>
      <c r="N1581" t="s">
        <v>64</v>
      </c>
      <c r="O1581" t="s">
        <v>37</v>
      </c>
      <c r="P1581" t="s">
        <v>56</v>
      </c>
    </row>
    <row r="1582" spans="1:16" x14ac:dyDescent="0.25">
      <c r="A1582" t="s">
        <v>2282</v>
      </c>
      <c r="B1582" s="1">
        <v>45670</v>
      </c>
      <c r="C1582" s="3">
        <v>0.85719907407407403</v>
      </c>
      <c r="D1582" t="s">
        <v>16</v>
      </c>
      <c r="E1582" t="s">
        <v>475</v>
      </c>
      <c r="F1582" s="4"/>
      <c r="G1582">
        <v>1979</v>
      </c>
      <c r="H1582">
        <v>12</v>
      </c>
      <c r="I1582">
        <v>9</v>
      </c>
      <c r="J1582" t="s">
        <v>199</v>
      </c>
      <c r="K1582">
        <v>178.64</v>
      </c>
      <c r="L1582">
        <v>2</v>
      </c>
      <c r="M1582">
        <v>357.28</v>
      </c>
      <c r="N1582" t="s">
        <v>19</v>
      </c>
      <c r="O1582" t="s">
        <v>89</v>
      </c>
    </row>
    <row r="1583" spans="1:16" x14ac:dyDescent="0.25">
      <c r="A1583" t="s">
        <v>2283</v>
      </c>
      <c r="B1583" t="s">
        <v>2284</v>
      </c>
      <c r="C1583" s="5">
        <v>0.71805555555555556</v>
      </c>
      <c r="D1583" t="s">
        <v>16</v>
      </c>
      <c r="E1583" t="s">
        <v>919</v>
      </c>
      <c r="F1583" s="4"/>
      <c r="G1583">
        <v>1980</v>
      </c>
      <c r="H1583">
        <v>2</v>
      </c>
      <c r="I1583">
        <v>24</v>
      </c>
      <c r="J1583" t="s">
        <v>24</v>
      </c>
      <c r="K1583" t="s">
        <v>2285</v>
      </c>
      <c r="L1583">
        <v>3</v>
      </c>
      <c r="M1583">
        <v>684.96</v>
      </c>
      <c r="N1583" t="s">
        <v>64</v>
      </c>
      <c r="O1583" t="s">
        <v>89</v>
      </c>
      <c r="P1583" t="s">
        <v>48</v>
      </c>
    </row>
    <row r="1584" spans="1:16" x14ac:dyDescent="0.25">
      <c r="A1584" t="s">
        <v>2286</v>
      </c>
      <c r="B1584" s="4">
        <v>45959</v>
      </c>
      <c r="C1584" s="3">
        <v>0.67820601851851847</v>
      </c>
      <c r="D1584" t="s">
        <v>16</v>
      </c>
      <c r="E1584" t="s">
        <v>540</v>
      </c>
      <c r="G1584">
        <v>1972</v>
      </c>
      <c r="H1584">
        <v>11</v>
      </c>
      <c r="I1584">
        <v>6</v>
      </c>
      <c r="J1584" t="s">
        <v>24</v>
      </c>
      <c r="K1584">
        <v>288.5</v>
      </c>
      <c r="L1584">
        <v>2</v>
      </c>
      <c r="M1584">
        <v>577</v>
      </c>
      <c r="O1584" t="s">
        <v>37</v>
      </c>
      <c r="P1584" t="s">
        <v>74</v>
      </c>
    </row>
    <row r="1585" spans="1:16" x14ac:dyDescent="0.25">
      <c r="A1585" t="s">
        <v>2287</v>
      </c>
      <c r="B1585" t="s">
        <v>2288</v>
      </c>
      <c r="C1585" s="3">
        <v>0.6347800925925926</v>
      </c>
      <c r="D1585" t="s">
        <v>16</v>
      </c>
      <c r="E1585" t="s">
        <v>109</v>
      </c>
      <c r="F1585" s="1"/>
      <c r="G1585">
        <v>1972</v>
      </c>
      <c r="H1585">
        <v>8</v>
      </c>
      <c r="I1585">
        <v>27</v>
      </c>
      <c r="J1585" t="s">
        <v>243</v>
      </c>
      <c r="K1585">
        <v>118.1</v>
      </c>
      <c r="L1585">
        <v>3</v>
      </c>
      <c r="M1585">
        <v>354.3</v>
      </c>
      <c r="N1585" t="s">
        <v>25</v>
      </c>
      <c r="O1585" t="s">
        <v>37</v>
      </c>
    </row>
    <row r="1586" spans="1:16" x14ac:dyDescent="0.25">
      <c r="A1586" t="s">
        <v>2289</v>
      </c>
      <c r="B1586" t="s">
        <v>255</v>
      </c>
      <c r="C1586" s="2">
        <v>0.93402777777777779</v>
      </c>
      <c r="D1586" t="s">
        <v>16</v>
      </c>
      <c r="E1586" t="s">
        <v>1427</v>
      </c>
      <c r="F1586" s="4"/>
      <c r="G1586">
        <v>1983</v>
      </c>
      <c r="H1586">
        <v>9</v>
      </c>
      <c r="I1586">
        <v>25</v>
      </c>
      <c r="J1586" t="s">
        <v>202</v>
      </c>
      <c r="K1586">
        <v>246.52</v>
      </c>
      <c r="L1586">
        <v>1</v>
      </c>
      <c r="M1586">
        <v>246.52</v>
      </c>
      <c r="N1586" t="s">
        <v>25</v>
      </c>
      <c r="O1586" t="s">
        <v>89</v>
      </c>
    </row>
    <row r="1587" spans="1:16" x14ac:dyDescent="0.25">
      <c r="A1587" t="s">
        <v>2290</v>
      </c>
      <c r="B1587" s="4">
        <v>45632</v>
      </c>
      <c r="C1587" s="3">
        <v>0.84115740740740741</v>
      </c>
      <c r="D1587" t="s">
        <v>16</v>
      </c>
      <c r="E1587" t="s">
        <v>169</v>
      </c>
      <c r="G1587">
        <v>1972</v>
      </c>
      <c r="H1587">
        <v>5</v>
      </c>
      <c r="I1587">
        <v>28</v>
      </c>
      <c r="J1587" t="s">
        <v>129</v>
      </c>
      <c r="K1587">
        <v>194.48</v>
      </c>
      <c r="L1587">
        <v>2</v>
      </c>
      <c r="M1587">
        <v>388.96</v>
      </c>
      <c r="N1587" t="s">
        <v>31</v>
      </c>
      <c r="O1587" t="s">
        <v>55</v>
      </c>
      <c r="P1587" t="s">
        <v>48</v>
      </c>
    </row>
    <row r="1588" spans="1:16" x14ac:dyDescent="0.25">
      <c r="A1588" t="s">
        <v>2291</v>
      </c>
      <c r="B1588" s="4">
        <v>45859</v>
      </c>
      <c r="C1588" s="3">
        <v>0.42336805555555557</v>
      </c>
      <c r="D1588" t="s">
        <v>16</v>
      </c>
      <c r="E1588" t="s">
        <v>181</v>
      </c>
      <c r="F1588" s="1"/>
      <c r="G1588">
        <v>1972</v>
      </c>
      <c r="H1588">
        <v>5</v>
      </c>
      <c r="I1588">
        <v>7</v>
      </c>
      <c r="J1588" t="s">
        <v>24</v>
      </c>
      <c r="K1588">
        <v>223.67</v>
      </c>
      <c r="L1588">
        <v>2</v>
      </c>
      <c r="M1588">
        <v>447.34</v>
      </c>
      <c r="N1588" t="s">
        <v>64</v>
      </c>
      <c r="O1588" t="s">
        <v>20</v>
      </c>
      <c r="P1588" t="s">
        <v>105</v>
      </c>
    </row>
    <row r="1589" spans="1:16" x14ac:dyDescent="0.25">
      <c r="A1589" t="s">
        <v>2292</v>
      </c>
      <c r="B1589" s="1">
        <v>45767</v>
      </c>
      <c r="C1589" s="2">
        <v>0.96180555555555558</v>
      </c>
      <c r="D1589" t="s">
        <v>16</v>
      </c>
      <c r="E1589" t="s">
        <v>154</v>
      </c>
      <c r="F1589" s="4"/>
      <c r="G1589">
        <v>1995</v>
      </c>
      <c r="H1589">
        <v>12</v>
      </c>
      <c r="I1589">
        <v>8</v>
      </c>
      <c r="J1589" t="s">
        <v>164</v>
      </c>
      <c r="K1589">
        <v>339.85</v>
      </c>
      <c r="L1589">
        <v>3</v>
      </c>
      <c r="M1589">
        <v>1019.55</v>
      </c>
      <c r="N1589" t="s">
        <v>41</v>
      </c>
      <c r="O1589" t="s">
        <v>37</v>
      </c>
      <c r="P1589" t="s">
        <v>27</v>
      </c>
    </row>
    <row r="1590" spans="1:16" x14ac:dyDescent="0.25">
      <c r="A1590" t="s">
        <v>2293</v>
      </c>
      <c r="B1590" s="1">
        <v>45927</v>
      </c>
      <c r="C1590" s="5">
        <v>0.56527777777777777</v>
      </c>
      <c r="D1590" t="s">
        <v>16</v>
      </c>
      <c r="E1590" t="s">
        <v>189</v>
      </c>
      <c r="G1590">
        <v>1994</v>
      </c>
      <c r="H1590">
        <v>2</v>
      </c>
      <c r="I1590">
        <v>16</v>
      </c>
      <c r="J1590" t="s">
        <v>145</v>
      </c>
      <c r="K1590" t="s">
        <v>2294</v>
      </c>
      <c r="L1590">
        <v>2</v>
      </c>
      <c r="M1590">
        <v>289.19</v>
      </c>
      <c r="N1590" t="s">
        <v>67</v>
      </c>
      <c r="O1590" t="s">
        <v>61</v>
      </c>
    </row>
    <row r="1591" spans="1:16" x14ac:dyDescent="0.25">
      <c r="A1591" t="s">
        <v>2295</v>
      </c>
      <c r="B1591" s="4">
        <v>45728</v>
      </c>
      <c r="C1591" s="2">
        <v>0.66180555555555554</v>
      </c>
      <c r="D1591" t="s">
        <v>16</v>
      </c>
      <c r="E1591" t="s">
        <v>328</v>
      </c>
      <c r="F1591" s="4"/>
      <c r="G1591">
        <v>2003</v>
      </c>
      <c r="H1591">
        <v>1</v>
      </c>
      <c r="I1591">
        <v>18</v>
      </c>
      <c r="J1591" t="s">
        <v>199</v>
      </c>
      <c r="K1591">
        <v>166.45</v>
      </c>
      <c r="L1591">
        <v>1</v>
      </c>
      <c r="M1591">
        <v>166.45</v>
      </c>
      <c r="N1591" t="s">
        <v>41</v>
      </c>
      <c r="O1591" t="s">
        <v>55</v>
      </c>
      <c r="P1591" t="s">
        <v>33</v>
      </c>
    </row>
    <row r="1592" spans="1:16" x14ac:dyDescent="0.25">
      <c r="A1592" t="s">
        <v>2296</v>
      </c>
      <c r="B1592" s="4">
        <v>45730</v>
      </c>
      <c r="C1592" s="5">
        <v>0.58958333333333335</v>
      </c>
      <c r="D1592" t="s">
        <v>16</v>
      </c>
      <c r="E1592" t="s">
        <v>425</v>
      </c>
      <c r="G1592">
        <v>2001</v>
      </c>
      <c r="H1592">
        <v>10</v>
      </c>
      <c r="I1592">
        <v>8</v>
      </c>
      <c r="J1592" t="s">
        <v>60</v>
      </c>
      <c r="K1592">
        <v>257.5</v>
      </c>
      <c r="L1592">
        <v>2</v>
      </c>
      <c r="M1592">
        <v>515</v>
      </c>
      <c r="N1592" t="s">
        <v>67</v>
      </c>
      <c r="O1592" t="s">
        <v>37</v>
      </c>
      <c r="P1592" t="s">
        <v>48</v>
      </c>
    </row>
    <row r="1593" spans="1:16" x14ac:dyDescent="0.25">
      <c r="A1593" t="s">
        <v>2297</v>
      </c>
      <c r="B1593" s="4">
        <v>45632</v>
      </c>
      <c r="C1593" s="5">
        <v>0.95694444444444449</v>
      </c>
      <c r="D1593" t="s">
        <v>16</v>
      </c>
      <c r="E1593" t="s">
        <v>332</v>
      </c>
      <c r="F1593" s="4"/>
      <c r="G1593">
        <v>1996</v>
      </c>
      <c r="H1593">
        <v>2</v>
      </c>
      <c r="I1593">
        <v>22</v>
      </c>
      <c r="J1593" t="s">
        <v>110</v>
      </c>
      <c r="K1593">
        <v>90.97</v>
      </c>
      <c r="L1593">
        <v>1</v>
      </c>
      <c r="M1593">
        <v>90.97</v>
      </c>
      <c r="N1593" t="s">
        <v>25</v>
      </c>
      <c r="O1593" t="s">
        <v>37</v>
      </c>
      <c r="P1593" t="s">
        <v>74</v>
      </c>
    </row>
    <row r="1594" spans="1:16" x14ac:dyDescent="0.25">
      <c r="A1594" t="s">
        <v>2298</v>
      </c>
      <c r="B1594" s="4">
        <v>45867</v>
      </c>
      <c r="C1594" s="2">
        <v>0.90625</v>
      </c>
      <c r="D1594" t="s">
        <v>16</v>
      </c>
      <c r="E1594" t="s">
        <v>82</v>
      </c>
      <c r="F1594" s="4"/>
      <c r="G1594">
        <v>1990</v>
      </c>
      <c r="H1594">
        <v>6</v>
      </c>
      <c r="I1594">
        <v>8</v>
      </c>
      <c r="J1594" t="s">
        <v>85</v>
      </c>
      <c r="K1594">
        <v>39.72</v>
      </c>
      <c r="L1594">
        <v>1</v>
      </c>
      <c r="M1594">
        <v>39.72</v>
      </c>
      <c r="N1594" t="s">
        <v>41</v>
      </c>
      <c r="O1594" t="s">
        <v>89</v>
      </c>
      <c r="P1594" t="s">
        <v>56</v>
      </c>
    </row>
    <row r="1595" spans="1:16" x14ac:dyDescent="0.25">
      <c r="A1595" t="s">
        <v>2299</v>
      </c>
      <c r="B1595" t="s">
        <v>150</v>
      </c>
      <c r="C1595" s="5">
        <v>0.70277777777777772</v>
      </c>
      <c r="D1595" t="s">
        <v>16</v>
      </c>
      <c r="E1595" t="s">
        <v>151</v>
      </c>
      <c r="F1595" s="4"/>
      <c r="G1595">
        <v>1979</v>
      </c>
      <c r="H1595">
        <v>11</v>
      </c>
      <c r="I1595">
        <v>19</v>
      </c>
      <c r="J1595" t="s">
        <v>145</v>
      </c>
      <c r="K1595">
        <v>211.28</v>
      </c>
      <c r="L1595">
        <v>1</v>
      </c>
      <c r="M1595">
        <v>211.28</v>
      </c>
      <c r="N1595" t="s">
        <v>64</v>
      </c>
      <c r="O1595" t="s">
        <v>32</v>
      </c>
      <c r="P1595" t="s">
        <v>105</v>
      </c>
    </row>
    <row r="1596" spans="1:16" x14ac:dyDescent="0.25">
      <c r="A1596" t="s">
        <v>2300</v>
      </c>
      <c r="B1596" t="s">
        <v>2301</v>
      </c>
      <c r="C1596" s="2">
        <v>0.82222222222222219</v>
      </c>
      <c r="D1596" t="s">
        <v>16</v>
      </c>
      <c r="E1596" t="s">
        <v>147</v>
      </c>
      <c r="F1596" s="1"/>
      <c r="G1596">
        <v>1996</v>
      </c>
      <c r="H1596">
        <v>11</v>
      </c>
      <c r="I1596">
        <v>28</v>
      </c>
      <c r="J1596" t="s">
        <v>73</v>
      </c>
      <c r="K1596">
        <v>47.71</v>
      </c>
      <c r="L1596">
        <v>3</v>
      </c>
      <c r="M1596">
        <v>143.13</v>
      </c>
      <c r="N1596" t="s">
        <v>19</v>
      </c>
      <c r="O1596" t="s">
        <v>89</v>
      </c>
      <c r="P1596" t="s">
        <v>33</v>
      </c>
    </row>
    <row r="1597" spans="1:16" x14ac:dyDescent="0.25">
      <c r="A1597" t="s">
        <v>2302</v>
      </c>
      <c r="B1597" s="1">
        <v>45847</v>
      </c>
      <c r="C1597" s="3">
        <v>0.58105324074074072</v>
      </c>
      <c r="D1597" t="s">
        <v>16</v>
      </c>
      <c r="E1597" t="s">
        <v>471</v>
      </c>
      <c r="G1597">
        <v>1979</v>
      </c>
      <c r="H1597">
        <v>7</v>
      </c>
      <c r="I1597">
        <v>7</v>
      </c>
      <c r="J1597" t="s">
        <v>93</v>
      </c>
      <c r="K1597">
        <v>168.39</v>
      </c>
      <c r="L1597">
        <v>3</v>
      </c>
      <c r="M1597">
        <v>505.17</v>
      </c>
      <c r="N1597" t="s">
        <v>19</v>
      </c>
      <c r="O1597" t="s">
        <v>55</v>
      </c>
      <c r="P1597" t="s">
        <v>33</v>
      </c>
    </row>
    <row r="1598" spans="1:16" x14ac:dyDescent="0.25">
      <c r="A1598" t="s">
        <v>2303</v>
      </c>
      <c r="B1598" s="4">
        <v>45748</v>
      </c>
      <c r="C1598" s="5">
        <v>0.72222222222222221</v>
      </c>
      <c r="D1598" t="s">
        <v>16</v>
      </c>
      <c r="E1598" t="s">
        <v>128</v>
      </c>
      <c r="F1598" s="4"/>
      <c r="G1598">
        <v>1985</v>
      </c>
      <c r="H1598">
        <v>12</v>
      </c>
      <c r="I1598">
        <v>18</v>
      </c>
      <c r="J1598" t="s">
        <v>199</v>
      </c>
      <c r="K1598">
        <v>188.86</v>
      </c>
      <c r="L1598">
        <v>2</v>
      </c>
      <c r="M1598">
        <v>377.72</v>
      </c>
      <c r="O1598" t="s">
        <v>26</v>
      </c>
      <c r="P1598" t="s">
        <v>21</v>
      </c>
    </row>
    <row r="1599" spans="1:16" x14ac:dyDescent="0.25">
      <c r="A1599" t="s">
        <v>2304</v>
      </c>
      <c r="B1599" s="4">
        <v>45811</v>
      </c>
      <c r="C1599" s="3">
        <v>0.93212962962962964</v>
      </c>
      <c r="D1599" t="s">
        <v>16</v>
      </c>
      <c r="E1599" t="s">
        <v>494</v>
      </c>
      <c r="F1599" s="1"/>
      <c r="G1599">
        <v>1983</v>
      </c>
      <c r="H1599">
        <v>4</v>
      </c>
      <c r="I1599">
        <v>21</v>
      </c>
      <c r="J1599" t="s">
        <v>213</v>
      </c>
      <c r="K1599">
        <v>269.62</v>
      </c>
      <c r="L1599">
        <v>3</v>
      </c>
      <c r="M1599">
        <v>808.86</v>
      </c>
      <c r="N1599" t="s">
        <v>54</v>
      </c>
      <c r="O1599" t="s">
        <v>37</v>
      </c>
    </row>
    <row r="1600" spans="1:16" x14ac:dyDescent="0.25">
      <c r="A1600" t="s">
        <v>2305</v>
      </c>
      <c r="B1600" s="4">
        <v>45772</v>
      </c>
      <c r="C1600" s="2">
        <v>0.85763888888888884</v>
      </c>
      <c r="D1600" t="s">
        <v>16</v>
      </c>
      <c r="E1600" t="s">
        <v>494</v>
      </c>
      <c r="F1600" s="4"/>
      <c r="G1600">
        <v>2002</v>
      </c>
      <c r="H1600">
        <v>2</v>
      </c>
      <c r="I1600">
        <v>14</v>
      </c>
      <c r="J1600" t="s">
        <v>141</v>
      </c>
      <c r="K1600">
        <v>127.33</v>
      </c>
      <c r="L1600">
        <v>1</v>
      </c>
      <c r="M1600">
        <v>127.33</v>
      </c>
      <c r="N1600" t="s">
        <v>31</v>
      </c>
      <c r="O1600" t="s">
        <v>26</v>
      </c>
      <c r="P1600" t="s">
        <v>74</v>
      </c>
    </row>
    <row r="1601" spans="1:16" x14ac:dyDescent="0.25">
      <c r="A1601" t="s">
        <v>2306</v>
      </c>
      <c r="B1601" s="4">
        <v>45668</v>
      </c>
      <c r="C1601" s="5">
        <v>0.63680555555555551</v>
      </c>
      <c r="D1601" t="s">
        <v>16</v>
      </c>
      <c r="E1601" t="s">
        <v>88</v>
      </c>
      <c r="J1601" t="s">
        <v>77</v>
      </c>
      <c r="K1601">
        <v>122.15</v>
      </c>
      <c r="L1601">
        <v>3</v>
      </c>
      <c r="M1601" t="s">
        <v>2307</v>
      </c>
      <c r="N1601" t="s">
        <v>31</v>
      </c>
      <c r="O1601" t="s">
        <v>61</v>
      </c>
      <c r="P1601" t="s">
        <v>27</v>
      </c>
    </row>
    <row r="1602" spans="1:16" x14ac:dyDescent="0.25">
      <c r="A1602" t="s">
        <v>2308</v>
      </c>
      <c r="B1602" s="4">
        <v>45921</v>
      </c>
      <c r="C1602" s="5">
        <v>0.9604166666666667</v>
      </c>
      <c r="D1602" t="s">
        <v>16</v>
      </c>
      <c r="E1602" t="s">
        <v>338</v>
      </c>
      <c r="G1602">
        <v>2009</v>
      </c>
      <c r="H1602">
        <v>2</v>
      </c>
      <c r="I1602">
        <v>21</v>
      </c>
      <c r="J1602" t="s">
        <v>259</v>
      </c>
      <c r="K1602" t="s">
        <v>2309</v>
      </c>
      <c r="L1602">
        <v>1</v>
      </c>
      <c r="M1602">
        <v>232.56</v>
      </c>
      <c r="N1602" t="s">
        <v>19</v>
      </c>
      <c r="O1602" t="s">
        <v>61</v>
      </c>
      <c r="P1602" t="s">
        <v>56</v>
      </c>
    </row>
    <row r="1603" spans="1:16" x14ac:dyDescent="0.25">
      <c r="A1603" t="s">
        <v>2310</v>
      </c>
      <c r="B1603" s="1">
        <v>45784</v>
      </c>
      <c r="C1603" s="3">
        <v>0.70354166666666662</v>
      </c>
      <c r="D1603" t="s">
        <v>16</v>
      </c>
      <c r="E1603" t="s">
        <v>420</v>
      </c>
      <c r="G1603">
        <v>1987</v>
      </c>
      <c r="H1603">
        <v>1</v>
      </c>
      <c r="I1603">
        <v>8</v>
      </c>
      <c r="J1603" t="s">
        <v>40</v>
      </c>
      <c r="K1603">
        <v>190.4</v>
      </c>
      <c r="L1603">
        <v>1</v>
      </c>
      <c r="M1603">
        <v>190.4</v>
      </c>
      <c r="N1603" t="s">
        <v>31</v>
      </c>
      <c r="O1603" t="s">
        <v>55</v>
      </c>
      <c r="P1603" t="s">
        <v>33</v>
      </c>
    </row>
    <row r="1604" spans="1:16" x14ac:dyDescent="0.25">
      <c r="A1604" t="s">
        <v>2311</v>
      </c>
      <c r="B1604" s="1">
        <v>45877</v>
      </c>
      <c r="C1604" s="2">
        <v>0.52222222222222225</v>
      </c>
      <c r="D1604" t="s">
        <v>16</v>
      </c>
      <c r="E1604" t="s">
        <v>492</v>
      </c>
      <c r="G1604">
        <v>2009</v>
      </c>
      <c r="H1604">
        <v>10</v>
      </c>
      <c r="I1604">
        <v>14</v>
      </c>
      <c r="J1604" t="s">
        <v>45</v>
      </c>
      <c r="K1604">
        <v>211.07</v>
      </c>
      <c r="L1604">
        <v>3</v>
      </c>
      <c r="M1604">
        <v>633.21</v>
      </c>
      <c r="N1604" t="s">
        <v>41</v>
      </c>
      <c r="O1604" t="s">
        <v>37</v>
      </c>
      <c r="P1604" t="s">
        <v>56</v>
      </c>
    </row>
    <row r="1605" spans="1:16" x14ac:dyDescent="0.25">
      <c r="A1605" t="s">
        <v>2312</v>
      </c>
      <c r="B1605" s="1">
        <v>45981</v>
      </c>
      <c r="C1605" s="3">
        <v>0.56370370370370371</v>
      </c>
      <c r="D1605" t="s">
        <v>16</v>
      </c>
      <c r="E1605" t="s">
        <v>84</v>
      </c>
      <c r="G1605">
        <v>1976</v>
      </c>
      <c r="H1605">
        <v>2</v>
      </c>
      <c r="I1605">
        <v>15</v>
      </c>
      <c r="J1605" t="s">
        <v>77</v>
      </c>
      <c r="K1605">
        <v>95.98</v>
      </c>
      <c r="L1605">
        <v>3</v>
      </c>
      <c r="M1605">
        <v>287.94</v>
      </c>
      <c r="N1605" t="s">
        <v>41</v>
      </c>
      <c r="O1605" t="s">
        <v>89</v>
      </c>
    </row>
    <row r="1606" spans="1:16" x14ac:dyDescent="0.25">
      <c r="A1606" t="s">
        <v>2313</v>
      </c>
      <c r="B1606" s="4">
        <v>45828</v>
      </c>
      <c r="C1606" s="3">
        <v>0.81719907407407411</v>
      </c>
      <c r="D1606" t="s">
        <v>16</v>
      </c>
      <c r="E1606" t="s">
        <v>279</v>
      </c>
      <c r="F1606" s="4"/>
      <c r="G1606">
        <v>2010</v>
      </c>
      <c r="H1606">
        <v>5</v>
      </c>
      <c r="I1606">
        <v>4</v>
      </c>
      <c r="J1606" t="s">
        <v>164</v>
      </c>
      <c r="K1606">
        <v>274.58999999999997</v>
      </c>
      <c r="L1606">
        <v>1</v>
      </c>
      <c r="M1606">
        <v>274.58999999999997</v>
      </c>
      <c r="N1606" t="s">
        <v>31</v>
      </c>
      <c r="O1606" t="s">
        <v>37</v>
      </c>
      <c r="P1606" t="s">
        <v>48</v>
      </c>
    </row>
    <row r="1607" spans="1:16" x14ac:dyDescent="0.25">
      <c r="A1607" t="s">
        <v>2314</v>
      </c>
      <c r="B1607" s="1">
        <v>45690</v>
      </c>
      <c r="C1607" s="3">
        <v>0.71946759259259263</v>
      </c>
      <c r="D1607" t="s">
        <v>16</v>
      </c>
      <c r="E1607" t="s">
        <v>776</v>
      </c>
      <c r="G1607">
        <v>1991</v>
      </c>
      <c r="H1607">
        <v>12</v>
      </c>
      <c r="I1607">
        <v>12</v>
      </c>
      <c r="J1607" t="s">
        <v>40</v>
      </c>
      <c r="K1607">
        <v>174.38</v>
      </c>
      <c r="L1607">
        <v>2</v>
      </c>
      <c r="M1607">
        <v>348.76</v>
      </c>
      <c r="N1607" t="s">
        <v>64</v>
      </c>
      <c r="O1607" t="s">
        <v>26</v>
      </c>
      <c r="P1607" t="s">
        <v>105</v>
      </c>
    </row>
    <row r="1608" spans="1:16" x14ac:dyDescent="0.25">
      <c r="A1608" t="s">
        <v>2315</v>
      </c>
      <c r="C1608" s="5">
        <v>0.90347222222222223</v>
      </c>
      <c r="D1608" t="s">
        <v>16</v>
      </c>
      <c r="E1608" t="s">
        <v>1010</v>
      </c>
      <c r="F1608" s="4"/>
      <c r="G1608">
        <v>1984</v>
      </c>
      <c r="H1608">
        <v>5</v>
      </c>
      <c r="I1608">
        <v>26</v>
      </c>
      <c r="J1608" t="s">
        <v>116</v>
      </c>
      <c r="K1608">
        <v>208.2</v>
      </c>
      <c r="L1608">
        <v>3</v>
      </c>
      <c r="M1608">
        <v>596.6</v>
      </c>
      <c r="N1608" t="s">
        <v>64</v>
      </c>
      <c r="O1608" t="s">
        <v>55</v>
      </c>
      <c r="P1608" t="s">
        <v>21</v>
      </c>
    </row>
    <row r="1609" spans="1:16" x14ac:dyDescent="0.25">
      <c r="A1609" t="s">
        <v>2316</v>
      </c>
      <c r="B1609" s="1">
        <v>45664</v>
      </c>
      <c r="C1609" s="3">
        <v>0.87076388888888889</v>
      </c>
      <c r="D1609" t="s">
        <v>16</v>
      </c>
      <c r="E1609" t="s">
        <v>770</v>
      </c>
      <c r="J1609" t="s">
        <v>77</v>
      </c>
      <c r="K1609">
        <v>137.66999999999999</v>
      </c>
      <c r="L1609">
        <v>2</v>
      </c>
      <c r="M1609">
        <v>275.33999999999997</v>
      </c>
      <c r="N1609" t="s">
        <v>67</v>
      </c>
      <c r="O1609" t="s">
        <v>89</v>
      </c>
      <c r="P1609" t="s">
        <v>74</v>
      </c>
    </row>
    <row r="1610" spans="1:16" x14ac:dyDescent="0.25">
      <c r="A1610" t="s">
        <v>2317</v>
      </c>
      <c r="B1610" s="4">
        <v>45792</v>
      </c>
      <c r="C1610" s="2">
        <v>0.57291666666666663</v>
      </c>
      <c r="D1610" t="s">
        <v>16</v>
      </c>
      <c r="E1610" t="s">
        <v>855</v>
      </c>
      <c r="G1610">
        <v>1983</v>
      </c>
      <c r="H1610">
        <v>1</v>
      </c>
      <c r="I1610">
        <v>4</v>
      </c>
      <c r="J1610" t="s">
        <v>213</v>
      </c>
      <c r="K1610">
        <v>110.46</v>
      </c>
      <c r="L1610">
        <v>2</v>
      </c>
      <c r="M1610">
        <v>220.92</v>
      </c>
      <c r="N1610" t="s">
        <v>67</v>
      </c>
      <c r="O1610" t="s">
        <v>47</v>
      </c>
      <c r="P1610" t="s">
        <v>48</v>
      </c>
    </row>
    <row r="1611" spans="1:16" x14ac:dyDescent="0.25">
      <c r="A1611" t="s">
        <v>2318</v>
      </c>
      <c r="B1611" s="4">
        <v>45968</v>
      </c>
      <c r="C1611" s="3">
        <v>0.94853009259259258</v>
      </c>
      <c r="D1611" t="s">
        <v>16</v>
      </c>
      <c r="E1611" t="s">
        <v>17</v>
      </c>
      <c r="J1611" t="s">
        <v>73</v>
      </c>
      <c r="K1611">
        <v>49.3</v>
      </c>
      <c r="L1611">
        <v>3</v>
      </c>
      <c r="M1611">
        <v>147.9</v>
      </c>
      <c r="N1611" t="s">
        <v>54</v>
      </c>
      <c r="O1611" t="s">
        <v>55</v>
      </c>
      <c r="P1611" t="s">
        <v>27</v>
      </c>
    </row>
    <row r="1612" spans="1:16" x14ac:dyDescent="0.25">
      <c r="A1612" t="s">
        <v>2319</v>
      </c>
      <c r="B1612" s="4">
        <v>45737</v>
      </c>
      <c r="C1612" s="3">
        <v>0.69216435185185188</v>
      </c>
      <c r="D1612" t="s">
        <v>16</v>
      </c>
      <c r="E1612" t="s">
        <v>582</v>
      </c>
      <c r="F1612" s="4"/>
      <c r="G1612">
        <v>1992</v>
      </c>
      <c r="H1612">
        <v>8</v>
      </c>
      <c r="I1612">
        <v>20</v>
      </c>
      <c r="J1612" t="s">
        <v>164</v>
      </c>
      <c r="K1612">
        <v>312.74</v>
      </c>
      <c r="L1612">
        <v>3</v>
      </c>
      <c r="M1612">
        <v>938.22</v>
      </c>
      <c r="N1612" t="s">
        <v>41</v>
      </c>
      <c r="O1612" t="s">
        <v>89</v>
      </c>
      <c r="P1612" t="s">
        <v>105</v>
      </c>
    </row>
    <row r="1613" spans="1:16" x14ac:dyDescent="0.25">
      <c r="A1613" t="s">
        <v>2320</v>
      </c>
      <c r="B1613" s="1">
        <v>45956</v>
      </c>
      <c r="C1613" s="5">
        <v>0.79791666666666672</v>
      </c>
      <c r="D1613" t="s">
        <v>16</v>
      </c>
      <c r="E1613" t="s">
        <v>123</v>
      </c>
      <c r="G1613">
        <v>1991</v>
      </c>
      <c r="H1613">
        <v>12</v>
      </c>
      <c r="I1613">
        <v>12</v>
      </c>
      <c r="J1613" t="s">
        <v>30</v>
      </c>
      <c r="K1613">
        <v>278.54000000000002</v>
      </c>
      <c r="L1613">
        <v>3</v>
      </c>
      <c r="M1613">
        <v>835.62</v>
      </c>
      <c r="N1613" t="s">
        <v>19</v>
      </c>
      <c r="O1613" t="s">
        <v>55</v>
      </c>
      <c r="P1613" t="s">
        <v>74</v>
      </c>
    </row>
    <row r="1614" spans="1:16" x14ac:dyDescent="0.25">
      <c r="A1614" t="s">
        <v>2321</v>
      </c>
      <c r="B1614" s="4">
        <v>45863</v>
      </c>
      <c r="C1614" s="3">
        <v>0.75796296296296295</v>
      </c>
      <c r="D1614" t="s">
        <v>16</v>
      </c>
      <c r="E1614" t="s">
        <v>92</v>
      </c>
      <c r="F1614" s="4"/>
      <c r="G1614">
        <v>1973</v>
      </c>
      <c r="H1614">
        <v>3</v>
      </c>
      <c r="I1614">
        <v>23</v>
      </c>
      <c r="J1614" t="s">
        <v>18</v>
      </c>
      <c r="K1614">
        <v>110.51</v>
      </c>
      <c r="L1614">
        <v>1</v>
      </c>
      <c r="M1614">
        <v>110.51</v>
      </c>
      <c r="N1614" t="s">
        <v>64</v>
      </c>
      <c r="O1614" t="s">
        <v>89</v>
      </c>
      <c r="P1614" t="s">
        <v>48</v>
      </c>
    </row>
    <row r="1615" spans="1:16" x14ac:dyDescent="0.25">
      <c r="A1615" t="s">
        <v>2322</v>
      </c>
      <c r="B1615" s="1">
        <v>45774</v>
      </c>
      <c r="C1615" s="5">
        <v>0.73472222222222228</v>
      </c>
      <c r="D1615" t="s">
        <v>16</v>
      </c>
      <c r="E1615" t="s">
        <v>1474</v>
      </c>
      <c r="F1615" s="1"/>
      <c r="G1615">
        <v>2005</v>
      </c>
      <c r="H1615">
        <v>8</v>
      </c>
      <c r="I1615">
        <v>1</v>
      </c>
      <c r="J1615" t="s">
        <v>243</v>
      </c>
      <c r="K1615">
        <v>127.69</v>
      </c>
      <c r="L1615">
        <v>3</v>
      </c>
      <c r="M1615">
        <v>383.07</v>
      </c>
      <c r="N1615" t="s">
        <v>67</v>
      </c>
      <c r="O1615" t="s">
        <v>37</v>
      </c>
      <c r="P1615" t="s">
        <v>105</v>
      </c>
    </row>
    <row r="1616" spans="1:16" x14ac:dyDescent="0.25">
      <c r="A1616" t="s">
        <v>2323</v>
      </c>
      <c r="B1616" s="4">
        <v>45970</v>
      </c>
      <c r="C1616" s="5">
        <v>0.56944444444444442</v>
      </c>
      <c r="D1616" t="s">
        <v>16</v>
      </c>
      <c r="E1616" t="s">
        <v>2324</v>
      </c>
      <c r="F1616" s="4"/>
      <c r="G1616">
        <v>2008</v>
      </c>
      <c r="H1616">
        <v>8</v>
      </c>
      <c r="I1616">
        <v>6</v>
      </c>
      <c r="J1616" t="s">
        <v>93</v>
      </c>
      <c r="K1616">
        <v>189.66</v>
      </c>
      <c r="L1616">
        <v>1</v>
      </c>
      <c r="M1616" t="s">
        <v>2325</v>
      </c>
      <c r="N1616" t="s">
        <v>41</v>
      </c>
      <c r="O1616" t="s">
        <v>37</v>
      </c>
      <c r="P1616" t="s">
        <v>56</v>
      </c>
    </row>
    <row r="1617" spans="1:16" x14ac:dyDescent="0.25">
      <c r="A1617" t="s">
        <v>2326</v>
      </c>
      <c r="B1617" t="s">
        <v>2327</v>
      </c>
      <c r="C1617" s="2">
        <v>0.70347222222222228</v>
      </c>
      <c r="D1617" t="s">
        <v>16</v>
      </c>
      <c r="E1617" t="s">
        <v>161</v>
      </c>
      <c r="G1617">
        <v>1988</v>
      </c>
      <c r="H1617">
        <v>7</v>
      </c>
      <c r="I1617">
        <v>6</v>
      </c>
      <c r="J1617" t="s">
        <v>45</v>
      </c>
      <c r="K1617">
        <v>317.07</v>
      </c>
      <c r="L1617">
        <v>3</v>
      </c>
      <c r="M1617">
        <v>951.21</v>
      </c>
      <c r="N1617" t="s">
        <v>54</v>
      </c>
      <c r="O1617" t="s">
        <v>89</v>
      </c>
      <c r="P1617" t="s">
        <v>48</v>
      </c>
    </row>
    <row r="1618" spans="1:16" x14ac:dyDescent="0.25">
      <c r="A1618" t="s">
        <v>2328</v>
      </c>
      <c r="B1618" t="s">
        <v>1073</v>
      </c>
      <c r="C1618" s="3">
        <v>0.6654282407407407</v>
      </c>
      <c r="D1618" t="s">
        <v>16</v>
      </c>
      <c r="E1618" t="s">
        <v>95</v>
      </c>
      <c r="G1618">
        <v>1981</v>
      </c>
      <c r="H1618">
        <v>6</v>
      </c>
      <c r="I1618">
        <v>14</v>
      </c>
      <c r="J1618" t="s">
        <v>116</v>
      </c>
      <c r="K1618">
        <v>255.03</v>
      </c>
      <c r="L1618">
        <v>0</v>
      </c>
      <c r="M1618">
        <v>0</v>
      </c>
      <c r="N1618" t="s">
        <v>64</v>
      </c>
      <c r="O1618" t="s">
        <v>55</v>
      </c>
      <c r="P1618" t="s">
        <v>74</v>
      </c>
    </row>
    <row r="1619" spans="1:16" x14ac:dyDescent="0.25">
      <c r="A1619" t="s">
        <v>2329</v>
      </c>
      <c r="B1619" t="s">
        <v>735</v>
      </c>
      <c r="C1619" s="5">
        <v>0.62152777777777779</v>
      </c>
      <c r="D1619" t="s">
        <v>16</v>
      </c>
      <c r="E1619" t="s">
        <v>690</v>
      </c>
      <c r="J1619" t="s">
        <v>178</v>
      </c>
      <c r="K1619">
        <v>278.08999999999997</v>
      </c>
      <c r="L1619">
        <v>2</v>
      </c>
      <c r="M1619">
        <v>556.17999999999995</v>
      </c>
      <c r="N1619" t="s">
        <v>54</v>
      </c>
      <c r="O1619" t="s">
        <v>20</v>
      </c>
      <c r="P1619" t="s">
        <v>33</v>
      </c>
    </row>
    <row r="1620" spans="1:16" x14ac:dyDescent="0.25">
      <c r="A1620" t="s">
        <v>2330</v>
      </c>
      <c r="B1620" s="4">
        <v>45876</v>
      </c>
      <c r="C1620" s="2">
        <v>0.76597222222222228</v>
      </c>
      <c r="D1620" t="s">
        <v>16</v>
      </c>
      <c r="E1620" t="s">
        <v>528</v>
      </c>
      <c r="G1620">
        <v>1991</v>
      </c>
      <c r="H1620">
        <v>12</v>
      </c>
      <c r="I1620">
        <v>12</v>
      </c>
      <c r="J1620" t="s">
        <v>77</v>
      </c>
      <c r="K1620">
        <v>257.47000000000003</v>
      </c>
      <c r="L1620">
        <v>0</v>
      </c>
      <c r="M1620">
        <v>0</v>
      </c>
      <c r="N1620" t="s">
        <v>25</v>
      </c>
      <c r="O1620" t="s">
        <v>89</v>
      </c>
      <c r="P1620" t="s">
        <v>74</v>
      </c>
    </row>
    <row r="1621" spans="1:16" x14ac:dyDescent="0.25">
      <c r="A1621" t="s">
        <v>2331</v>
      </c>
      <c r="B1621" t="s">
        <v>2332</v>
      </c>
      <c r="C1621" s="5">
        <v>0.55555555555555558</v>
      </c>
      <c r="D1621" t="s">
        <v>16</v>
      </c>
      <c r="E1621" t="s">
        <v>158</v>
      </c>
      <c r="G1621">
        <v>2000</v>
      </c>
      <c r="H1621">
        <v>11</v>
      </c>
      <c r="I1621">
        <v>3</v>
      </c>
      <c r="J1621" t="s">
        <v>40</v>
      </c>
      <c r="K1621">
        <v>217.07</v>
      </c>
      <c r="L1621">
        <v>1</v>
      </c>
      <c r="M1621">
        <v>217.07</v>
      </c>
      <c r="N1621" t="s">
        <v>25</v>
      </c>
      <c r="O1621" t="s">
        <v>26</v>
      </c>
      <c r="P1621" t="s">
        <v>74</v>
      </c>
    </row>
    <row r="1622" spans="1:16" x14ac:dyDescent="0.25">
      <c r="A1622" t="s">
        <v>2333</v>
      </c>
      <c r="B1622" s="1">
        <v>45919</v>
      </c>
      <c r="C1622" s="2">
        <v>0.94513888888888886</v>
      </c>
      <c r="D1622" t="s">
        <v>16</v>
      </c>
      <c r="E1622" t="s">
        <v>151</v>
      </c>
      <c r="G1622">
        <v>1991</v>
      </c>
      <c r="H1622">
        <v>12</v>
      </c>
      <c r="I1622">
        <v>12</v>
      </c>
      <c r="J1622" t="s">
        <v>126</v>
      </c>
      <c r="K1622">
        <v>167.92</v>
      </c>
      <c r="L1622">
        <v>2</v>
      </c>
      <c r="M1622">
        <v>335.84</v>
      </c>
      <c r="N1622" t="s">
        <v>67</v>
      </c>
      <c r="O1622" t="s">
        <v>20</v>
      </c>
      <c r="P1622" t="s">
        <v>105</v>
      </c>
    </row>
    <row r="1623" spans="1:16" x14ac:dyDescent="0.25">
      <c r="A1623" t="s">
        <v>2334</v>
      </c>
      <c r="B1623" s="4">
        <v>45906</v>
      </c>
      <c r="C1623" s="2">
        <v>0.9604166666666667</v>
      </c>
      <c r="D1623" t="s">
        <v>16</v>
      </c>
      <c r="E1623" t="s">
        <v>351</v>
      </c>
      <c r="G1623">
        <v>2008</v>
      </c>
      <c r="H1623">
        <v>7</v>
      </c>
      <c r="I1623">
        <v>21</v>
      </c>
      <c r="J1623" t="s">
        <v>24</v>
      </c>
      <c r="K1623">
        <v>191.94</v>
      </c>
      <c r="L1623">
        <v>2</v>
      </c>
      <c r="M1623">
        <v>383.88</v>
      </c>
      <c r="N1623" t="s">
        <v>41</v>
      </c>
      <c r="O1623" t="s">
        <v>26</v>
      </c>
      <c r="P1623" t="s">
        <v>105</v>
      </c>
    </row>
    <row r="1624" spans="1:16" x14ac:dyDescent="0.25">
      <c r="A1624" t="s">
        <v>2335</v>
      </c>
      <c r="B1624" s="1">
        <v>45770</v>
      </c>
      <c r="C1624" s="2">
        <v>0.96180555555555558</v>
      </c>
      <c r="D1624" t="s">
        <v>16</v>
      </c>
      <c r="E1624" t="s">
        <v>397</v>
      </c>
      <c r="F1624" s="4"/>
      <c r="G1624">
        <v>1990</v>
      </c>
      <c r="H1624">
        <v>5</v>
      </c>
      <c r="I1624">
        <v>19</v>
      </c>
      <c r="J1624" t="s">
        <v>126</v>
      </c>
      <c r="K1624">
        <v>263.85000000000002</v>
      </c>
      <c r="L1624">
        <v>2</v>
      </c>
      <c r="M1624">
        <v>527.70000000000005</v>
      </c>
      <c r="O1624" t="s">
        <v>20</v>
      </c>
      <c r="P1624" t="s">
        <v>105</v>
      </c>
    </row>
    <row r="1625" spans="1:16" x14ac:dyDescent="0.25">
      <c r="A1625" t="s">
        <v>2336</v>
      </c>
      <c r="B1625" t="s">
        <v>2337</v>
      </c>
      <c r="C1625" s="5">
        <v>0.80347222222222225</v>
      </c>
      <c r="D1625" t="s">
        <v>16</v>
      </c>
      <c r="E1625" t="s">
        <v>147</v>
      </c>
      <c r="G1625">
        <v>2005</v>
      </c>
      <c r="H1625">
        <v>4</v>
      </c>
      <c r="I1625">
        <v>13</v>
      </c>
      <c r="J1625" t="s">
        <v>45</v>
      </c>
      <c r="K1625">
        <v>296.97000000000003</v>
      </c>
      <c r="L1625">
        <v>1</v>
      </c>
      <c r="M1625">
        <v>296.97000000000003</v>
      </c>
      <c r="N1625" t="s">
        <v>25</v>
      </c>
      <c r="O1625" t="s">
        <v>55</v>
      </c>
      <c r="P1625" t="s">
        <v>74</v>
      </c>
    </row>
    <row r="1626" spans="1:16" x14ac:dyDescent="0.25">
      <c r="A1626" t="s">
        <v>2338</v>
      </c>
      <c r="B1626" s="4">
        <v>45627</v>
      </c>
      <c r="C1626" s="5">
        <v>0.7270833333333333</v>
      </c>
      <c r="D1626" t="s">
        <v>16</v>
      </c>
      <c r="E1626" t="s">
        <v>582</v>
      </c>
      <c r="J1626" t="s">
        <v>77</v>
      </c>
      <c r="K1626">
        <v>120.06</v>
      </c>
      <c r="L1626">
        <v>1</v>
      </c>
      <c r="M1626">
        <v>120.06</v>
      </c>
      <c r="N1626" t="s">
        <v>67</v>
      </c>
      <c r="O1626" t="s">
        <v>32</v>
      </c>
      <c r="P1626" t="s">
        <v>74</v>
      </c>
    </row>
    <row r="1627" spans="1:16" x14ac:dyDescent="0.25">
      <c r="A1627" t="s">
        <v>2339</v>
      </c>
      <c r="B1627" s="1">
        <v>45719</v>
      </c>
      <c r="C1627" s="2">
        <v>0.82986111111111116</v>
      </c>
      <c r="D1627" t="s">
        <v>16</v>
      </c>
      <c r="E1627" t="s">
        <v>76</v>
      </c>
      <c r="F1627" s="4"/>
      <c r="G1627">
        <v>2004</v>
      </c>
      <c r="H1627">
        <v>12</v>
      </c>
      <c r="I1627">
        <v>16</v>
      </c>
      <c r="J1627" t="s">
        <v>202</v>
      </c>
      <c r="K1627">
        <v>110.8</v>
      </c>
      <c r="L1627">
        <v>1</v>
      </c>
      <c r="M1627">
        <v>110.8</v>
      </c>
      <c r="N1627" t="s">
        <v>67</v>
      </c>
      <c r="O1627" t="s">
        <v>37</v>
      </c>
      <c r="P1627" t="s">
        <v>48</v>
      </c>
    </row>
    <row r="1628" spans="1:16" x14ac:dyDescent="0.25">
      <c r="A1628" t="s">
        <v>2340</v>
      </c>
      <c r="B1628" t="s">
        <v>482</v>
      </c>
      <c r="C1628" s="5">
        <v>0.44583333333333336</v>
      </c>
      <c r="D1628" t="s">
        <v>16</v>
      </c>
      <c r="E1628" t="s">
        <v>358</v>
      </c>
      <c r="F1628" s="4"/>
      <c r="G1628">
        <v>1996</v>
      </c>
      <c r="H1628">
        <v>4</v>
      </c>
      <c r="I1628">
        <v>8</v>
      </c>
      <c r="J1628" t="s">
        <v>30</v>
      </c>
      <c r="K1628">
        <v>284.63</v>
      </c>
      <c r="L1628">
        <v>2</v>
      </c>
      <c r="M1628">
        <v>569.26</v>
      </c>
      <c r="N1628" t="s">
        <v>67</v>
      </c>
      <c r="O1628" t="s">
        <v>32</v>
      </c>
      <c r="P1628" t="s">
        <v>21</v>
      </c>
    </row>
    <row r="1629" spans="1:16" x14ac:dyDescent="0.25">
      <c r="A1629" t="s">
        <v>2341</v>
      </c>
      <c r="B1629" s="4">
        <v>45926</v>
      </c>
      <c r="C1629" s="2">
        <v>0.7055555555555556</v>
      </c>
      <c r="D1629" t="s">
        <v>16</v>
      </c>
      <c r="E1629" t="s">
        <v>451</v>
      </c>
      <c r="J1629" t="s">
        <v>213</v>
      </c>
      <c r="K1629">
        <v>48.64</v>
      </c>
      <c r="L1629">
        <v>1</v>
      </c>
      <c r="M1629">
        <v>48.64</v>
      </c>
      <c r="N1629" t="s">
        <v>67</v>
      </c>
      <c r="O1629" t="s">
        <v>61</v>
      </c>
    </row>
    <row r="1630" spans="1:16" x14ac:dyDescent="0.25">
      <c r="A1630" t="s">
        <v>2342</v>
      </c>
      <c r="B1630" s="1">
        <v>45963</v>
      </c>
      <c r="C1630" s="5">
        <v>0.42638888888888887</v>
      </c>
      <c r="D1630" t="s">
        <v>16</v>
      </c>
      <c r="E1630" t="s">
        <v>451</v>
      </c>
      <c r="F1630" s="1"/>
      <c r="G1630">
        <v>2010</v>
      </c>
      <c r="H1630">
        <v>2</v>
      </c>
      <c r="I1630">
        <v>16</v>
      </c>
      <c r="J1630" t="s">
        <v>145</v>
      </c>
      <c r="K1630" t="s">
        <v>2343</v>
      </c>
      <c r="L1630">
        <v>1</v>
      </c>
      <c r="M1630">
        <v>332.81</v>
      </c>
      <c r="O1630" t="s">
        <v>20</v>
      </c>
    </row>
    <row r="1631" spans="1:16" x14ac:dyDescent="0.25">
      <c r="A1631" t="s">
        <v>2344</v>
      </c>
      <c r="B1631" t="s">
        <v>2345</v>
      </c>
      <c r="C1631" s="3">
        <v>0.50353009259259263</v>
      </c>
      <c r="D1631" t="s">
        <v>16</v>
      </c>
      <c r="E1631" t="s">
        <v>88</v>
      </c>
      <c r="F1631" s="1"/>
      <c r="G1631">
        <v>1972</v>
      </c>
      <c r="H1631">
        <v>9</v>
      </c>
      <c r="I1631">
        <v>5</v>
      </c>
      <c r="J1631" t="s">
        <v>73</v>
      </c>
      <c r="K1631">
        <v>41.69</v>
      </c>
      <c r="L1631">
        <v>1</v>
      </c>
      <c r="M1631">
        <v>41.69</v>
      </c>
      <c r="N1631" t="s">
        <v>19</v>
      </c>
      <c r="O1631" t="s">
        <v>26</v>
      </c>
      <c r="P1631" t="s">
        <v>33</v>
      </c>
    </row>
    <row r="1632" spans="1:16" x14ac:dyDescent="0.25">
      <c r="A1632" t="s">
        <v>2346</v>
      </c>
      <c r="B1632" t="s">
        <v>2347</v>
      </c>
      <c r="C1632" s="2">
        <v>0.79027777777777775</v>
      </c>
      <c r="D1632" t="s">
        <v>16</v>
      </c>
      <c r="E1632" t="s">
        <v>473</v>
      </c>
      <c r="G1632">
        <v>1975</v>
      </c>
      <c r="H1632">
        <v>9</v>
      </c>
      <c r="I1632">
        <v>10</v>
      </c>
      <c r="J1632" t="s">
        <v>259</v>
      </c>
      <c r="K1632">
        <v>134.35</v>
      </c>
      <c r="L1632">
        <v>2</v>
      </c>
      <c r="M1632">
        <v>268.7</v>
      </c>
      <c r="O1632" t="s">
        <v>32</v>
      </c>
      <c r="P1632" t="s">
        <v>74</v>
      </c>
    </row>
    <row r="1633" spans="1:16" x14ac:dyDescent="0.25">
      <c r="A1633" t="s">
        <v>2348</v>
      </c>
      <c r="B1633" s="4">
        <v>45735</v>
      </c>
      <c r="C1633" s="3">
        <v>0.61972222222222217</v>
      </c>
      <c r="D1633" t="s">
        <v>16</v>
      </c>
      <c r="E1633" t="s">
        <v>420</v>
      </c>
      <c r="F1633" s="4"/>
      <c r="G1633">
        <v>1993</v>
      </c>
      <c r="H1633">
        <v>8</v>
      </c>
      <c r="I1633">
        <v>10</v>
      </c>
      <c r="J1633" t="s">
        <v>126</v>
      </c>
      <c r="K1633">
        <v>138.69999999999999</v>
      </c>
      <c r="L1633">
        <v>3</v>
      </c>
      <c r="M1633" t="s">
        <v>2349</v>
      </c>
      <c r="N1633" t="s">
        <v>67</v>
      </c>
      <c r="O1633" t="s">
        <v>26</v>
      </c>
    </row>
    <row r="1634" spans="1:16" x14ac:dyDescent="0.25">
      <c r="A1634" t="s">
        <v>2350</v>
      </c>
      <c r="B1634" s="4">
        <v>45902</v>
      </c>
      <c r="C1634" s="5">
        <v>0.56805555555555554</v>
      </c>
      <c r="D1634" t="s">
        <v>16</v>
      </c>
      <c r="E1634" t="s">
        <v>107</v>
      </c>
      <c r="F1634" s="1"/>
      <c r="G1634">
        <v>1986</v>
      </c>
      <c r="H1634">
        <v>9</v>
      </c>
      <c r="I1634">
        <v>8</v>
      </c>
      <c r="J1634" t="s">
        <v>259</v>
      </c>
      <c r="K1634">
        <v>293.86</v>
      </c>
      <c r="L1634">
        <v>1</v>
      </c>
      <c r="M1634">
        <v>293.86</v>
      </c>
      <c r="N1634" t="s">
        <v>67</v>
      </c>
      <c r="O1634" t="s">
        <v>89</v>
      </c>
      <c r="P1634" t="s">
        <v>21</v>
      </c>
    </row>
    <row r="1635" spans="1:16" x14ac:dyDescent="0.25">
      <c r="A1635" t="s">
        <v>2351</v>
      </c>
      <c r="B1635" s="4">
        <v>45712</v>
      </c>
      <c r="C1635" s="3">
        <v>0.51035879629629632</v>
      </c>
      <c r="D1635" t="s">
        <v>16</v>
      </c>
      <c r="E1635" t="s">
        <v>59</v>
      </c>
      <c r="F1635" s="1"/>
      <c r="G1635">
        <v>2008</v>
      </c>
      <c r="H1635">
        <v>8</v>
      </c>
      <c r="I1635">
        <v>12</v>
      </c>
      <c r="J1635" t="s">
        <v>18</v>
      </c>
      <c r="K1635">
        <v>78.45</v>
      </c>
      <c r="L1635">
        <v>1</v>
      </c>
      <c r="M1635">
        <v>78.45</v>
      </c>
      <c r="N1635" t="s">
        <v>19</v>
      </c>
      <c r="O1635" t="s">
        <v>55</v>
      </c>
    </row>
    <row r="1636" spans="1:16" x14ac:dyDescent="0.25">
      <c r="A1636" t="s">
        <v>2352</v>
      </c>
      <c r="B1636" s="4">
        <v>45791</v>
      </c>
      <c r="C1636" s="3">
        <v>0.85373842592592597</v>
      </c>
      <c r="D1636" t="s">
        <v>16</v>
      </c>
      <c r="E1636" t="s">
        <v>256</v>
      </c>
      <c r="G1636">
        <v>1996</v>
      </c>
      <c r="H1636">
        <v>4</v>
      </c>
      <c r="I1636">
        <v>6</v>
      </c>
      <c r="J1636" t="s">
        <v>104</v>
      </c>
      <c r="K1636">
        <v>303.27</v>
      </c>
      <c r="L1636">
        <v>1</v>
      </c>
      <c r="M1636">
        <v>303.27</v>
      </c>
      <c r="N1636" t="s">
        <v>25</v>
      </c>
      <c r="O1636" t="s">
        <v>37</v>
      </c>
    </row>
    <row r="1637" spans="1:16" x14ac:dyDescent="0.25">
      <c r="A1637" t="s">
        <v>2353</v>
      </c>
      <c r="B1637" s="4">
        <v>45678</v>
      </c>
      <c r="C1637" s="2">
        <v>0.58888888888888891</v>
      </c>
      <c r="D1637" t="s">
        <v>16</v>
      </c>
      <c r="E1637" t="s">
        <v>201</v>
      </c>
      <c r="F1637" s="4"/>
      <c r="G1637">
        <v>2007</v>
      </c>
      <c r="H1637">
        <v>12</v>
      </c>
      <c r="I1637">
        <v>21</v>
      </c>
      <c r="J1637" t="s">
        <v>141</v>
      </c>
      <c r="K1637">
        <v>141.83000000000001</v>
      </c>
      <c r="L1637">
        <v>0</v>
      </c>
      <c r="M1637">
        <v>22</v>
      </c>
      <c r="N1637" t="s">
        <v>67</v>
      </c>
      <c r="O1637" t="s">
        <v>37</v>
      </c>
      <c r="P1637" t="s">
        <v>48</v>
      </c>
    </row>
    <row r="1638" spans="1:16" x14ac:dyDescent="0.25">
      <c r="A1638" t="s">
        <v>2354</v>
      </c>
      <c r="B1638" s="4">
        <v>45692</v>
      </c>
      <c r="C1638" s="5">
        <v>0.98611111111111116</v>
      </c>
      <c r="D1638" t="s">
        <v>16</v>
      </c>
      <c r="E1638" t="s">
        <v>334</v>
      </c>
      <c r="F1638" s="1"/>
      <c r="G1638">
        <v>1999</v>
      </c>
      <c r="H1638">
        <v>4</v>
      </c>
      <c r="I1638">
        <v>4</v>
      </c>
      <c r="J1638" t="s">
        <v>85</v>
      </c>
      <c r="K1638">
        <v>273.75</v>
      </c>
      <c r="L1638">
        <v>1</v>
      </c>
      <c r="M1638">
        <v>273.75</v>
      </c>
      <c r="O1638" t="s">
        <v>20</v>
      </c>
      <c r="P1638" t="s">
        <v>21</v>
      </c>
    </row>
    <row r="1639" spans="1:16" x14ac:dyDescent="0.25">
      <c r="A1639" t="s">
        <v>2355</v>
      </c>
      <c r="B1639" s="4">
        <v>45642</v>
      </c>
      <c r="C1639" s="2">
        <v>0.81388888888888888</v>
      </c>
      <c r="D1639" t="s">
        <v>16</v>
      </c>
      <c r="E1639" t="s">
        <v>358</v>
      </c>
      <c r="F1639" s="4"/>
      <c r="G1639">
        <v>1988</v>
      </c>
      <c r="H1639">
        <v>11</v>
      </c>
      <c r="I1639">
        <v>20</v>
      </c>
      <c r="J1639" t="s">
        <v>40</v>
      </c>
      <c r="K1639">
        <v>165.18</v>
      </c>
      <c r="L1639">
        <v>2</v>
      </c>
      <c r="M1639">
        <v>330.36</v>
      </c>
      <c r="N1639" t="s">
        <v>54</v>
      </c>
      <c r="O1639" t="s">
        <v>26</v>
      </c>
    </row>
    <row r="1640" spans="1:16" x14ac:dyDescent="0.25">
      <c r="A1640" t="s">
        <v>2356</v>
      </c>
      <c r="B1640" s="1">
        <v>45641</v>
      </c>
      <c r="C1640" s="5">
        <v>0.58402777777777781</v>
      </c>
      <c r="D1640" t="s">
        <v>16</v>
      </c>
      <c r="E1640" t="s">
        <v>98</v>
      </c>
      <c r="F1640" s="4"/>
      <c r="G1640">
        <v>1978</v>
      </c>
      <c r="H1640">
        <v>4</v>
      </c>
      <c r="I1640">
        <v>4</v>
      </c>
      <c r="J1640" t="s">
        <v>199</v>
      </c>
      <c r="K1640">
        <v>181.4</v>
      </c>
      <c r="L1640">
        <v>2</v>
      </c>
      <c r="M1640">
        <v>362.8</v>
      </c>
      <c r="N1640" t="s">
        <v>25</v>
      </c>
      <c r="O1640" t="s">
        <v>61</v>
      </c>
      <c r="P1640" t="s">
        <v>21</v>
      </c>
    </row>
    <row r="1641" spans="1:16" x14ac:dyDescent="0.25">
      <c r="A1641" t="s">
        <v>2357</v>
      </c>
      <c r="B1641" s="1">
        <v>45971</v>
      </c>
      <c r="C1641" s="3">
        <v>0.7534143518518519</v>
      </c>
      <c r="D1641" t="s">
        <v>16</v>
      </c>
      <c r="E1641" t="s">
        <v>855</v>
      </c>
      <c r="F1641" s="4"/>
      <c r="G1641">
        <v>2007</v>
      </c>
      <c r="H1641">
        <v>2</v>
      </c>
      <c r="I1641">
        <v>18</v>
      </c>
      <c r="J1641" t="s">
        <v>129</v>
      </c>
      <c r="K1641">
        <v>210.03</v>
      </c>
      <c r="L1641">
        <v>1</v>
      </c>
      <c r="M1641">
        <v>208.03</v>
      </c>
      <c r="O1641" t="s">
        <v>55</v>
      </c>
      <c r="P1641" t="s">
        <v>56</v>
      </c>
    </row>
    <row r="1642" spans="1:16" x14ac:dyDescent="0.25">
      <c r="A1642" t="s">
        <v>2358</v>
      </c>
      <c r="B1642" t="s">
        <v>1146</v>
      </c>
      <c r="C1642" s="2">
        <v>0.84583333333333333</v>
      </c>
      <c r="D1642" t="s">
        <v>16</v>
      </c>
      <c r="E1642" t="s">
        <v>764</v>
      </c>
      <c r="G1642">
        <v>2006</v>
      </c>
      <c r="H1642">
        <v>3</v>
      </c>
      <c r="I1642">
        <v>11</v>
      </c>
      <c r="J1642" t="s">
        <v>116</v>
      </c>
      <c r="K1642">
        <v>232.59</v>
      </c>
      <c r="L1642">
        <v>1</v>
      </c>
      <c r="M1642">
        <v>232.59</v>
      </c>
      <c r="N1642" t="s">
        <v>25</v>
      </c>
      <c r="O1642" t="s">
        <v>37</v>
      </c>
      <c r="P1642" t="s">
        <v>33</v>
      </c>
    </row>
    <row r="1643" spans="1:16" x14ac:dyDescent="0.25">
      <c r="A1643" t="s">
        <v>2359</v>
      </c>
      <c r="B1643" s="1">
        <v>45842</v>
      </c>
      <c r="C1643" s="3">
        <v>0.68574074074074076</v>
      </c>
      <c r="D1643" t="s">
        <v>16</v>
      </c>
      <c r="E1643" t="s">
        <v>279</v>
      </c>
      <c r="G1643">
        <v>2000</v>
      </c>
      <c r="H1643">
        <v>7</v>
      </c>
      <c r="I1643">
        <v>3</v>
      </c>
      <c r="J1643" t="s">
        <v>85</v>
      </c>
      <c r="K1643">
        <v>342.46</v>
      </c>
      <c r="L1643">
        <v>2</v>
      </c>
      <c r="M1643">
        <v>684.92</v>
      </c>
      <c r="N1643" t="s">
        <v>25</v>
      </c>
      <c r="O1643" t="s">
        <v>61</v>
      </c>
    </row>
    <row r="1644" spans="1:16" x14ac:dyDescent="0.25">
      <c r="A1644" t="s">
        <v>2360</v>
      </c>
      <c r="B1644" s="4">
        <v>45643</v>
      </c>
      <c r="C1644" s="2">
        <v>0.71180555555555558</v>
      </c>
      <c r="D1644" t="s">
        <v>16</v>
      </c>
      <c r="E1644" t="s">
        <v>594</v>
      </c>
      <c r="G1644">
        <v>2002</v>
      </c>
      <c r="H1644">
        <v>10</v>
      </c>
      <c r="I1644">
        <v>16</v>
      </c>
      <c r="J1644" t="s">
        <v>53</v>
      </c>
      <c r="K1644">
        <v>119.06</v>
      </c>
      <c r="L1644">
        <v>2</v>
      </c>
      <c r="M1644">
        <v>238.12</v>
      </c>
      <c r="N1644" t="s">
        <v>54</v>
      </c>
      <c r="O1644" t="s">
        <v>26</v>
      </c>
      <c r="P1644" t="s">
        <v>56</v>
      </c>
    </row>
    <row r="1645" spans="1:16" x14ac:dyDescent="0.25">
      <c r="A1645" t="s">
        <v>2361</v>
      </c>
      <c r="B1645" s="1">
        <v>45628</v>
      </c>
      <c r="C1645" s="3">
        <v>0.57893518518518516</v>
      </c>
      <c r="D1645" t="s">
        <v>16</v>
      </c>
      <c r="E1645" t="s">
        <v>154</v>
      </c>
      <c r="G1645">
        <v>2005</v>
      </c>
      <c r="H1645">
        <v>1</v>
      </c>
      <c r="I1645">
        <v>17</v>
      </c>
      <c r="J1645" t="s">
        <v>145</v>
      </c>
      <c r="K1645">
        <v>219.79</v>
      </c>
      <c r="L1645">
        <v>3</v>
      </c>
      <c r="M1645">
        <v>659.37</v>
      </c>
      <c r="O1645" t="s">
        <v>89</v>
      </c>
      <c r="P1645" t="s">
        <v>27</v>
      </c>
    </row>
    <row r="1646" spans="1:16" x14ac:dyDescent="0.25">
      <c r="A1646" t="s">
        <v>2362</v>
      </c>
      <c r="B1646" s="4">
        <v>45795</v>
      </c>
      <c r="C1646" s="5">
        <v>0.85902777777777772</v>
      </c>
      <c r="D1646" t="s">
        <v>16</v>
      </c>
      <c r="E1646" t="s">
        <v>76</v>
      </c>
      <c r="G1646">
        <v>2000</v>
      </c>
      <c r="H1646">
        <v>6</v>
      </c>
      <c r="I1646">
        <v>13</v>
      </c>
      <c r="J1646" t="s">
        <v>24</v>
      </c>
      <c r="K1646">
        <v>273.70999999999998</v>
      </c>
      <c r="L1646">
        <v>1</v>
      </c>
      <c r="M1646">
        <v>273.70999999999998</v>
      </c>
      <c r="N1646" t="s">
        <v>19</v>
      </c>
      <c r="O1646" t="s">
        <v>32</v>
      </c>
    </row>
    <row r="1647" spans="1:16" x14ac:dyDescent="0.25">
      <c r="A1647" t="s">
        <v>2363</v>
      </c>
      <c r="B1647" t="s">
        <v>949</v>
      </c>
      <c r="C1647" s="2">
        <v>0.73124999999999996</v>
      </c>
      <c r="D1647" t="s">
        <v>16</v>
      </c>
      <c r="E1647" t="s">
        <v>264</v>
      </c>
      <c r="F1647" s="4"/>
      <c r="G1647">
        <v>2008</v>
      </c>
      <c r="H1647">
        <v>4</v>
      </c>
      <c r="I1647">
        <v>22</v>
      </c>
      <c r="J1647" t="s">
        <v>243</v>
      </c>
      <c r="L1647">
        <v>0</v>
      </c>
      <c r="N1647" t="s">
        <v>41</v>
      </c>
      <c r="O1647" t="s">
        <v>32</v>
      </c>
      <c r="P1647" t="s">
        <v>74</v>
      </c>
    </row>
    <row r="1648" spans="1:16" x14ac:dyDescent="0.25">
      <c r="A1648" t="s">
        <v>2364</v>
      </c>
      <c r="B1648" t="s">
        <v>100</v>
      </c>
      <c r="C1648" s="3">
        <v>0.64447916666666671</v>
      </c>
      <c r="D1648" t="s">
        <v>16</v>
      </c>
      <c r="E1648" t="s">
        <v>692</v>
      </c>
      <c r="J1648" t="s">
        <v>141</v>
      </c>
      <c r="K1648">
        <v>126.71</v>
      </c>
      <c r="L1648">
        <v>2</v>
      </c>
      <c r="M1648">
        <v>253.42</v>
      </c>
      <c r="N1648" t="s">
        <v>31</v>
      </c>
      <c r="O1648" t="s">
        <v>61</v>
      </c>
      <c r="P1648" t="s">
        <v>56</v>
      </c>
    </row>
    <row r="1649" spans="1:16" x14ac:dyDescent="0.25">
      <c r="A1649" t="s">
        <v>2365</v>
      </c>
      <c r="B1649" t="s">
        <v>2366</v>
      </c>
      <c r="C1649" s="5">
        <v>0.8256944444444444</v>
      </c>
      <c r="D1649" t="s">
        <v>16</v>
      </c>
      <c r="E1649" t="s">
        <v>397</v>
      </c>
      <c r="F1649" s="1"/>
      <c r="G1649">
        <v>1974</v>
      </c>
      <c r="H1649">
        <v>2</v>
      </c>
      <c r="I1649">
        <v>15</v>
      </c>
      <c r="J1649" t="s">
        <v>199</v>
      </c>
      <c r="K1649">
        <v>217.72</v>
      </c>
      <c r="L1649">
        <v>1</v>
      </c>
      <c r="M1649">
        <v>217.72</v>
      </c>
      <c r="N1649" t="s">
        <v>19</v>
      </c>
      <c r="O1649" t="s">
        <v>20</v>
      </c>
      <c r="P1649" t="s">
        <v>27</v>
      </c>
    </row>
    <row r="1650" spans="1:16" x14ac:dyDescent="0.25">
      <c r="A1650" t="s">
        <v>2367</v>
      </c>
      <c r="B1650" s="4">
        <v>45846</v>
      </c>
      <c r="C1650" s="5">
        <v>0.72152777777777777</v>
      </c>
      <c r="D1650" t="s">
        <v>16</v>
      </c>
      <c r="E1650" t="s">
        <v>664</v>
      </c>
      <c r="G1650">
        <v>1991</v>
      </c>
      <c r="H1650">
        <v>12</v>
      </c>
      <c r="I1650">
        <v>12</v>
      </c>
      <c r="J1650" t="s">
        <v>126</v>
      </c>
      <c r="K1650">
        <v>74.2</v>
      </c>
      <c r="L1650">
        <v>1</v>
      </c>
      <c r="M1650">
        <v>74.2</v>
      </c>
      <c r="N1650" t="s">
        <v>54</v>
      </c>
      <c r="O1650" t="s">
        <v>32</v>
      </c>
      <c r="P1650" t="s">
        <v>33</v>
      </c>
    </row>
    <row r="1651" spans="1:16" x14ac:dyDescent="0.25">
      <c r="A1651" t="s">
        <v>2368</v>
      </c>
      <c r="B1651" t="s">
        <v>2369</v>
      </c>
      <c r="C1651" s="5">
        <v>0.45347222222222222</v>
      </c>
      <c r="D1651" t="s">
        <v>16</v>
      </c>
      <c r="E1651" t="s">
        <v>582</v>
      </c>
      <c r="F1651" s="4"/>
      <c r="G1651">
        <v>1977</v>
      </c>
      <c r="H1651">
        <v>3</v>
      </c>
      <c r="I1651">
        <v>23</v>
      </c>
      <c r="J1651" t="s">
        <v>129</v>
      </c>
      <c r="K1651">
        <v>151.66</v>
      </c>
      <c r="L1651">
        <v>1</v>
      </c>
      <c r="M1651">
        <v>151.66</v>
      </c>
      <c r="N1651" t="s">
        <v>25</v>
      </c>
      <c r="O1651" t="s">
        <v>26</v>
      </c>
      <c r="P1651" t="s">
        <v>105</v>
      </c>
    </row>
    <row r="1652" spans="1:16" x14ac:dyDescent="0.25">
      <c r="A1652" t="s">
        <v>2370</v>
      </c>
      <c r="B1652" t="s">
        <v>1568</v>
      </c>
      <c r="C1652" s="3">
        <v>0.81524305555555554</v>
      </c>
      <c r="D1652" t="s">
        <v>16</v>
      </c>
      <c r="E1652" t="s">
        <v>211</v>
      </c>
      <c r="F1652" s="4"/>
      <c r="G1652">
        <v>2009</v>
      </c>
      <c r="H1652">
        <v>5</v>
      </c>
      <c r="I1652">
        <v>3</v>
      </c>
      <c r="J1652" t="s">
        <v>45</v>
      </c>
      <c r="K1652">
        <v>330.68</v>
      </c>
      <c r="L1652">
        <v>2</v>
      </c>
      <c r="M1652">
        <v>661.36</v>
      </c>
      <c r="N1652" t="s">
        <v>31</v>
      </c>
      <c r="O1652" t="s">
        <v>61</v>
      </c>
      <c r="P1652" t="s">
        <v>27</v>
      </c>
    </row>
    <row r="1653" spans="1:16" x14ac:dyDescent="0.25">
      <c r="A1653" t="s">
        <v>2371</v>
      </c>
      <c r="B1653" t="s">
        <v>1334</v>
      </c>
      <c r="C1653" s="5">
        <v>0.4548611111111111</v>
      </c>
      <c r="D1653" t="s">
        <v>16</v>
      </c>
      <c r="E1653" t="s">
        <v>173</v>
      </c>
      <c r="F1653" s="4"/>
      <c r="G1653">
        <v>2008</v>
      </c>
      <c r="H1653">
        <v>7</v>
      </c>
      <c r="I1653">
        <v>11</v>
      </c>
      <c r="J1653" t="s">
        <v>126</v>
      </c>
      <c r="K1653">
        <v>277.67</v>
      </c>
      <c r="L1653">
        <v>2</v>
      </c>
      <c r="M1653">
        <v>555.34</v>
      </c>
      <c r="N1653" t="s">
        <v>64</v>
      </c>
      <c r="O1653" t="s">
        <v>55</v>
      </c>
      <c r="P1653" t="s">
        <v>27</v>
      </c>
    </row>
    <row r="1654" spans="1:16" x14ac:dyDescent="0.25">
      <c r="A1654" t="s">
        <v>2372</v>
      </c>
      <c r="B1654" s="1">
        <v>45767</v>
      </c>
      <c r="C1654" s="3">
        <v>0.86745370370370367</v>
      </c>
      <c r="D1654" t="s">
        <v>16</v>
      </c>
      <c r="E1654" t="s">
        <v>628</v>
      </c>
      <c r="F1654" s="4"/>
      <c r="G1654">
        <v>1977</v>
      </c>
      <c r="H1654">
        <v>11</v>
      </c>
      <c r="I1654">
        <v>15</v>
      </c>
      <c r="J1654" t="s">
        <v>93</v>
      </c>
      <c r="K1654" t="s">
        <v>2373</v>
      </c>
      <c r="L1654">
        <v>1</v>
      </c>
      <c r="M1654">
        <v>116.19999999999899</v>
      </c>
      <c r="N1654" t="s">
        <v>31</v>
      </c>
      <c r="O1654" t="s">
        <v>61</v>
      </c>
      <c r="P1654" t="s">
        <v>74</v>
      </c>
    </row>
    <row r="1655" spans="1:16" x14ac:dyDescent="0.25">
      <c r="A1655" t="s">
        <v>2374</v>
      </c>
      <c r="B1655" s="4">
        <v>45853</v>
      </c>
      <c r="C1655" s="3">
        <v>0.52276620370370375</v>
      </c>
      <c r="D1655" t="s">
        <v>16</v>
      </c>
      <c r="E1655" t="s">
        <v>140</v>
      </c>
      <c r="F1655" s="1"/>
      <c r="G1655">
        <v>1973</v>
      </c>
      <c r="H1655">
        <v>1</v>
      </c>
      <c r="I1655">
        <v>27</v>
      </c>
      <c r="J1655" t="s">
        <v>73</v>
      </c>
      <c r="K1655">
        <v>43.83</v>
      </c>
      <c r="L1655">
        <v>3</v>
      </c>
      <c r="M1655">
        <v>131.49</v>
      </c>
      <c r="N1655" t="s">
        <v>25</v>
      </c>
      <c r="O1655" t="s">
        <v>26</v>
      </c>
      <c r="P1655" t="s">
        <v>105</v>
      </c>
    </row>
    <row r="1656" spans="1:16" x14ac:dyDescent="0.25">
      <c r="A1656" t="s">
        <v>2375</v>
      </c>
      <c r="B1656" t="s">
        <v>309</v>
      </c>
      <c r="C1656" s="2">
        <v>0.47638888888888886</v>
      </c>
      <c r="D1656" t="s">
        <v>16</v>
      </c>
      <c r="E1656" t="s">
        <v>173</v>
      </c>
      <c r="F1656" s="4"/>
      <c r="G1656">
        <v>2010</v>
      </c>
      <c r="H1656">
        <v>9</v>
      </c>
      <c r="I1656">
        <v>28</v>
      </c>
      <c r="J1656" t="s">
        <v>18</v>
      </c>
      <c r="K1656">
        <v>99.51</v>
      </c>
      <c r="L1656">
        <v>1</v>
      </c>
      <c r="M1656">
        <v>99.51</v>
      </c>
      <c r="O1656" t="s">
        <v>47</v>
      </c>
      <c r="P1656" t="s">
        <v>27</v>
      </c>
    </row>
    <row r="1657" spans="1:16" x14ac:dyDescent="0.25">
      <c r="A1657" t="s">
        <v>2376</v>
      </c>
      <c r="B1657" t="s">
        <v>1954</v>
      </c>
      <c r="C1657" s="2">
        <v>0.68055555555555558</v>
      </c>
      <c r="D1657" t="s">
        <v>16</v>
      </c>
      <c r="E1657" t="s">
        <v>548</v>
      </c>
      <c r="F1657" s="4"/>
      <c r="G1657">
        <v>2008</v>
      </c>
      <c r="H1657">
        <v>5</v>
      </c>
      <c r="I1657">
        <v>14</v>
      </c>
      <c r="J1657" t="s">
        <v>259</v>
      </c>
      <c r="K1657">
        <v>175.98</v>
      </c>
      <c r="L1657">
        <v>2</v>
      </c>
      <c r="M1657">
        <v>351.96</v>
      </c>
      <c r="N1657" t="s">
        <v>41</v>
      </c>
      <c r="O1657" t="s">
        <v>47</v>
      </c>
      <c r="P1657" t="s">
        <v>27</v>
      </c>
    </row>
    <row r="1658" spans="1:16" x14ac:dyDescent="0.25">
      <c r="A1658" t="s">
        <v>2377</v>
      </c>
      <c r="B1658" s="1">
        <v>45744</v>
      </c>
      <c r="C1658" s="3">
        <v>0.88556712962962958</v>
      </c>
      <c r="D1658" t="s">
        <v>16</v>
      </c>
      <c r="E1658" t="s">
        <v>204</v>
      </c>
      <c r="G1658">
        <v>1978</v>
      </c>
      <c r="H1658">
        <v>9</v>
      </c>
      <c r="I1658">
        <v>20</v>
      </c>
      <c r="J1658" t="s">
        <v>141</v>
      </c>
      <c r="K1658">
        <v>144.29</v>
      </c>
      <c r="L1658">
        <v>1</v>
      </c>
      <c r="M1658">
        <v>144.29</v>
      </c>
      <c r="O1658" t="s">
        <v>20</v>
      </c>
      <c r="P1658" t="s">
        <v>21</v>
      </c>
    </row>
    <row r="1659" spans="1:16" x14ac:dyDescent="0.25">
      <c r="A1659" t="s">
        <v>2378</v>
      </c>
      <c r="B1659" s="1">
        <v>45930</v>
      </c>
      <c r="C1659" s="5">
        <v>0.85347222222222219</v>
      </c>
      <c r="D1659" t="s">
        <v>16</v>
      </c>
      <c r="E1659" t="s">
        <v>420</v>
      </c>
      <c r="F1659" s="4"/>
      <c r="G1659">
        <v>1975</v>
      </c>
      <c r="H1659">
        <v>6</v>
      </c>
      <c r="I1659">
        <v>24</v>
      </c>
      <c r="J1659" t="s">
        <v>40</v>
      </c>
      <c r="K1659">
        <v>173.68</v>
      </c>
      <c r="L1659">
        <v>2</v>
      </c>
      <c r="M1659">
        <v>396.36</v>
      </c>
      <c r="N1659" t="s">
        <v>67</v>
      </c>
      <c r="O1659" t="s">
        <v>61</v>
      </c>
      <c r="P1659" t="s">
        <v>56</v>
      </c>
    </row>
    <row r="1660" spans="1:16" x14ac:dyDescent="0.25">
      <c r="A1660" t="s">
        <v>2379</v>
      </c>
      <c r="B1660" t="s">
        <v>2380</v>
      </c>
      <c r="C1660" s="5">
        <v>0.99097222222222225</v>
      </c>
      <c r="D1660" t="s">
        <v>16</v>
      </c>
      <c r="E1660" t="s">
        <v>1617</v>
      </c>
      <c r="F1660" s="4"/>
      <c r="G1660">
        <v>2008</v>
      </c>
      <c r="H1660">
        <v>9</v>
      </c>
      <c r="I1660">
        <v>27</v>
      </c>
      <c r="J1660" t="s">
        <v>199</v>
      </c>
      <c r="K1660">
        <v>165.19</v>
      </c>
      <c r="L1660">
        <v>1</v>
      </c>
      <c r="M1660">
        <v>165.19</v>
      </c>
      <c r="N1660" t="s">
        <v>67</v>
      </c>
      <c r="O1660" t="s">
        <v>55</v>
      </c>
    </row>
    <row r="1661" spans="1:16" x14ac:dyDescent="0.25">
      <c r="A1661" t="s">
        <v>2381</v>
      </c>
      <c r="B1661" s="4">
        <v>45705</v>
      </c>
      <c r="C1661" s="3">
        <v>0.53848379629629628</v>
      </c>
      <c r="D1661" t="s">
        <v>16</v>
      </c>
      <c r="E1661" t="s">
        <v>95</v>
      </c>
      <c r="F1661" s="1"/>
      <c r="G1661">
        <v>1989</v>
      </c>
      <c r="H1661">
        <v>4</v>
      </c>
      <c r="I1661">
        <v>3</v>
      </c>
      <c r="J1661" t="s">
        <v>164</v>
      </c>
      <c r="K1661">
        <v>269.92</v>
      </c>
      <c r="L1661">
        <v>1</v>
      </c>
      <c r="M1661">
        <v>269.92</v>
      </c>
      <c r="N1661" t="s">
        <v>25</v>
      </c>
      <c r="O1661" t="s">
        <v>20</v>
      </c>
      <c r="P1661" t="s">
        <v>21</v>
      </c>
    </row>
    <row r="1662" spans="1:16" x14ac:dyDescent="0.25">
      <c r="A1662" t="s">
        <v>2382</v>
      </c>
      <c r="B1662" s="4">
        <v>45761</v>
      </c>
      <c r="C1662" s="2">
        <v>0.99791666666666667</v>
      </c>
      <c r="D1662" t="s">
        <v>16</v>
      </c>
      <c r="E1662" t="s">
        <v>295</v>
      </c>
      <c r="G1662">
        <v>1978</v>
      </c>
      <c r="H1662">
        <v>12</v>
      </c>
      <c r="I1662">
        <v>18</v>
      </c>
      <c r="J1662" t="s">
        <v>45</v>
      </c>
      <c r="K1662">
        <v>208.81</v>
      </c>
      <c r="L1662">
        <v>3</v>
      </c>
      <c r="M1662">
        <v>626.42999999999995</v>
      </c>
      <c r="N1662" t="s">
        <v>25</v>
      </c>
      <c r="O1662" t="s">
        <v>32</v>
      </c>
    </row>
    <row r="1663" spans="1:16" x14ac:dyDescent="0.25">
      <c r="A1663" t="s">
        <v>2383</v>
      </c>
      <c r="B1663" s="4">
        <v>45905</v>
      </c>
      <c r="C1663" s="3">
        <v>0.54156249999999995</v>
      </c>
      <c r="D1663" t="s">
        <v>16</v>
      </c>
      <c r="E1663" t="s">
        <v>2384</v>
      </c>
      <c r="J1663" t="s">
        <v>104</v>
      </c>
      <c r="K1663">
        <v>252.02</v>
      </c>
      <c r="L1663">
        <v>2</v>
      </c>
      <c r="M1663">
        <v>504.04</v>
      </c>
      <c r="N1663" t="s">
        <v>54</v>
      </c>
      <c r="O1663" t="s">
        <v>32</v>
      </c>
    </row>
    <row r="1664" spans="1:16" x14ac:dyDescent="0.25">
      <c r="A1664" t="s">
        <v>2385</v>
      </c>
      <c r="B1664" t="s">
        <v>498</v>
      </c>
      <c r="C1664" s="2">
        <v>0.70763888888888893</v>
      </c>
      <c r="D1664" t="s">
        <v>16</v>
      </c>
      <c r="E1664" t="s">
        <v>107</v>
      </c>
      <c r="J1664" t="s">
        <v>259</v>
      </c>
      <c r="K1664">
        <v>194.31</v>
      </c>
      <c r="L1664">
        <v>2</v>
      </c>
      <c r="M1664">
        <v>388.62</v>
      </c>
      <c r="O1664" t="s">
        <v>47</v>
      </c>
      <c r="P1664" t="s">
        <v>21</v>
      </c>
    </row>
    <row r="1665" spans="1:16" x14ac:dyDescent="0.25">
      <c r="A1665" t="s">
        <v>2386</v>
      </c>
      <c r="B1665" s="4">
        <v>45706</v>
      </c>
      <c r="C1665" s="2">
        <v>0.59930555555555554</v>
      </c>
      <c r="D1665" t="s">
        <v>16</v>
      </c>
      <c r="E1665" t="s">
        <v>88</v>
      </c>
      <c r="F1665" s="4"/>
      <c r="G1665">
        <v>1977</v>
      </c>
      <c r="H1665">
        <v>2</v>
      </c>
      <c r="I1665">
        <v>15</v>
      </c>
      <c r="J1665" t="s">
        <v>73</v>
      </c>
      <c r="K1665">
        <v>38.840000000000003</v>
      </c>
      <c r="L1665">
        <v>2</v>
      </c>
      <c r="M1665">
        <v>77.680000000000007</v>
      </c>
      <c r="O1665" t="s">
        <v>26</v>
      </c>
    </row>
    <row r="1666" spans="1:16" x14ac:dyDescent="0.25">
      <c r="A1666" t="s">
        <v>2387</v>
      </c>
      <c r="B1666" s="4">
        <v>45652</v>
      </c>
      <c r="C1666" s="2">
        <v>0.6645833333333333</v>
      </c>
      <c r="D1666" t="s">
        <v>16</v>
      </c>
      <c r="E1666" t="s">
        <v>169</v>
      </c>
      <c r="F1666" s="1"/>
      <c r="G1666">
        <v>1992</v>
      </c>
      <c r="H1666">
        <v>5</v>
      </c>
      <c r="I1666">
        <v>18</v>
      </c>
      <c r="J1666" t="s">
        <v>30</v>
      </c>
      <c r="K1666">
        <v>277.25</v>
      </c>
      <c r="L1666">
        <v>1</v>
      </c>
      <c r="M1666">
        <v>277.25</v>
      </c>
      <c r="N1666" t="s">
        <v>31</v>
      </c>
      <c r="O1666" t="s">
        <v>61</v>
      </c>
    </row>
    <row r="1667" spans="1:16" x14ac:dyDescent="0.25">
      <c r="A1667" t="s">
        <v>2388</v>
      </c>
      <c r="B1667" t="s">
        <v>853</v>
      </c>
      <c r="C1667" s="3">
        <v>0.72298611111111111</v>
      </c>
      <c r="D1667" t="s">
        <v>16</v>
      </c>
      <c r="E1667" t="s">
        <v>84</v>
      </c>
      <c r="F1667" s="1"/>
      <c r="G1667">
        <v>1973</v>
      </c>
      <c r="H1667">
        <v>12</v>
      </c>
      <c r="I1667">
        <v>19</v>
      </c>
      <c r="J1667" t="s">
        <v>53</v>
      </c>
      <c r="K1667">
        <v>108.72</v>
      </c>
      <c r="L1667">
        <v>2</v>
      </c>
      <c r="M1667">
        <v>217.44</v>
      </c>
      <c r="N1667" t="s">
        <v>25</v>
      </c>
      <c r="O1667" t="s">
        <v>89</v>
      </c>
      <c r="P1667" t="s">
        <v>21</v>
      </c>
    </row>
    <row r="1668" spans="1:16" x14ac:dyDescent="0.25">
      <c r="A1668" t="s">
        <v>2389</v>
      </c>
      <c r="B1668" s="4">
        <v>45832</v>
      </c>
      <c r="C1668" s="5">
        <v>0.54583333333333328</v>
      </c>
      <c r="D1668" t="s">
        <v>16</v>
      </c>
      <c r="E1668" t="s">
        <v>324</v>
      </c>
      <c r="F1668" s="4"/>
      <c r="G1668">
        <v>2004</v>
      </c>
      <c r="H1668">
        <v>6</v>
      </c>
      <c r="I1668">
        <v>10</v>
      </c>
      <c r="J1668" t="s">
        <v>53</v>
      </c>
      <c r="K1668">
        <v>-113.25</v>
      </c>
      <c r="L1668">
        <v>1</v>
      </c>
      <c r="M1668">
        <v>-113.25</v>
      </c>
      <c r="N1668" t="s">
        <v>19</v>
      </c>
      <c r="O1668" t="s">
        <v>32</v>
      </c>
      <c r="P1668" t="s">
        <v>27</v>
      </c>
    </row>
    <row r="1669" spans="1:16" x14ac:dyDescent="0.25">
      <c r="A1669" t="s">
        <v>2390</v>
      </c>
      <c r="B1669" s="4">
        <v>45691</v>
      </c>
      <c r="C1669" s="3">
        <v>0.70303240740740736</v>
      </c>
      <c r="D1669" t="s">
        <v>16</v>
      </c>
      <c r="E1669" t="s">
        <v>52</v>
      </c>
      <c r="G1669">
        <v>1998</v>
      </c>
      <c r="H1669">
        <v>12</v>
      </c>
      <c r="I1669">
        <v>26</v>
      </c>
      <c r="J1669" t="s">
        <v>145</v>
      </c>
      <c r="K1669">
        <v>210.94</v>
      </c>
      <c r="L1669">
        <v>2</v>
      </c>
      <c r="M1669">
        <v>421.88</v>
      </c>
      <c r="O1669" t="s">
        <v>61</v>
      </c>
    </row>
    <row r="1670" spans="1:16" x14ac:dyDescent="0.25">
      <c r="A1670" t="s">
        <v>2391</v>
      </c>
      <c r="B1670" s="1">
        <v>45765</v>
      </c>
      <c r="C1670" s="2">
        <v>0.70277777777777772</v>
      </c>
      <c r="D1670" t="s">
        <v>16</v>
      </c>
      <c r="E1670" t="s">
        <v>147</v>
      </c>
      <c r="F1670" s="4"/>
      <c r="G1670">
        <v>1985</v>
      </c>
      <c r="H1670">
        <v>4</v>
      </c>
      <c r="I1670">
        <v>25</v>
      </c>
      <c r="J1670" t="s">
        <v>126</v>
      </c>
      <c r="K1670">
        <v>229.64</v>
      </c>
      <c r="L1670">
        <v>2</v>
      </c>
      <c r="M1670">
        <v>459.28</v>
      </c>
      <c r="N1670" t="s">
        <v>64</v>
      </c>
      <c r="O1670" t="s">
        <v>55</v>
      </c>
    </row>
    <row r="1671" spans="1:16" x14ac:dyDescent="0.25">
      <c r="A1671" t="s">
        <v>2392</v>
      </c>
      <c r="B1671" s="4">
        <v>45812</v>
      </c>
      <c r="C1671" s="2">
        <v>0.69166666666666665</v>
      </c>
      <c r="D1671" t="s">
        <v>16</v>
      </c>
      <c r="E1671" t="s">
        <v>473</v>
      </c>
      <c r="F1671" s="4"/>
      <c r="G1671">
        <v>1979</v>
      </c>
      <c r="H1671">
        <v>7</v>
      </c>
      <c r="I1671">
        <v>3</v>
      </c>
      <c r="J1671" t="s">
        <v>93</v>
      </c>
      <c r="K1671">
        <v>185.77</v>
      </c>
      <c r="L1671">
        <v>2</v>
      </c>
      <c r="M1671">
        <v>417.54</v>
      </c>
      <c r="N1671" t="s">
        <v>67</v>
      </c>
      <c r="O1671" t="s">
        <v>20</v>
      </c>
    </row>
    <row r="1672" spans="1:16" x14ac:dyDescent="0.25">
      <c r="A1672" t="s">
        <v>2393</v>
      </c>
      <c r="B1672" s="4">
        <v>45762</v>
      </c>
      <c r="C1672" s="3">
        <v>0.65127314814814818</v>
      </c>
      <c r="D1672" t="s">
        <v>16</v>
      </c>
      <c r="E1672" t="s">
        <v>2095</v>
      </c>
      <c r="F1672" s="4"/>
      <c r="G1672">
        <v>1979</v>
      </c>
      <c r="H1672">
        <v>1</v>
      </c>
      <c r="I1672">
        <v>17</v>
      </c>
      <c r="J1672" t="s">
        <v>60</v>
      </c>
      <c r="K1672">
        <v>301.31</v>
      </c>
      <c r="L1672">
        <v>1</v>
      </c>
      <c r="M1672">
        <v>301.31</v>
      </c>
      <c r="O1672" t="s">
        <v>37</v>
      </c>
      <c r="P1672" t="s">
        <v>21</v>
      </c>
    </row>
    <row r="1673" spans="1:16" x14ac:dyDescent="0.25">
      <c r="A1673" t="s">
        <v>2394</v>
      </c>
      <c r="B1673" s="4">
        <v>45828</v>
      </c>
      <c r="C1673" s="3">
        <v>0.98129629629629633</v>
      </c>
      <c r="D1673" t="s">
        <v>16</v>
      </c>
      <c r="E1673" t="s">
        <v>151</v>
      </c>
      <c r="F1673" s="4"/>
      <c r="G1673">
        <v>1976</v>
      </c>
      <c r="H1673">
        <v>9</v>
      </c>
      <c r="I1673">
        <v>2</v>
      </c>
      <c r="J1673" t="s">
        <v>93</v>
      </c>
      <c r="K1673">
        <v>187.98</v>
      </c>
      <c r="L1673">
        <v>1</v>
      </c>
      <c r="M1673">
        <v>187.98</v>
      </c>
      <c r="N1673" t="s">
        <v>31</v>
      </c>
      <c r="O1673" t="s">
        <v>20</v>
      </c>
      <c r="P1673" t="s">
        <v>56</v>
      </c>
    </row>
    <row r="1674" spans="1:16" x14ac:dyDescent="0.25">
      <c r="A1674" t="s">
        <v>2395</v>
      </c>
      <c r="B1674" t="s">
        <v>482</v>
      </c>
      <c r="C1674" s="5">
        <v>0.5444444444444444</v>
      </c>
      <c r="D1674" t="s">
        <v>16</v>
      </c>
      <c r="E1674" t="s">
        <v>50</v>
      </c>
      <c r="F1674" s="1"/>
      <c r="G1674">
        <v>1977</v>
      </c>
      <c r="H1674">
        <v>4</v>
      </c>
      <c r="I1674">
        <v>11</v>
      </c>
      <c r="J1674" t="s">
        <v>213</v>
      </c>
      <c r="K1674">
        <v>335.84</v>
      </c>
      <c r="L1674">
        <v>3</v>
      </c>
      <c r="M1674">
        <v>1007.52</v>
      </c>
      <c r="N1674" t="s">
        <v>31</v>
      </c>
      <c r="O1674" t="s">
        <v>32</v>
      </c>
      <c r="P1674" t="s">
        <v>21</v>
      </c>
    </row>
    <row r="1675" spans="1:16" x14ac:dyDescent="0.25">
      <c r="A1675" t="s">
        <v>2396</v>
      </c>
      <c r="B1675" s="4">
        <v>45813</v>
      </c>
      <c r="C1675" s="5">
        <v>0.71527777777777779</v>
      </c>
      <c r="D1675" t="s">
        <v>16</v>
      </c>
      <c r="E1675" t="s">
        <v>173</v>
      </c>
      <c r="G1675">
        <v>1981</v>
      </c>
      <c r="H1675">
        <v>9</v>
      </c>
      <c r="I1675">
        <v>3</v>
      </c>
      <c r="J1675" t="s">
        <v>199</v>
      </c>
      <c r="K1675">
        <v>-178.9</v>
      </c>
      <c r="L1675">
        <v>2</v>
      </c>
      <c r="M1675">
        <v>-357.8</v>
      </c>
      <c r="O1675" t="s">
        <v>32</v>
      </c>
    </row>
    <row r="1676" spans="1:16" x14ac:dyDescent="0.25">
      <c r="A1676" t="s">
        <v>2397</v>
      </c>
      <c r="B1676" s="1">
        <v>45771</v>
      </c>
      <c r="C1676" s="3">
        <v>0.69745370370370374</v>
      </c>
      <c r="D1676" t="s">
        <v>16</v>
      </c>
      <c r="E1676" t="s">
        <v>76</v>
      </c>
      <c r="G1676">
        <v>2001</v>
      </c>
      <c r="H1676">
        <v>4</v>
      </c>
      <c r="I1676">
        <v>20</v>
      </c>
      <c r="J1676" t="s">
        <v>129</v>
      </c>
      <c r="K1676">
        <v>184.81</v>
      </c>
      <c r="L1676">
        <v>1</v>
      </c>
      <c r="M1676">
        <v>184.81</v>
      </c>
      <c r="N1676" t="s">
        <v>31</v>
      </c>
      <c r="O1676" t="s">
        <v>32</v>
      </c>
      <c r="P1676" t="s">
        <v>105</v>
      </c>
    </row>
    <row r="1677" spans="1:16" x14ac:dyDescent="0.25">
      <c r="A1677" t="s">
        <v>2398</v>
      </c>
      <c r="B1677" t="s">
        <v>1144</v>
      </c>
      <c r="C1677" s="2">
        <v>0.65555555555555556</v>
      </c>
      <c r="D1677" t="s">
        <v>16</v>
      </c>
      <c r="E1677" t="s">
        <v>227</v>
      </c>
      <c r="G1677">
        <v>2001</v>
      </c>
      <c r="H1677">
        <v>5</v>
      </c>
      <c r="I1677">
        <v>10</v>
      </c>
      <c r="J1677" t="s">
        <v>259</v>
      </c>
      <c r="K1677">
        <v>292.94</v>
      </c>
      <c r="L1677">
        <v>1</v>
      </c>
      <c r="M1677">
        <v>292.94</v>
      </c>
      <c r="N1677" t="s">
        <v>41</v>
      </c>
      <c r="O1677" t="s">
        <v>61</v>
      </c>
      <c r="P1677" t="s">
        <v>74</v>
      </c>
    </row>
    <row r="1678" spans="1:16" x14ac:dyDescent="0.25">
      <c r="A1678" t="s">
        <v>2399</v>
      </c>
      <c r="B1678" s="4">
        <v>45812</v>
      </c>
      <c r="C1678" s="3">
        <v>0.90905092592592596</v>
      </c>
      <c r="D1678" t="s">
        <v>16</v>
      </c>
      <c r="E1678" t="s">
        <v>88</v>
      </c>
      <c r="F1678" s="4"/>
      <c r="G1678">
        <v>1984</v>
      </c>
      <c r="H1678">
        <v>4</v>
      </c>
      <c r="I1678">
        <v>13</v>
      </c>
      <c r="J1678" t="s">
        <v>24</v>
      </c>
      <c r="K1678">
        <v>279.55</v>
      </c>
      <c r="L1678">
        <v>1</v>
      </c>
      <c r="M1678">
        <v>279.55</v>
      </c>
      <c r="N1678" t="s">
        <v>54</v>
      </c>
      <c r="O1678" t="s">
        <v>55</v>
      </c>
      <c r="P1678" t="s">
        <v>33</v>
      </c>
    </row>
    <row r="1679" spans="1:16" x14ac:dyDescent="0.25">
      <c r="A1679" t="s">
        <v>2400</v>
      </c>
      <c r="B1679" s="1">
        <v>45960</v>
      </c>
      <c r="C1679" s="5">
        <v>0.44374999999999998</v>
      </c>
      <c r="D1679" t="s">
        <v>16</v>
      </c>
      <c r="E1679" t="s">
        <v>379</v>
      </c>
      <c r="F1679" s="4"/>
      <c r="G1679">
        <v>1977</v>
      </c>
      <c r="H1679">
        <v>8</v>
      </c>
      <c r="I1679">
        <v>7</v>
      </c>
      <c r="J1679" t="s">
        <v>164</v>
      </c>
      <c r="K1679">
        <v>320.36</v>
      </c>
      <c r="L1679">
        <v>2</v>
      </c>
      <c r="M1679">
        <v>640.72</v>
      </c>
      <c r="O1679" t="s">
        <v>61</v>
      </c>
    </row>
    <row r="1680" spans="1:16" x14ac:dyDescent="0.25">
      <c r="A1680" t="s">
        <v>2401</v>
      </c>
      <c r="B1680" s="1">
        <v>45898</v>
      </c>
      <c r="C1680" s="2">
        <v>0.66249999999999998</v>
      </c>
      <c r="D1680" t="s">
        <v>16</v>
      </c>
      <c r="E1680" t="s">
        <v>101</v>
      </c>
      <c r="G1680">
        <v>1999</v>
      </c>
      <c r="H1680">
        <v>12</v>
      </c>
      <c r="I1680">
        <v>19</v>
      </c>
      <c r="J1680" t="s">
        <v>73</v>
      </c>
      <c r="K1680">
        <v>37.340000000000003</v>
      </c>
      <c r="L1680">
        <v>3</v>
      </c>
      <c r="M1680">
        <v>112.02</v>
      </c>
      <c r="N1680" t="s">
        <v>67</v>
      </c>
      <c r="O1680" t="s">
        <v>37</v>
      </c>
    </row>
    <row r="1681" spans="1:16" x14ac:dyDescent="0.25">
      <c r="A1681" t="s">
        <v>2402</v>
      </c>
      <c r="B1681" t="s">
        <v>2403</v>
      </c>
      <c r="C1681" s="3">
        <v>0.69020833333333331</v>
      </c>
      <c r="D1681" t="s">
        <v>16</v>
      </c>
      <c r="E1681" t="s">
        <v>169</v>
      </c>
      <c r="F1681" s="4"/>
      <c r="G1681">
        <v>1971</v>
      </c>
      <c r="H1681">
        <v>1</v>
      </c>
      <c r="I1681">
        <v>8</v>
      </c>
      <c r="J1681" t="s">
        <v>24</v>
      </c>
      <c r="K1681">
        <v>281.20999999999998</v>
      </c>
      <c r="L1681">
        <v>2</v>
      </c>
      <c r="M1681">
        <v>562.41999999999996</v>
      </c>
      <c r="N1681" t="s">
        <v>67</v>
      </c>
      <c r="O1681" t="s">
        <v>47</v>
      </c>
      <c r="P1681" t="s">
        <v>56</v>
      </c>
    </row>
    <row r="1682" spans="1:16" x14ac:dyDescent="0.25">
      <c r="A1682" t="s">
        <v>2404</v>
      </c>
      <c r="B1682" s="1">
        <v>45708</v>
      </c>
      <c r="C1682" s="3">
        <v>0.80798611111111107</v>
      </c>
      <c r="D1682" t="s">
        <v>16</v>
      </c>
      <c r="E1682" t="s">
        <v>252</v>
      </c>
      <c r="F1682" s="4"/>
      <c r="G1682">
        <v>2006</v>
      </c>
      <c r="H1682">
        <v>7</v>
      </c>
      <c r="I1682">
        <v>28</v>
      </c>
      <c r="J1682" t="s">
        <v>85</v>
      </c>
      <c r="K1682">
        <v>203.2</v>
      </c>
      <c r="L1682">
        <v>1</v>
      </c>
      <c r="M1682">
        <v>203.2</v>
      </c>
      <c r="N1682" t="s">
        <v>31</v>
      </c>
      <c r="O1682" t="s">
        <v>61</v>
      </c>
      <c r="P1682" t="s">
        <v>74</v>
      </c>
    </row>
    <row r="1683" spans="1:16" x14ac:dyDescent="0.25">
      <c r="A1683" t="s">
        <v>2405</v>
      </c>
      <c r="B1683" s="4">
        <v>45694</v>
      </c>
      <c r="C1683" s="3">
        <v>0.6386574074074074</v>
      </c>
      <c r="D1683" t="s">
        <v>16</v>
      </c>
      <c r="E1683" t="s">
        <v>882</v>
      </c>
      <c r="G1683">
        <v>1977</v>
      </c>
      <c r="H1683">
        <v>6</v>
      </c>
      <c r="I1683">
        <v>24</v>
      </c>
      <c r="J1683" t="s">
        <v>45</v>
      </c>
      <c r="K1683">
        <v>52.7</v>
      </c>
      <c r="L1683">
        <v>1</v>
      </c>
      <c r="M1683">
        <v>100.7</v>
      </c>
      <c r="N1683" t="s">
        <v>54</v>
      </c>
      <c r="O1683" t="s">
        <v>89</v>
      </c>
      <c r="P1683" t="s">
        <v>105</v>
      </c>
    </row>
    <row r="1684" spans="1:16" x14ac:dyDescent="0.25">
      <c r="A1684" t="s">
        <v>2406</v>
      </c>
      <c r="B1684" s="1">
        <v>45632</v>
      </c>
      <c r="C1684" s="5">
        <v>0.48819444444444443</v>
      </c>
      <c r="D1684" t="s">
        <v>16</v>
      </c>
      <c r="E1684" t="s">
        <v>84</v>
      </c>
      <c r="G1684">
        <v>1985</v>
      </c>
      <c r="H1684">
        <v>8</v>
      </c>
      <c r="I1684">
        <v>24</v>
      </c>
      <c r="J1684" t="s">
        <v>164</v>
      </c>
      <c r="K1684">
        <v>272.01</v>
      </c>
      <c r="L1684">
        <v>1</v>
      </c>
      <c r="M1684">
        <v>272.01</v>
      </c>
      <c r="O1684" t="s">
        <v>89</v>
      </c>
      <c r="P1684" t="s">
        <v>27</v>
      </c>
    </row>
    <row r="1685" spans="1:16" x14ac:dyDescent="0.25">
      <c r="A1685" t="s">
        <v>2407</v>
      </c>
      <c r="B1685" s="4">
        <v>45945</v>
      </c>
      <c r="C1685" s="3">
        <v>0.45284722222222223</v>
      </c>
      <c r="D1685" t="s">
        <v>16</v>
      </c>
      <c r="E1685" t="s">
        <v>358</v>
      </c>
      <c r="F1685" s="4"/>
      <c r="G1685">
        <v>1978</v>
      </c>
      <c r="H1685">
        <v>2</v>
      </c>
      <c r="I1685">
        <v>23</v>
      </c>
      <c r="J1685" t="s">
        <v>259</v>
      </c>
      <c r="K1685">
        <v>137.41999999999999</v>
      </c>
      <c r="L1685">
        <v>2</v>
      </c>
      <c r="M1685">
        <v>274.83999999999997</v>
      </c>
      <c r="N1685" t="s">
        <v>31</v>
      </c>
      <c r="O1685" t="s">
        <v>32</v>
      </c>
      <c r="P1685" t="s">
        <v>21</v>
      </c>
    </row>
    <row r="1686" spans="1:16" x14ac:dyDescent="0.25">
      <c r="A1686" t="s">
        <v>2408</v>
      </c>
      <c r="B1686" s="4">
        <v>45929</v>
      </c>
      <c r="C1686" s="3">
        <v>0.7120023148148148</v>
      </c>
      <c r="D1686" t="s">
        <v>16</v>
      </c>
      <c r="E1686" t="s">
        <v>88</v>
      </c>
      <c r="F1686" s="4"/>
      <c r="G1686">
        <v>2004</v>
      </c>
      <c r="H1686">
        <v>12</v>
      </c>
      <c r="I1686">
        <v>14</v>
      </c>
      <c r="J1686" t="s">
        <v>243</v>
      </c>
      <c r="K1686">
        <v>138.69</v>
      </c>
      <c r="L1686">
        <v>3</v>
      </c>
      <c r="M1686">
        <v>416.07</v>
      </c>
      <c r="N1686" t="s">
        <v>19</v>
      </c>
      <c r="O1686" t="s">
        <v>61</v>
      </c>
      <c r="P1686" t="s">
        <v>74</v>
      </c>
    </row>
    <row r="1687" spans="1:16" x14ac:dyDescent="0.25">
      <c r="A1687" t="s">
        <v>2409</v>
      </c>
      <c r="C1687" s="2">
        <v>0.9916666666666667</v>
      </c>
      <c r="D1687" t="s">
        <v>16</v>
      </c>
      <c r="E1687" t="s">
        <v>66</v>
      </c>
      <c r="G1687">
        <v>2006</v>
      </c>
      <c r="H1687">
        <v>7</v>
      </c>
      <c r="I1687">
        <v>25</v>
      </c>
      <c r="J1687" t="s">
        <v>30</v>
      </c>
      <c r="K1687">
        <v>207.01</v>
      </c>
      <c r="L1687">
        <v>2</v>
      </c>
      <c r="M1687">
        <v>414.02</v>
      </c>
      <c r="N1687" t="s">
        <v>25</v>
      </c>
      <c r="O1687" t="s">
        <v>26</v>
      </c>
    </row>
    <row r="1688" spans="1:16" x14ac:dyDescent="0.25">
      <c r="A1688" t="s">
        <v>2410</v>
      </c>
      <c r="B1688" s="1">
        <v>45829</v>
      </c>
      <c r="C1688" s="3">
        <v>0.82050925925925922</v>
      </c>
      <c r="D1688" t="s">
        <v>16</v>
      </c>
      <c r="E1688" t="s">
        <v>76</v>
      </c>
      <c r="F1688" s="1"/>
      <c r="G1688">
        <v>1981</v>
      </c>
      <c r="H1688">
        <v>1</v>
      </c>
      <c r="I1688">
        <v>7</v>
      </c>
      <c r="J1688" t="s">
        <v>145</v>
      </c>
      <c r="K1688">
        <v>73.03</v>
      </c>
      <c r="L1688">
        <v>2</v>
      </c>
      <c r="M1688">
        <v>146.06</v>
      </c>
      <c r="N1688" t="s">
        <v>31</v>
      </c>
      <c r="O1688" t="s">
        <v>32</v>
      </c>
      <c r="P1688" t="s">
        <v>33</v>
      </c>
    </row>
    <row r="1689" spans="1:16" x14ac:dyDescent="0.25">
      <c r="A1689" t="s">
        <v>2411</v>
      </c>
      <c r="B1689" s="1">
        <v>45619</v>
      </c>
      <c r="C1689" s="5">
        <v>0.8930555555555556</v>
      </c>
      <c r="D1689" t="s">
        <v>16</v>
      </c>
      <c r="E1689" t="s">
        <v>512</v>
      </c>
      <c r="G1689">
        <v>1981</v>
      </c>
      <c r="H1689">
        <v>6</v>
      </c>
      <c r="I1689">
        <v>15</v>
      </c>
      <c r="J1689" t="s">
        <v>85</v>
      </c>
      <c r="K1689">
        <v>299.07</v>
      </c>
      <c r="L1689">
        <v>2</v>
      </c>
      <c r="M1689">
        <v>598.14</v>
      </c>
      <c r="N1689" t="s">
        <v>41</v>
      </c>
      <c r="O1689" t="s">
        <v>20</v>
      </c>
      <c r="P1689" t="s">
        <v>74</v>
      </c>
    </row>
    <row r="1690" spans="1:16" x14ac:dyDescent="0.25">
      <c r="A1690" t="s">
        <v>2412</v>
      </c>
      <c r="B1690" s="1">
        <v>45707</v>
      </c>
      <c r="C1690" s="5">
        <v>0.72777777777777775</v>
      </c>
      <c r="D1690" t="s">
        <v>16</v>
      </c>
      <c r="E1690" t="s">
        <v>133</v>
      </c>
      <c r="F1690" s="1"/>
      <c r="G1690">
        <v>2002</v>
      </c>
      <c r="H1690">
        <v>1</v>
      </c>
      <c r="I1690">
        <v>16</v>
      </c>
      <c r="J1690" t="s">
        <v>110</v>
      </c>
      <c r="K1690">
        <v>95.66</v>
      </c>
      <c r="L1690">
        <v>1</v>
      </c>
      <c r="M1690">
        <v>95.66</v>
      </c>
      <c r="N1690" t="s">
        <v>67</v>
      </c>
      <c r="O1690" t="s">
        <v>47</v>
      </c>
    </row>
    <row r="1691" spans="1:16" x14ac:dyDescent="0.25">
      <c r="A1691" t="s">
        <v>2413</v>
      </c>
      <c r="B1691" t="s">
        <v>217</v>
      </c>
      <c r="C1691" s="2">
        <v>0.9770833333333333</v>
      </c>
      <c r="D1691" t="s">
        <v>16</v>
      </c>
      <c r="E1691" t="s">
        <v>133</v>
      </c>
      <c r="F1691" s="1"/>
      <c r="G1691">
        <v>2007</v>
      </c>
      <c r="H1691">
        <v>9</v>
      </c>
      <c r="I1691">
        <v>5</v>
      </c>
      <c r="J1691" t="s">
        <v>45</v>
      </c>
      <c r="K1691">
        <v>284.66000000000003</v>
      </c>
      <c r="L1691">
        <v>3</v>
      </c>
      <c r="M1691">
        <v>853.98</v>
      </c>
      <c r="N1691" t="s">
        <v>67</v>
      </c>
      <c r="O1691" t="s">
        <v>61</v>
      </c>
    </row>
    <row r="1692" spans="1:16" x14ac:dyDescent="0.25">
      <c r="A1692" t="s">
        <v>2414</v>
      </c>
      <c r="B1692" s="1">
        <v>45868</v>
      </c>
      <c r="C1692" s="2">
        <v>0.50486111111111109</v>
      </c>
      <c r="D1692" t="s">
        <v>16</v>
      </c>
      <c r="E1692" t="s">
        <v>140</v>
      </c>
      <c r="G1692">
        <v>2008</v>
      </c>
      <c r="H1692">
        <v>7</v>
      </c>
      <c r="I1692">
        <v>1</v>
      </c>
      <c r="J1692" t="s">
        <v>24</v>
      </c>
      <c r="K1692">
        <v>245.82</v>
      </c>
      <c r="L1692">
        <v>1</v>
      </c>
      <c r="M1692">
        <v>245.82</v>
      </c>
      <c r="O1692" t="s">
        <v>20</v>
      </c>
    </row>
    <row r="1693" spans="1:16" x14ac:dyDescent="0.25">
      <c r="A1693" t="s">
        <v>2415</v>
      </c>
      <c r="B1693" t="s">
        <v>2403</v>
      </c>
      <c r="C1693" s="2">
        <v>0.48194444444444445</v>
      </c>
      <c r="D1693" t="s">
        <v>16</v>
      </c>
      <c r="E1693" t="s">
        <v>776</v>
      </c>
      <c r="F1693" s="1"/>
      <c r="G1693">
        <v>1997</v>
      </c>
      <c r="H1693">
        <v>9</v>
      </c>
      <c r="I1693">
        <v>26</v>
      </c>
      <c r="J1693" t="s">
        <v>110</v>
      </c>
      <c r="K1693">
        <v>92.15</v>
      </c>
      <c r="L1693">
        <v>2</v>
      </c>
      <c r="M1693">
        <v>184.3</v>
      </c>
      <c r="O1693" t="s">
        <v>47</v>
      </c>
      <c r="P1693" t="s">
        <v>74</v>
      </c>
    </row>
    <row r="1694" spans="1:16" x14ac:dyDescent="0.25">
      <c r="A1694" t="s">
        <v>2416</v>
      </c>
      <c r="B1694" s="1">
        <v>45796</v>
      </c>
      <c r="C1694" s="2">
        <v>0.94305555555555554</v>
      </c>
      <c r="D1694" t="s">
        <v>16</v>
      </c>
      <c r="E1694" t="s">
        <v>338</v>
      </c>
      <c r="J1694" t="s">
        <v>18</v>
      </c>
      <c r="K1694">
        <v>109.78</v>
      </c>
      <c r="L1694">
        <v>1</v>
      </c>
      <c r="M1694">
        <v>109.78</v>
      </c>
      <c r="N1694" t="s">
        <v>64</v>
      </c>
      <c r="O1694" t="s">
        <v>55</v>
      </c>
      <c r="P1694" t="s">
        <v>105</v>
      </c>
    </row>
    <row r="1695" spans="1:16" x14ac:dyDescent="0.25">
      <c r="A1695" t="s">
        <v>2417</v>
      </c>
      <c r="B1695" s="1">
        <v>45855</v>
      </c>
      <c r="C1695" s="2">
        <v>0.96805555555555556</v>
      </c>
      <c r="D1695" t="s">
        <v>16</v>
      </c>
      <c r="E1695" t="s">
        <v>151</v>
      </c>
      <c r="F1695" s="4"/>
      <c r="G1695">
        <v>1970</v>
      </c>
      <c r="H1695">
        <v>1</v>
      </c>
      <c r="I1695">
        <v>19</v>
      </c>
      <c r="J1695" t="s">
        <v>213</v>
      </c>
      <c r="K1695" t="s">
        <v>2418</v>
      </c>
      <c r="L1695">
        <v>3</v>
      </c>
      <c r="M1695">
        <v>721.86</v>
      </c>
      <c r="N1695" t="s">
        <v>67</v>
      </c>
      <c r="O1695" t="s">
        <v>32</v>
      </c>
    </row>
    <row r="1696" spans="1:16" x14ac:dyDescent="0.25">
      <c r="A1696" t="s">
        <v>2419</v>
      </c>
      <c r="B1696" s="1">
        <v>45808</v>
      </c>
      <c r="C1696" s="3">
        <v>0.93072916666666672</v>
      </c>
      <c r="D1696" t="s">
        <v>16</v>
      </c>
      <c r="E1696" t="s">
        <v>118</v>
      </c>
      <c r="F1696" s="4"/>
      <c r="G1696">
        <v>1973</v>
      </c>
      <c r="H1696">
        <v>8</v>
      </c>
      <c r="I1696">
        <v>16</v>
      </c>
      <c r="J1696" t="s">
        <v>178</v>
      </c>
      <c r="K1696">
        <v>242.67</v>
      </c>
      <c r="L1696">
        <v>1</v>
      </c>
      <c r="M1696">
        <v>242.67</v>
      </c>
      <c r="N1696" t="s">
        <v>41</v>
      </c>
      <c r="O1696" t="s">
        <v>61</v>
      </c>
      <c r="P1696" t="s">
        <v>105</v>
      </c>
    </row>
    <row r="1697" spans="1:16" x14ac:dyDescent="0.25">
      <c r="A1697" t="s">
        <v>2420</v>
      </c>
      <c r="B1697" s="1">
        <v>45686</v>
      </c>
      <c r="C1697" s="3">
        <v>0.87770833333333331</v>
      </c>
      <c r="D1697" t="s">
        <v>16</v>
      </c>
      <c r="E1697" t="s">
        <v>107</v>
      </c>
      <c r="G1697">
        <v>1997</v>
      </c>
      <c r="H1697">
        <v>12</v>
      </c>
      <c r="I1697">
        <v>19</v>
      </c>
      <c r="J1697" t="s">
        <v>40</v>
      </c>
      <c r="K1697">
        <v>173.43</v>
      </c>
      <c r="L1697">
        <v>1</v>
      </c>
      <c r="M1697">
        <v>173.43</v>
      </c>
      <c r="N1697" t="s">
        <v>54</v>
      </c>
      <c r="O1697" t="s">
        <v>61</v>
      </c>
      <c r="P1697" t="s">
        <v>56</v>
      </c>
    </row>
    <row r="1698" spans="1:16" x14ac:dyDescent="0.25">
      <c r="A1698" t="s">
        <v>2421</v>
      </c>
      <c r="B1698" t="s">
        <v>2422</v>
      </c>
      <c r="C1698" s="2">
        <v>0.82916666666666672</v>
      </c>
      <c r="D1698" t="s">
        <v>16</v>
      </c>
      <c r="E1698" t="s">
        <v>494</v>
      </c>
      <c r="G1698">
        <v>1992</v>
      </c>
      <c r="H1698">
        <v>10</v>
      </c>
      <c r="I1698">
        <v>8</v>
      </c>
      <c r="J1698" t="s">
        <v>110</v>
      </c>
      <c r="K1698">
        <v>105.94</v>
      </c>
      <c r="L1698">
        <v>3</v>
      </c>
      <c r="M1698">
        <v>317.82</v>
      </c>
      <c r="N1698" t="s">
        <v>67</v>
      </c>
      <c r="O1698" t="s">
        <v>32</v>
      </c>
      <c r="P1698" t="s">
        <v>21</v>
      </c>
    </row>
    <row r="1699" spans="1:16" x14ac:dyDescent="0.25">
      <c r="A1699" t="s">
        <v>2423</v>
      </c>
      <c r="B1699" s="4">
        <v>45845</v>
      </c>
      <c r="C1699" s="2">
        <v>0.54374999999999996</v>
      </c>
      <c r="D1699" t="s">
        <v>16</v>
      </c>
      <c r="E1699" t="s">
        <v>324</v>
      </c>
      <c r="F1699" s="4"/>
      <c r="G1699">
        <v>1972</v>
      </c>
      <c r="H1699">
        <v>8</v>
      </c>
      <c r="I1699">
        <v>1</v>
      </c>
      <c r="J1699" t="s">
        <v>199</v>
      </c>
      <c r="K1699">
        <v>237.55</v>
      </c>
      <c r="L1699">
        <v>2</v>
      </c>
      <c r="M1699">
        <v>475.1</v>
      </c>
      <c r="N1699" t="s">
        <v>19</v>
      </c>
      <c r="O1699" t="s">
        <v>26</v>
      </c>
    </row>
    <row r="1700" spans="1:16" x14ac:dyDescent="0.25">
      <c r="A1700" t="s">
        <v>2424</v>
      </c>
      <c r="B1700" t="s">
        <v>100</v>
      </c>
      <c r="C1700" s="5">
        <v>0.82638888888888884</v>
      </c>
      <c r="D1700" t="s">
        <v>16</v>
      </c>
      <c r="E1700" t="s">
        <v>597</v>
      </c>
      <c r="F1700" s="4"/>
      <c r="G1700">
        <v>2004</v>
      </c>
      <c r="H1700">
        <v>8</v>
      </c>
      <c r="I1700">
        <v>26</v>
      </c>
      <c r="J1700" t="s">
        <v>145</v>
      </c>
      <c r="K1700">
        <v>165.71</v>
      </c>
      <c r="L1700">
        <v>2</v>
      </c>
      <c r="M1700">
        <v>330.42</v>
      </c>
      <c r="N1700" t="s">
        <v>67</v>
      </c>
      <c r="O1700" t="s">
        <v>26</v>
      </c>
      <c r="P1700" t="s">
        <v>21</v>
      </c>
    </row>
    <row r="1701" spans="1:16" x14ac:dyDescent="0.25">
      <c r="A1701" t="s">
        <v>2425</v>
      </c>
      <c r="B1701" s="4">
        <v>45693</v>
      </c>
      <c r="C1701" s="2">
        <v>0.61388888888888893</v>
      </c>
      <c r="D1701" t="s">
        <v>16</v>
      </c>
      <c r="E1701" t="s">
        <v>379</v>
      </c>
      <c r="F1701" s="4"/>
      <c r="G1701">
        <v>2009</v>
      </c>
      <c r="H1701">
        <v>9</v>
      </c>
      <c r="I1701">
        <v>3</v>
      </c>
      <c r="J1701" t="s">
        <v>45</v>
      </c>
      <c r="K1701">
        <v>44.56</v>
      </c>
      <c r="L1701">
        <v>1</v>
      </c>
      <c r="M1701">
        <v>44.56</v>
      </c>
      <c r="O1701" t="s">
        <v>89</v>
      </c>
    </row>
    <row r="1702" spans="1:16" x14ac:dyDescent="0.25">
      <c r="A1702" t="s">
        <v>2426</v>
      </c>
      <c r="B1702" t="s">
        <v>2427</v>
      </c>
      <c r="C1702" s="5">
        <v>0.67291666666666672</v>
      </c>
      <c r="D1702" t="s">
        <v>16</v>
      </c>
      <c r="E1702" t="s">
        <v>258</v>
      </c>
      <c r="F1702" s="4"/>
      <c r="G1702">
        <v>1970</v>
      </c>
      <c r="H1702">
        <v>10</v>
      </c>
      <c r="I1702">
        <v>21</v>
      </c>
      <c r="J1702" t="s">
        <v>104</v>
      </c>
      <c r="K1702">
        <v>232.62</v>
      </c>
      <c r="L1702">
        <v>2</v>
      </c>
      <c r="M1702">
        <v>465.24</v>
      </c>
      <c r="N1702" t="s">
        <v>54</v>
      </c>
      <c r="O1702" t="s">
        <v>32</v>
      </c>
      <c r="P1702" t="s">
        <v>105</v>
      </c>
    </row>
    <row r="1703" spans="1:16" x14ac:dyDescent="0.25">
      <c r="A1703" t="s">
        <v>2428</v>
      </c>
      <c r="B1703" s="1">
        <v>45795</v>
      </c>
      <c r="C1703" s="3">
        <v>0.8498148148148148</v>
      </c>
      <c r="D1703" t="s">
        <v>16</v>
      </c>
      <c r="E1703" t="s">
        <v>520</v>
      </c>
      <c r="F1703" s="1"/>
      <c r="G1703">
        <v>1983</v>
      </c>
      <c r="H1703">
        <v>8</v>
      </c>
      <c r="I1703">
        <v>19</v>
      </c>
      <c r="J1703" t="s">
        <v>110</v>
      </c>
      <c r="K1703">
        <v>101.29</v>
      </c>
      <c r="L1703">
        <v>3</v>
      </c>
      <c r="M1703">
        <v>303.87</v>
      </c>
      <c r="N1703" t="s">
        <v>54</v>
      </c>
      <c r="O1703" t="s">
        <v>26</v>
      </c>
      <c r="P1703" t="s">
        <v>105</v>
      </c>
    </row>
    <row r="1704" spans="1:16" x14ac:dyDescent="0.25">
      <c r="A1704" t="s">
        <v>2429</v>
      </c>
      <c r="B1704" s="1">
        <v>45687</v>
      </c>
      <c r="C1704" s="3">
        <v>0.71178240740740739</v>
      </c>
      <c r="D1704" t="s">
        <v>16</v>
      </c>
      <c r="E1704" t="s">
        <v>471</v>
      </c>
      <c r="F1704" s="4"/>
      <c r="G1704">
        <v>1975</v>
      </c>
      <c r="H1704">
        <v>2</v>
      </c>
      <c r="I1704">
        <v>3</v>
      </c>
      <c r="J1704" t="s">
        <v>18</v>
      </c>
      <c r="K1704">
        <v>91.4</v>
      </c>
      <c r="L1704">
        <v>1</v>
      </c>
      <c r="M1704">
        <v>91.4</v>
      </c>
      <c r="N1704" t="s">
        <v>67</v>
      </c>
      <c r="O1704" t="s">
        <v>26</v>
      </c>
      <c r="P1704" t="s">
        <v>48</v>
      </c>
    </row>
    <row r="1705" spans="1:16" x14ac:dyDescent="0.25">
      <c r="A1705" t="s">
        <v>2430</v>
      </c>
      <c r="B1705" s="4">
        <v>45806</v>
      </c>
      <c r="C1705" s="5">
        <v>0.7319444444444444</v>
      </c>
      <c r="D1705" t="s">
        <v>16</v>
      </c>
      <c r="E1705" t="s">
        <v>434</v>
      </c>
      <c r="F1705" s="1"/>
      <c r="G1705">
        <v>1981</v>
      </c>
      <c r="H1705">
        <v>9</v>
      </c>
      <c r="I1705">
        <v>15</v>
      </c>
      <c r="J1705" t="s">
        <v>73</v>
      </c>
      <c r="K1705" t="s">
        <v>2431</v>
      </c>
      <c r="L1705">
        <v>3</v>
      </c>
      <c r="M1705">
        <v>109.63</v>
      </c>
      <c r="N1705" t="s">
        <v>64</v>
      </c>
      <c r="O1705" t="s">
        <v>47</v>
      </c>
    </row>
    <row r="1706" spans="1:16" x14ac:dyDescent="0.25">
      <c r="A1706" t="s">
        <v>2432</v>
      </c>
      <c r="B1706" s="1">
        <v>45676</v>
      </c>
      <c r="C1706" s="5">
        <v>0.99791666666666667</v>
      </c>
      <c r="D1706" t="s">
        <v>16</v>
      </c>
      <c r="E1706" t="s">
        <v>173</v>
      </c>
      <c r="G1706">
        <v>1991</v>
      </c>
      <c r="H1706">
        <v>8</v>
      </c>
      <c r="I1706">
        <v>18</v>
      </c>
      <c r="J1706" t="s">
        <v>77</v>
      </c>
      <c r="K1706">
        <v>151.44</v>
      </c>
      <c r="L1706">
        <v>1</v>
      </c>
      <c r="M1706">
        <v>151.44</v>
      </c>
      <c r="N1706" t="s">
        <v>31</v>
      </c>
      <c r="O1706" t="s">
        <v>26</v>
      </c>
      <c r="P1706" t="s">
        <v>56</v>
      </c>
    </row>
    <row r="1707" spans="1:16" x14ac:dyDescent="0.25">
      <c r="A1707" t="s">
        <v>2433</v>
      </c>
      <c r="B1707" s="4">
        <v>45746</v>
      </c>
      <c r="C1707" s="3">
        <v>0.41730324074074077</v>
      </c>
      <c r="D1707" t="s">
        <v>16</v>
      </c>
      <c r="E1707" t="s">
        <v>222</v>
      </c>
      <c r="F1707" s="4"/>
      <c r="G1707">
        <v>1995</v>
      </c>
      <c r="H1707">
        <v>7</v>
      </c>
      <c r="I1707">
        <v>18</v>
      </c>
      <c r="J1707" t="s">
        <v>85</v>
      </c>
      <c r="K1707">
        <v>48.68</v>
      </c>
      <c r="L1707">
        <v>2</v>
      </c>
      <c r="M1707">
        <v>97.36</v>
      </c>
      <c r="N1707" t="s">
        <v>67</v>
      </c>
      <c r="O1707" t="s">
        <v>89</v>
      </c>
      <c r="P1707" t="s">
        <v>48</v>
      </c>
    </row>
    <row r="1708" spans="1:16" x14ac:dyDescent="0.25">
      <c r="A1708" t="s">
        <v>2434</v>
      </c>
      <c r="B1708" s="4">
        <v>45684</v>
      </c>
      <c r="C1708" s="5">
        <v>0.9770833333333333</v>
      </c>
      <c r="D1708" t="s">
        <v>16</v>
      </c>
      <c r="E1708" t="s">
        <v>204</v>
      </c>
      <c r="F1708" s="4"/>
      <c r="G1708">
        <v>1989</v>
      </c>
      <c r="H1708">
        <v>10</v>
      </c>
      <c r="I1708">
        <v>21</v>
      </c>
      <c r="J1708" t="s">
        <v>45</v>
      </c>
      <c r="K1708">
        <v>101.68</v>
      </c>
      <c r="L1708">
        <v>2</v>
      </c>
      <c r="M1708">
        <v>203.36</v>
      </c>
      <c r="N1708" t="s">
        <v>67</v>
      </c>
      <c r="O1708" t="s">
        <v>32</v>
      </c>
      <c r="P1708" t="s">
        <v>74</v>
      </c>
    </row>
    <row r="1709" spans="1:16" x14ac:dyDescent="0.25">
      <c r="A1709" t="s">
        <v>2435</v>
      </c>
      <c r="B1709" t="s">
        <v>1265</v>
      </c>
      <c r="C1709" s="2">
        <v>0.4236111111111111</v>
      </c>
      <c r="D1709" t="s">
        <v>16</v>
      </c>
      <c r="E1709" t="s">
        <v>166</v>
      </c>
      <c r="F1709" s="4"/>
      <c r="G1709">
        <v>2006</v>
      </c>
      <c r="H1709">
        <v>4</v>
      </c>
      <c r="I1709">
        <v>15</v>
      </c>
      <c r="J1709" t="s">
        <v>116</v>
      </c>
      <c r="K1709">
        <v>98.11</v>
      </c>
      <c r="L1709">
        <v>2</v>
      </c>
      <c r="M1709">
        <v>196.22</v>
      </c>
      <c r="N1709" t="s">
        <v>25</v>
      </c>
      <c r="O1709" t="s">
        <v>47</v>
      </c>
      <c r="P1709" t="s">
        <v>21</v>
      </c>
    </row>
    <row r="1710" spans="1:16" x14ac:dyDescent="0.25">
      <c r="A1710" t="s">
        <v>2436</v>
      </c>
      <c r="B1710" s="1">
        <v>45727</v>
      </c>
      <c r="C1710" s="3">
        <v>0.90535879629629634</v>
      </c>
      <c r="D1710" t="s">
        <v>16</v>
      </c>
      <c r="E1710" t="s">
        <v>136</v>
      </c>
      <c r="F1710" s="4"/>
      <c r="G1710">
        <v>1987</v>
      </c>
      <c r="H1710">
        <v>1</v>
      </c>
      <c r="I1710">
        <v>28</v>
      </c>
      <c r="J1710" t="s">
        <v>259</v>
      </c>
      <c r="K1710">
        <v>85.89</v>
      </c>
      <c r="L1710">
        <v>1</v>
      </c>
      <c r="M1710">
        <v>85.89</v>
      </c>
      <c r="N1710" t="s">
        <v>64</v>
      </c>
      <c r="O1710" t="s">
        <v>26</v>
      </c>
      <c r="P1710" t="s">
        <v>21</v>
      </c>
    </row>
    <row r="1711" spans="1:16" x14ac:dyDescent="0.25">
      <c r="A1711" t="s">
        <v>2437</v>
      </c>
      <c r="B1711" s="1">
        <v>45876</v>
      </c>
      <c r="C1711" s="5">
        <v>0.59791666666666665</v>
      </c>
      <c r="D1711" t="s">
        <v>16</v>
      </c>
      <c r="E1711" t="s">
        <v>161</v>
      </c>
      <c r="G1711">
        <v>1991</v>
      </c>
      <c r="H1711">
        <v>12</v>
      </c>
      <c r="I1711">
        <v>12</v>
      </c>
      <c r="J1711" t="s">
        <v>73</v>
      </c>
      <c r="K1711">
        <v>52.9</v>
      </c>
      <c r="L1711">
        <v>1</v>
      </c>
      <c r="M1711">
        <v>52.9</v>
      </c>
      <c r="N1711" t="s">
        <v>67</v>
      </c>
      <c r="O1711" t="s">
        <v>61</v>
      </c>
      <c r="P1711" t="s">
        <v>56</v>
      </c>
    </row>
    <row r="1712" spans="1:16" x14ac:dyDescent="0.25">
      <c r="A1712" t="s">
        <v>2438</v>
      </c>
      <c r="C1712" s="2">
        <v>0.97430555555555554</v>
      </c>
      <c r="D1712" t="s">
        <v>16</v>
      </c>
      <c r="E1712" t="s">
        <v>420</v>
      </c>
      <c r="F1712" s="1"/>
      <c r="G1712">
        <v>1994</v>
      </c>
      <c r="H1712">
        <v>11</v>
      </c>
      <c r="I1712">
        <v>10</v>
      </c>
      <c r="J1712" t="s">
        <v>145</v>
      </c>
      <c r="K1712">
        <v>153.61000000000001</v>
      </c>
      <c r="L1712">
        <v>2</v>
      </c>
      <c r="M1712">
        <v>307.22000000000003</v>
      </c>
      <c r="N1712" t="s">
        <v>19</v>
      </c>
      <c r="O1712" t="s">
        <v>89</v>
      </c>
      <c r="P1712" t="s">
        <v>56</v>
      </c>
    </row>
    <row r="1713" spans="1:16" x14ac:dyDescent="0.25">
      <c r="A1713" t="s">
        <v>2439</v>
      </c>
      <c r="B1713" s="1">
        <v>45669</v>
      </c>
      <c r="C1713" s="2">
        <v>0.47013888888888888</v>
      </c>
      <c r="D1713" t="s">
        <v>16</v>
      </c>
      <c r="E1713" t="s">
        <v>181</v>
      </c>
      <c r="F1713" s="1"/>
      <c r="G1713">
        <v>2004</v>
      </c>
      <c r="H1713">
        <v>8</v>
      </c>
      <c r="I1713">
        <v>28</v>
      </c>
      <c r="J1713" t="s">
        <v>73</v>
      </c>
      <c r="K1713">
        <v>50.53</v>
      </c>
      <c r="L1713">
        <v>2</v>
      </c>
      <c r="M1713">
        <v>101.06</v>
      </c>
      <c r="N1713" t="s">
        <v>41</v>
      </c>
      <c r="O1713" t="s">
        <v>61</v>
      </c>
      <c r="P1713" t="s">
        <v>27</v>
      </c>
    </row>
    <row r="1714" spans="1:16" x14ac:dyDescent="0.25">
      <c r="A1714" t="s">
        <v>2440</v>
      </c>
      <c r="B1714" s="4">
        <v>45717</v>
      </c>
      <c r="C1714" s="5">
        <v>0.98472222222222228</v>
      </c>
      <c r="D1714" t="s">
        <v>16</v>
      </c>
      <c r="E1714" t="s">
        <v>88</v>
      </c>
      <c r="F1714" s="4"/>
      <c r="G1714">
        <v>1994</v>
      </c>
      <c r="H1714">
        <v>5</v>
      </c>
      <c r="I1714">
        <v>9</v>
      </c>
      <c r="J1714" t="s">
        <v>110</v>
      </c>
      <c r="K1714">
        <v>107.88</v>
      </c>
      <c r="L1714">
        <v>1</v>
      </c>
      <c r="M1714">
        <v>79.88</v>
      </c>
      <c r="N1714" t="s">
        <v>31</v>
      </c>
      <c r="O1714" t="s">
        <v>47</v>
      </c>
      <c r="P1714" t="s">
        <v>27</v>
      </c>
    </row>
    <row r="1715" spans="1:16" x14ac:dyDescent="0.25">
      <c r="A1715" t="s">
        <v>2441</v>
      </c>
      <c r="B1715" s="4">
        <v>45850</v>
      </c>
      <c r="C1715" s="3">
        <v>0.93835648148148143</v>
      </c>
      <c r="D1715" t="s">
        <v>16</v>
      </c>
      <c r="E1715" t="s">
        <v>2442</v>
      </c>
      <c r="G1715">
        <v>1979</v>
      </c>
      <c r="H1715">
        <v>11</v>
      </c>
      <c r="I1715">
        <v>13</v>
      </c>
      <c r="J1715" t="s">
        <v>30</v>
      </c>
      <c r="K1715">
        <v>244.65</v>
      </c>
      <c r="L1715">
        <v>2</v>
      </c>
      <c r="M1715">
        <v>489.3</v>
      </c>
      <c r="O1715" t="s">
        <v>47</v>
      </c>
      <c r="P1715" t="s">
        <v>48</v>
      </c>
    </row>
    <row r="1716" spans="1:16" x14ac:dyDescent="0.25">
      <c r="A1716" t="s">
        <v>2443</v>
      </c>
      <c r="B1716" s="1">
        <v>45806</v>
      </c>
      <c r="C1716" s="3">
        <v>0.94417824074074075</v>
      </c>
      <c r="D1716" t="s">
        <v>16</v>
      </c>
      <c r="E1716" t="s">
        <v>389</v>
      </c>
      <c r="F1716" s="4"/>
      <c r="G1716">
        <v>1973</v>
      </c>
      <c r="H1716">
        <v>12</v>
      </c>
      <c r="I1716">
        <v>1</v>
      </c>
      <c r="J1716" t="s">
        <v>126</v>
      </c>
      <c r="K1716">
        <v>236.21</v>
      </c>
      <c r="L1716">
        <v>3</v>
      </c>
      <c r="M1716">
        <v>708.63</v>
      </c>
      <c r="N1716" t="s">
        <v>31</v>
      </c>
      <c r="O1716" t="s">
        <v>32</v>
      </c>
      <c r="P1716" t="s">
        <v>74</v>
      </c>
    </row>
    <row r="1717" spans="1:16" x14ac:dyDescent="0.25">
      <c r="A1717" t="s">
        <v>2444</v>
      </c>
      <c r="B1717" s="4">
        <v>45775</v>
      </c>
      <c r="C1717" s="3">
        <v>0.89165509259259257</v>
      </c>
      <c r="D1717" t="s">
        <v>16</v>
      </c>
      <c r="E1717" t="s">
        <v>837</v>
      </c>
      <c r="F1717" s="1"/>
      <c r="G1717">
        <v>2004</v>
      </c>
      <c r="H1717">
        <v>11</v>
      </c>
      <c r="I1717">
        <v>19</v>
      </c>
      <c r="J1717" t="s">
        <v>77</v>
      </c>
      <c r="K1717">
        <v>144.96</v>
      </c>
      <c r="L1717">
        <v>1</v>
      </c>
      <c r="M1717">
        <v>144.96</v>
      </c>
      <c r="O1717" t="s">
        <v>89</v>
      </c>
    </row>
    <row r="1718" spans="1:16" x14ac:dyDescent="0.25">
      <c r="A1718" t="s">
        <v>2445</v>
      </c>
      <c r="B1718" s="1">
        <v>45781</v>
      </c>
      <c r="C1718" s="3">
        <v>0.81144675925925924</v>
      </c>
      <c r="D1718" t="s">
        <v>16</v>
      </c>
      <c r="E1718" t="s">
        <v>520</v>
      </c>
      <c r="F1718" s="1"/>
      <c r="G1718">
        <v>2002</v>
      </c>
      <c r="H1718">
        <v>11</v>
      </c>
      <c r="I1718">
        <v>20</v>
      </c>
      <c r="J1718" t="s">
        <v>73</v>
      </c>
      <c r="K1718" t="s">
        <v>2446</v>
      </c>
      <c r="L1718">
        <v>1</v>
      </c>
      <c r="M1718">
        <v>44.47</v>
      </c>
      <c r="O1718" t="s">
        <v>32</v>
      </c>
      <c r="P1718" t="s">
        <v>33</v>
      </c>
    </row>
    <row r="1719" spans="1:16" x14ac:dyDescent="0.25">
      <c r="A1719" t="s">
        <v>2447</v>
      </c>
      <c r="B1719" s="1">
        <v>45945</v>
      </c>
      <c r="C1719" s="3">
        <v>0.50299768518518517</v>
      </c>
      <c r="D1719" t="s">
        <v>16</v>
      </c>
      <c r="E1719" t="s">
        <v>29</v>
      </c>
      <c r="F1719" s="4"/>
      <c r="G1719">
        <v>1988</v>
      </c>
      <c r="H1719">
        <v>11</v>
      </c>
      <c r="I1719">
        <v>25</v>
      </c>
      <c r="J1719" t="s">
        <v>77</v>
      </c>
      <c r="K1719">
        <v>308.83999999999997</v>
      </c>
      <c r="L1719">
        <v>3</v>
      </c>
      <c r="M1719">
        <v>926.52</v>
      </c>
      <c r="N1719" t="s">
        <v>67</v>
      </c>
      <c r="O1719" t="s">
        <v>32</v>
      </c>
      <c r="P1719" t="s">
        <v>27</v>
      </c>
    </row>
    <row r="1720" spans="1:16" x14ac:dyDescent="0.25">
      <c r="A1720" t="s">
        <v>2448</v>
      </c>
      <c r="B1720" t="s">
        <v>2114</v>
      </c>
      <c r="C1720" s="3">
        <v>0.57173611111111111</v>
      </c>
      <c r="D1720" t="s">
        <v>16</v>
      </c>
      <c r="E1720" t="s">
        <v>594</v>
      </c>
      <c r="G1720">
        <v>2004</v>
      </c>
      <c r="H1720">
        <v>12</v>
      </c>
      <c r="I1720">
        <v>19</v>
      </c>
      <c r="J1720" t="s">
        <v>116</v>
      </c>
      <c r="K1720" t="s">
        <v>2449</v>
      </c>
      <c r="L1720">
        <v>1</v>
      </c>
      <c r="M1720">
        <v>290.06</v>
      </c>
      <c r="N1720" t="s">
        <v>41</v>
      </c>
      <c r="O1720" t="s">
        <v>37</v>
      </c>
      <c r="P1720" t="s">
        <v>21</v>
      </c>
    </row>
    <row r="1721" spans="1:16" x14ac:dyDescent="0.25">
      <c r="A1721" t="s">
        <v>2450</v>
      </c>
      <c r="B1721" s="1">
        <v>45688</v>
      </c>
      <c r="C1721" s="5">
        <v>0.62916666666666665</v>
      </c>
      <c r="D1721" t="s">
        <v>16</v>
      </c>
      <c r="E1721" t="s">
        <v>107</v>
      </c>
      <c r="F1721" s="1"/>
      <c r="G1721">
        <v>1979</v>
      </c>
      <c r="H1721">
        <v>9</v>
      </c>
      <c r="I1721">
        <v>12</v>
      </c>
      <c r="J1721" t="s">
        <v>18</v>
      </c>
      <c r="K1721">
        <v>97.12</v>
      </c>
      <c r="L1721">
        <v>1</v>
      </c>
      <c r="M1721">
        <v>97.12</v>
      </c>
      <c r="N1721" t="s">
        <v>64</v>
      </c>
      <c r="O1721" t="s">
        <v>26</v>
      </c>
      <c r="P1721" t="s">
        <v>74</v>
      </c>
    </row>
    <row r="1722" spans="1:16" x14ac:dyDescent="0.25">
      <c r="A1722" t="s">
        <v>2451</v>
      </c>
      <c r="B1722" t="s">
        <v>2107</v>
      </c>
      <c r="C1722" s="5">
        <v>0.73263888888888884</v>
      </c>
      <c r="D1722" t="s">
        <v>16</v>
      </c>
      <c r="E1722" t="s">
        <v>246</v>
      </c>
      <c r="F1722" s="1"/>
      <c r="G1722">
        <v>1976</v>
      </c>
      <c r="H1722">
        <v>4</v>
      </c>
      <c r="I1722">
        <v>6</v>
      </c>
      <c r="J1722" t="s">
        <v>30</v>
      </c>
      <c r="K1722">
        <v>245.83</v>
      </c>
      <c r="L1722">
        <v>3</v>
      </c>
      <c r="M1722">
        <v>737.49</v>
      </c>
      <c r="N1722" t="s">
        <v>64</v>
      </c>
      <c r="O1722" t="s">
        <v>61</v>
      </c>
      <c r="P1722" t="s">
        <v>21</v>
      </c>
    </row>
    <row r="1723" spans="1:16" x14ac:dyDescent="0.25">
      <c r="A1723" t="s">
        <v>2452</v>
      </c>
      <c r="B1723" s="4">
        <v>45907</v>
      </c>
      <c r="C1723" s="5">
        <v>0.57291666666666663</v>
      </c>
      <c r="D1723" t="s">
        <v>16</v>
      </c>
      <c r="E1723" t="s">
        <v>173</v>
      </c>
      <c r="J1723" t="s">
        <v>178</v>
      </c>
      <c r="K1723">
        <v>334.86</v>
      </c>
      <c r="L1723">
        <v>0</v>
      </c>
      <c r="M1723">
        <v>0</v>
      </c>
      <c r="N1723" t="s">
        <v>31</v>
      </c>
      <c r="O1723" t="s">
        <v>26</v>
      </c>
      <c r="P1723" t="s">
        <v>56</v>
      </c>
    </row>
    <row r="1724" spans="1:16" x14ac:dyDescent="0.25">
      <c r="A1724" t="s">
        <v>2453</v>
      </c>
      <c r="B1724" t="s">
        <v>403</v>
      </c>
      <c r="C1724" s="2">
        <v>0.73333333333333328</v>
      </c>
      <c r="D1724" t="s">
        <v>16</v>
      </c>
      <c r="E1724" t="s">
        <v>360</v>
      </c>
      <c r="F1724" s="1"/>
      <c r="G1724">
        <v>1976</v>
      </c>
      <c r="H1724">
        <v>10</v>
      </c>
      <c r="I1724">
        <v>21</v>
      </c>
      <c r="J1724" t="s">
        <v>110</v>
      </c>
      <c r="K1724">
        <v>109.44</v>
      </c>
      <c r="L1724">
        <v>0</v>
      </c>
      <c r="M1724">
        <v>0</v>
      </c>
      <c r="N1724" t="s">
        <v>64</v>
      </c>
      <c r="O1724" t="s">
        <v>26</v>
      </c>
    </row>
    <row r="1725" spans="1:16" x14ac:dyDescent="0.25">
      <c r="A1725" t="s">
        <v>2454</v>
      </c>
      <c r="B1725" t="s">
        <v>1503</v>
      </c>
      <c r="C1725" s="3">
        <v>0.58193287037037034</v>
      </c>
      <c r="D1725" t="s">
        <v>16</v>
      </c>
      <c r="E1725" t="s">
        <v>411</v>
      </c>
      <c r="F1725" s="1"/>
      <c r="G1725">
        <v>2000</v>
      </c>
      <c r="H1725">
        <v>1</v>
      </c>
      <c r="I1725">
        <v>5</v>
      </c>
      <c r="J1725" t="s">
        <v>145</v>
      </c>
      <c r="K1725">
        <v>300.07</v>
      </c>
      <c r="L1725">
        <v>1</v>
      </c>
      <c r="M1725">
        <v>300.07</v>
      </c>
      <c r="N1725" t="s">
        <v>31</v>
      </c>
      <c r="O1725" t="s">
        <v>32</v>
      </c>
      <c r="P1725" t="s">
        <v>21</v>
      </c>
    </row>
    <row r="1726" spans="1:16" x14ac:dyDescent="0.25">
      <c r="A1726" t="s">
        <v>2455</v>
      </c>
      <c r="B1726" s="1">
        <v>45773</v>
      </c>
      <c r="C1726" s="2">
        <v>0.97847222222222219</v>
      </c>
      <c r="D1726" t="s">
        <v>16</v>
      </c>
      <c r="E1726" t="s">
        <v>520</v>
      </c>
      <c r="F1726" s="4"/>
      <c r="G1726">
        <v>1982</v>
      </c>
      <c r="H1726">
        <v>2</v>
      </c>
      <c r="I1726">
        <v>1</v>
      </c>
      <c r="J1726" t="s">
        <v>36</v>
      </c>
      <c r="K1726">
        <v>251.85</v>
      </c>
      <c r="L1726">
        <v>3</v>
      </c>
      <c r="M1726">
        <v>755.55</v>
      </c>
      <c r="O1726" t="s">
        <v>47</v>
      </c>
      <c r="P1726" t="s">
        <v>56</v>
      </c>
    </row>
    <row r="1727" spans="1:16" x14ac:dyDescent="0.25">
      <c r="A1727" t="s">
        <v>2456</v>
      </c>
      <c r="B1727" s="1">
        <v>45883</v>
      </c>
      <c r="C1727" s="3">
        <v>0.50840277777777776</v>
      </c>
      <c r="D1727" t="s">
        <v>16</v>
      </c>
      <c r="E1727" t="s">
        <v>466</v>
      </c>
      <c r="F1727" s="4"/>
      <c r="G1727">
        <v>1976</v>
      </c>
      <c r="H1727">
        <v>3</v>
      </c>
      <c r="I1727">
        <v>12</v>
      </c>
      <c r="J1727" t="s">
        <v>202</v>
      </c>
      <c r="K1727">
        <v>81.22</v>
      </c>
      <c r="L1727">
        <v>3</v>
      </c>
      <c r="M1727">
        <v>243.66</v>
      </c>
      <c r="N1727" t="s">
        <v>25</v>
      </c>
      <c r="O1727" t="s">
        <v>26</v>
      </c>
      <c r="P1727" t="s">
        <v>48</v>
      </c>
    </row>
    <row r="1728" spans="1:16" x14ac:dyDescent="0.25">
      <c r="A1728" t="s">
        <v>2457</v>
      </c>
      <c r="B1728" s="4">
        <v>45618</v>
      </c>
      <c r="C1728" s="2">
        <v>0.76527777777777772</v>
      </c>
      <c r="D1728" t="s">
        <v>16</v>
      </c>
      <c r="E1728" t="s">
        <v>52</v>
      </c>
      <c r="G1728">
        <v>1987</v>
      </c>
      <c r="H1728">
        <v>12</v>
      </c>
      <c r="I1728">
        <v>6</v>
      </c>
      <c r="J1728" t="s">
        <v>164</v>
      </c>
      <c r="K1728">
        <v>349.57</v>
      </c>
      <c r="L1728">
        <v>3</v>
      </c>
      <c r="M1728">
        <v>1048.71</v>
      </c>
      <c r="N1728" t="s">
        <v>64</v>
      </c>
      <c r="O1728" t="s">
        <v>47</v>
      </c>
      <c r="P1728" t="s">
        <v>74</v>
      </c>
    </row>
    <row r="1729" spans="1:16" x14ac:dyDescent="0.25">
      <c r="A1729" t="s">
        <v>2458</v>
      </c>
      <c r="B1729" s="4">
        <v>45623</v>
      </c>
      <c r="C1729" s="5">
        <v>0.58402777777777781</v>
      </c>
      <c r="D1729" t="s">
        <v>16</v>
      </c>
      <c r="E1729" t="s">
        <v>562</v>
      </c>
      <c r="F1729" s="1"/>
      <c r="G1729">
        <v>1993</v>
      </c>
      <c r="H1729">
        <v>11</v>
      </c>
      <c r="I1729">
        <v>8</v>
      </c>
      <c r="J1729" t="s">
        <v>145</v>
      </c>
      <c r="K1729">
        <v>170.99</v>
      </c>
      <c r="L1729">
        <v>3</v>
      </c>
      <c r="M1729">
        <v>512.97</v>
      </c>
      <c r="N1729" t="s">
        <v>19</v>
      </c>
      <c r="O1729" t="s">
        <v>37</v>
      </c>
      <c r="P1729" t="s">
        <v>27</v>
      </c>
    </row>
    <row r="1730" spans="1:16" x14ac:dyDescent="0.25">
      <c r="A1730" t="s">
        <v>2459</v>
      </c>
      <c r="B1730" t="s">
        <v>2460</v>
      </c>
      <c r="C1730" s="3">
        <v>0.67221064814814813</v>
      </c>
      <c r="D1730" t="s">
        <v>16</v>
      </c>
      <c r="E1730" t="s">
        <v>2268</v>
      </c>
      <c r="J1730" t="s">
        <v>73</v>
      </c>
      <c r="K1730">
        <v>49.48</v>
      </c>
      <c r="L1730">
        <v>2</v>
      </c>
      <c r="M1730">
        <v>98.96</v>
      </c>
      <c r="O1730" t="s">
        <v>55</v>
      </c>
      <c r="P1730" t="s">
        <v>27</v>
      </c>
    </row>
    <row r="1731" spans="1:16" x14ac:dyDescent="0.25">
      <c r="A1731" t="s">
        <v>2461</v>
      </c>
      <c r="B1731" s="4">
        <v>45960</v>
      </c>
      <c r="C1731" s="3">
        <v>0.56363425925925925</v>
      </c>
      <c r="D1731" t="s">
        <v>16</v>
      </c>
      <c r="E1731" t="s">
        <v>512</v>
      </c>
      <c r="F1731" s="4"/>
      <c r="G1731">
        <v>1985</v>
      </c>
      <c r="H1731">
        <v>8</v>
      </c>
      <c r="I1731">
        <v>25</v>
      </c>
      <c r="J1731" t="s">
        <v>243</v>
      </c>
      <c r="K1731">
        <v>113.18</v>
      </c>
      <c r="L1731">
        <v>1</v>
      </c>
      <c r="M1731">
        <v>113.18</v>
      </c>
      <c r="N1731" t="s">
        <v>31</v>
      </c>
      <c r="O1731" t="s">
        <v>89</v>
      </c>
    </row>
    <row r="1732" spans="1:16" x14ac:dyDescent="0.25">
      <c r="A1732" t="s">
        <v>2462</v>
      </c>
      <c r="B1732" s="4">
        <v>45745</v>
      </c>
      <c r="C1732" s="5">
        <v>0.58263888888888893</v>
      </c>
      <c r="D1732" t="s">
        <v>16</v>
      </c>
      <c r="E1732" t="s">
        <v>246</v>
      </c>
      <c r="F1732" s="4"/>
      <c r="G1732">
        <v>2002</v>
      </c>
      <c r="H1732">
        <v>4</v>
      </c>
      <c r="I1732">
        <v>20</v>
      </c>
      <c r="J1732" t="s">
        <v>73</v>
      </c>
      <c r="K1732" t="s">
        <v>2463</v>
      </c>
      <c r="L1732">
        <v>1</v>
      </c>
      <c r="M1732">
        <v>49.12</v>
      </c>
      <c r="N1732" t="s">
        <v>25</v>
      </c>
      <c r="O1732" t="s">
        <v>26</v>
      </c>
      <c r="P1732" t="s">
        <v>33</v>
      </c>
    </row>
    <row r="1733" spans="1:16" x14ac:dyDescent="0.25">
      <c r="A1733" t="s">
        <v>2464</v>
      </c>
      <c r="B1733" t="s">
        <v>1073</v>
      </c>
      <c r="C1733" s="2">
        <v>0.84791666666666665</v>
      </c>
      <c r="D1733" t="s">
        <v>16</v>
      </c>
      <c r="E1733" t="s">
        <v>204</v>
      </c>
      <c r="F1733" s="4"/>
      <c r="G1733">
        <v>1989</v>
      </c>
      <c r="H1733">
        <v>7</v>
      </c>
      <c r="I1733">
        <v>23</v>
      </c>
      <c r="J1733" t="s">
        <v>145</v>
      </c>
      <c r="K1733">
        <v>109.75</v>
      </c>
      <c r="L1733">
        <v>1</v>
      </c>
      <c r="M1733">
        <v>109.75</v>
      </c>
      <c r="N1733" t="s">
        <v>67</v>
      </c>
      <c r="O1733" t="s">
        <v>89</v>
      </c>
      <c r="P1733" t="s">
        <v>74</v>
      </c>
    </row>
    <row r="1734" spans="1:16" x14ac:dyDescent="0.25">
      <c r="A1734" t="s">
        <v>2465</v>
      </c>
      <c r="B1734" t="s">
        <v>970</v>
      </c>
      <c r="C1734" s="2">
        <v>0.64930555555555558</v>
      </c>
      <c r="D1734" t="s">
        <v>16</v>
      </c>
      <c r="E1734" t="s">
        <v>411</v>
      </c>
      <c r="J1734" t="s">
        <v>73</v>
      </c>
      <c r="K1734">
        <v>41.77</v>
      </c>
      <c r="L1734">
        <v>1</v>
      </c>
      <c r="M1734">
        <v>41.77</v>
      </c>
      <c r="N1734" t="s">
        <v>67</v>
      </c>
      <c r="O1734" t="s">
        <v>55</v>
      </c>
    </row>
    <row r="1735" spans="1:16" x14ac:dyDescent="0.25">
      <c r="A1735" t="s">
        <v>2466</v>
      </c>
      <c r="C1735" s="3">
        <v>0.67510416666666662</v>
      </c>
      <c r="D1735" t="s">
        <v>16</v>
      </c>
      <c r="E1735" t="s">
        <v>346</v>
      </c>
      <c r="J1735" t="s">
        <v>40</v>
      </c>
      <c r="K1735">
        <v>163.66</v>
      </c>
      <c r="L1735">
        <v>1</v>
      </c>
      <c r="M1735">
        <v>163.66</v>
      </c>
      <c r="N1735" t="s">
        <v>31</v>
      </c>
      <c r="O1735" t="s">
        <v>89</v>
      </c>
      <c r="P1735" t="s">
        <v>56</v>
      </c>
    </row>
    <row r="1736" spans="1:16" x14ac:dyDescent="0.25">
      <c r="A1736" t="s">
        <v>2467</v>
      </c>
      <c r="B1736" t="s">
        <v>706</v>
      </c>
      <c r="C1736" s="3">
        <v>0.68936342592592592</v>
      </c>
      <c r="D1736" t="s">
        <v>16</v>
      </c>
      <c r="E1736" t="s">
        <v>227</v>
      </c>
      <c r="F1736" s="4"/>
      <c r="G1736">
        <v>2000</v>
      </c>
      <c r="H1736">
        <v>11</v>
      </c>
      <c r="I1736">
        <v>28</v>
      </c>
      <c r="J1736" t="s">
        <v>213</v>
      </c>
      <c r="K1736">
        <v>261.55</v>
      </c>
      <c r="L1736">
        <v>1</v>
      </c>
      <c r="M1736">
        <v>261.55</v>
      </c>
      <c r="N1736" t="s">
        <v>54</v>
      </c>
      <c r="O1736" t="s">
        <v>37</v>
      </c>
      <c r="P1736" t="s">
        <v>74</v>
      </c>
    </row>
    <row r="1737" spans="1:16" x14ac:dyDescent="0.25">
      <c r="A1737" t="s">
        <v>2468</v>
      </c>
      <c r="B1737" s="4">
        <v>45958</v>
      </c>
      <c r="C1737" s="5">
        <v>0.81666666666666665</v>
      </c>
      <c r="D1737" t="s">
        <v>16</v>
      </c>
      <c r="E1737" t="s">
        <v>118</v>
      </c>
      <c r="F1737" s="1"/>
      <c r="G1737">
        <v>2004</v>
      </c>
      <c r="H1737">
        <v>6</v>
      </c>
      <c r="I1737">
        <v>4</v>
      </c>
      <c r="J1737" t="s">
        <v>259</v>
      </c>
      <c r="K1737">
        <v>233.66</v>
      </c>
      <c r="L1737">
        <v>3</v>
      </c>
      <c r="M1737">
        <v>700.98</v>
      </c>
      <c r="O1737" t="s">
        <v>32</v>
      </c>
      <c r="P1737" t="s">
        <v>74</v>
      </c>
    </row>
    <row r="1738" spans="1:16" x14ac:dyDescent="0.25">
      <c r="A1738" t="s">
        <v>2469</v>
      </c>
      <c r="B1738" s="4">
        <v>45653</v>
      </c>
      <c r="C1738" s="3">
        <v>0.91708333333333336</v>
      </c>
      <c r="D1738" t="s">
        <v>16</v>
      </c>
      <c r="E1738" t="s">
        <v>882</v>
      </c>
      <c r="F1738" s="4"/>
      <c r="G1738">
        <v>1980</v>
      </c>
      <c r="H1738">
        <v>10</v>
      </c>
      <c r="I1738">
        <v>7</v>
      </c>
      <c r="J1738" t="s">
        <v>45</v>
      </c>
      <c r="L1738">
        <v>1</v>
      </c>
      <c r="N1738" t="s">
        <v>25</v>
      </c>
      <c r="O1738" t="s">
        <v>61</v>
      </c>
      <c r="P1738" t="s">
        <v>21</v>
      </c>
    </row>
    <row r="1739" spans="1:16" x14ac:dyDescent="0.25">
      <c r="A1739" t="s">
        <v>2470</v>
      </c>
      <c r="B1739" s="4">
        <v>45657</v>
      </c>
      <c r="C1739" s="2">
        <v>0.71736111111111112</v>
      </c>
      <c r="D1739" t="s">
        <v>16</v>
      </c>
      <c r="E1739" t="s">
        <v>492</v>
      </c>
      <c r="F1739" s="4"/>
      <c r="G1739">
        <v>1993</v>
      </c>
      <c r="H1739">
        <v>11</v>
      </c>
      <c r="I1739">
        <v>19</v>
      </c>
      <c r="J1739" t="s">
        <v>60</v>
      </c>
      <c r="K1739">
        <v>156.32</v>
      </c>
      <c r="L1739">
        <v>3</v>
      </c>
      <c r="M1739">
        <v>468.96</v>
      </c>
      <c r="N1739" t="s">
        <v>64</v>
      </c>
      <c r="O1739" t="s">
        <v>26</v>
      </c>
      <c r="P1739" t="s">
        <v>21</v>
      </c>
    </row>
    <row r="1740" spans="1:16" x14ac:dyDescent="0.25">
      <c r="A1740" t="s">
        <v>2471</v>
      </c>
      <c r="B1740" s="4">
        <v>45974</v>
      </c>
      <c r="C1740" s="2">
        <v>0.8666666666666667</v>
      </c>
      <c r="D1740" t="s">
        <v>16</v>
      </c>
      <c r="E1740" t="s">
        <v>98</v>
      </c>
      <c r="F1740" s="4"/>
      <c r="G1740">
        <v>1999</v>
      </c>
      <c r="H1740">
        <v>10</v>
      </c>
      <c r="I1740">
        <v>6</v>
      </c>
      <c r="J1740" t="s">
        <v>18</v>
      </c>
      <c r="K1740">
        <v>87.66</v>
      </c>
      <c r="L1740">
        <v>2</v>
      </c>
      <c r="M1740">
        <v>175.32</v>
      </c>
      <c r="N1740" t="s">
        <v>25</v>
      </c>
      <c r="O1740" t="s">
        <v>20</v>
      </c>
      <c r="P1740" t="s">
        <v>56</v>
      </c>
    </row>
    <row r="1741" spans="1:16" x14ac:dyDescent="0.25">
      <c r="A1741" t="s">
        <v>2472</v>
      </c>
      <c r="B1741" s="4">
        <v>45852</v>
      </c>
      <c r="C1741" s="5">
        <v>0.67291666666666672</v>
      </c>
      <c r="D1741" t="s">
        <v>16</v>
      </c>
      <c r="E1741" t="s">
        <v>1443</v>
      </c>
      <c r="F1741" s="1"/>
      <c r="G1741">
        <v>2005</v>
      </c>
      <c r="H1741">
        <v>11</v>
      </c>
      <c r="I1741">
        <v>10</v>
      </c>
      <c r="J1741" t="s">
        <v>93</v>
      </c>
      <c r="K1741" t="s">
        <v>2473</v>
      </c>
      <c r="L1741">
        <v>0</v>
      </c>
      <c r="M1741">
        <v>0</v>
      </c>
      <c r="N1741" t="s">
        <v>67</v>
      </c>
      <c r="O1741" t="s">
        <v>26</v>
      </c>
      <c r="P1741" t="s">
        <v>48</v>
      </c>
    </row>
    <row r="1742" spans="1:16" x14ac:dyDescent="0.25">
      <c r="A1742" t="s">
        <v>2474</v>
      </c>
      <c r="B1742" s="4">
        <v>45660</v>
      </c>
      <c r="C1742" s="2">
        <v>0.9194444444444444</v>
      </c>
      <c r="D1742" t="s">
        <v>16</v>
      </c>
      <c r="E1742" t="s">
        <v>387</v>
      </c>
      <c r="G1742">
        <v>1971</v>
      </c>
      <c r="H1742">
        <v>11</v>
      </c>
      <c r="I1742">
        <v>11</v>
      </c>
      <c r="J1742" t="s">
        <v>24</v>
      </c>
      <c r="K1742">
        <v>280.14</v>
      </c>
      <c r="L1742">
        <v>3</v>
      </c>
      <c r="M1742">
        <v>840.42</v>
      </c>
      <c r="N1742" t="s">
        <v>41</v>
      </c>
      <c r="O1742" t="s">
        <v>89</v>
      </c>
      <c r="P1742" t="s">
        <v>48</v>
      </c>
    </row>
    <row r="1743" spans="1:16" x14ac:dyDescent="0.25">
      <c r="A1743" t="s">
        <v>2475</v>
      </c>
      <c r="B1743" t="s">
        <v>1214</v>
      </c>
      <c r="C1743" s="2">
        <v>0.48819444444444443</v>
      </c>
      <c r="D1743" t="s">
        <v>16</v>
      </c>
      <c r="E1743" t="s">
        <v>84</v>
      </c>
      <c r="F1743" s="1"/>
      <c r="G1743">
        <v>1973</v>
      </c>
      <c r="H1743">
        <v>9</v>
      </c>
      <c r="I1743">
        <v>24</v>
      </c>
      <c r="J1743" t="s">
        <v>18</v>
      </c>
      <c r="L1743">
        <v>2</v>
      </c>
      <c r="N1743" t="s">
        <v>19</v>
      </c>
      <c r="O1743" t="s">
        <v>55</v>
      </c>
      <c r="P1743" t="s">
        <v>33</v>
      </c>
    </row>
    <row r="1744" spans="1:16" x14ac:dyDescent="0.25">
      <c r="A1744" t="s">
        <v>2476</v>
      </c>
      <c r="B1744" s="4">
        <v>45860</v>
      </c>
      <c r="C1744" s="2">
        <v>0.5180555555555556</v>
      </c>
      <c r="D1744" t="s">
        <v>16</v>
      </c>
      <c r="E1744" t="s">
        <v>206</v>
      </c>
      <c r="G1744">
        <v>1978</v>
      </c>
      <c r="H1744">
        <v>6</v>
      </c>
      <c r="I1744">
        <v>26</v>
      </c>
      <c r="J1744" t="s">
        <v>116</v>
      </c>
      <c r="K1744">
        <v>93.66</v>
      </c>
      <c r="L1744">
        <v>2</v>
      </c>
      <c r="M1744">
        <v>187.32</v>
      </c>
      <c r="N1744" t="s">
        <v>67</v>
      </c>
      <c r="O1744" t="s">
        <v>37</v>
      </c>
      <c r="P1744" t="s">
        <v>105</v>
      </c>
    </row>
    <row r="1745" spans="1:16" x14ac:dyDescent="0.25">
      <c r="A1745" t="s">
        <v>2477</v>
      </c>
      <c r="B1745" s="4">
        <v>45668</v>
      </c>
      <c r="C1745" s="5">
        <v>0.98472222222222228</v>
      </c>
      <c r="D1745" t="s">
        <v>16</v>
      </c>
      <c r="E1745" t="s">
        <v>379</v>
      </c>
      <c r="F1745" s="4"/>
      <c r="G1745">
        <v>1991</v>
      </c>
      <c r="H1745">
        <v>11</v>
      </c>
      <c r="I1745">
        <v>4</v>
      </c>
      <c r="J1745" t="s">
        <v>104</v>
      </c>
      <c r="K1745" t="s">
        <v>2478</v>
      </c>
      <c r="L1745">
        <v>1</v>
      </c>
      <c r="M1745">
        <v>250.23</v>
      </c>
      <c r="N1745" t="s">
        <v>31</v>
      </c>
      <c r="O1745" t="s">
        <v>37</v>
      </c>
    </row>
    <row r="1746" spans="1:16" x14ac:dyDescent="0.25">
      <c r="A1746" t="s">
        <v>2479</v>
      </c>
      <c r="C1746" s="2">
        <v>0.92847222222222225</v>
      </c>
      <c r="D1746" t="s">
        <v>16</v>
      </c>
      <c r="E1746" t="s">
        <v>229</v>
      </c>
      <c r="F1746" s="1"/>
      <c r="G1746">
        <v>1984</v>
      </c>
      <c r="H1746">
        <v>2</v>
      </c>
      <c r="I1746">
        <v>13</v>
      </c>
      <c r="J1746" t="s">
        <v>45</v>
      </c>
      <c r="K1746">
        <v>118.8</v>
      </c>
      <c r="L1746">
        <v>2</v>
      </c>
      <c r="M1746">
        <v>237.6</v>
      </c>
      <c r="N1746" t="s">
        <v>67</v>
      </c>
      <c r="O1746" t="s">
        <v>47</v>
      </c>
      <c r="P1746" t="s">
        <v>48</v>
      </c>
    </row>
    <row r="1747" spans="1:16" x14ac:dyDescent="0.25">
      <c r="A1747" t="s">
        <v>2480</v>
      </c>
      <c r="B1747" t="s">
        <v>2481</v>
      </c>
      <c r="C1747" s="5">
        <v>0.87638888888888888</v>
      </c>
      <c r="D1747" t="s">
        <v>16</v>
      </c>
      <c r="E1747" t="s">
        <v>351</v>
      </c>
      <c r="F1747" s="4"/>
      <c r="G1747">
        <v>2010</v>
      </c>
      <c r="H1747">
        <v>9</v>
      </c>
      <c r="I1747">
        <v>1</v>
      </c>
      <c r="J1747" t="s">
        <v>126</v>
      </c>
      <c r="K1747">
        <v>224.28</v>
      </c>
      <c r="L1747">
        <v>2</v>
      </c>
      <c r="M1747">
        <v>448.56</v>
      </c>
      <c r="O1747" t="s">
        <v>89</v>
      </c>
      <c r="P1747" t="s">
        <v>27</v>
      </c>
    </row>
    <row r="1748" spans="1:16" x14ac:dyDescent="0.25">
      <c r="A1748" t="s">
        <v>2482</v>
      </c>
      <c r="B1748" s="4">
        <v>45784</v>
      </c>
      <c r="C1748" s="5">
        <v>0.60902777777777772</v>
      </c>
      <c r="D1748" t="s">
        <v>16</v>
      </c>
      <c r="E1748" t="s">
        <v>405</v>
      </c>
      <c r="J1748" t="s">
        <v>110</v>
      </c>
      <c r="K1748">
        <v>95.2</v>
      </c>
      <c r="L1748">
        <v>2</v>
      </c>
      <c r="M1748" t="s">
        <v>2483</v>
      </c>
      <c r="N1748" t="s">
        <v>19</v>
      </c>
      <c r="O1748" t="s">
        <v>20</v>
      </c>
      <c r="P1748" t="s">
        <v>74</v>
      </c>
    </row>
    <row r="1749" spans="1:16" x14ac:dyDescent="0.25">
      <c r="A1749" t="s">
        <v>2484</v>
      </c>
      <c r="B1749" t="s">
        <v>1417</v>
      </c>
      <c r="C1749" s="2">
        <v>0.61805555555555558</v>
      </c>
      <c r="D1749" t="s">
        <v>16</v>
      </c>
      <c r="E1749" t="s">
        <v>128</v>
      </c>
      <c r="F1749" s="4"/>
      <c r="G1749">
        <v>2008</v>
      </c>
      <c r="H1749">
        <v>9</v>
      </c>
      <c r="I1749">
        <v>16</v>
      </c>
      <c r="J1749" t="s">
        <v>145</v>
      </c>
      <c r="K1749">
        <v>245.13</v>
      </c>
      <c r="L1749">
        <v>2</v>
      </c>
      <c r="M1749">
        <v>490.26</v>
      </c>
      <c r="N1749" t="s">
        <v>25</v>
      </c>
      <c r="O1749" t="s">
        <v>61</v>
      </c>
    </row>
    <row r="1750" spans="1:16" x14ac:dyDescent="0.25">
      <c r="A1750" t="s">
        <v>2485</v>
      </c>
      <c r="B1750" s="4">
        <v>45704</v>
      </c>
      <c r="C1750" s="5">
        <v>0.94166666666666665</v>
      </c>
      <c r="D1750" t="s">
        <v>16</v>
      </c>
      <c r="E1750" t="s">
        <v>144</v>
      </c>
      <c r="J1750" t="s">
        <v>36</v>
      </c>
      <c r="K1750">
        <v>202.66</v>
      </c>
      <c r="L1750">
        <v>3</v>
      </c>
      <c r="M1750">
        <v>613.98</v>
      </c>
      <c r="N1750" t="s">
        <v>31</v>
      </c>
      <c r="O1750" t="s">
        <v>20</v>
      </c>
    </row>
    <row r="1751" spans="1:16" x14ac:dyDescent="0.25">
      <c r="A1751" t="s">
        <v>2486</v>
      </c>
      <c r="B1751" t="s">
        <v>297</v>
      </c>
      <c r="C1751" s="2">
        <v>0.50416666666666665</v>
      </c>
      <c r="D1751" t="s">
        <v>16</v>
      </c>
      <c r="E1751" t="s">
        <v>379</v>
      </c>
      <c r="F1751" s="1"/>
      <c r="G1751">
        <v>2002</v>
      </c>
      <c r="H1751">
        <v>5</v>
      </c>
      <c r="I1751">
        <v>24</v>
      </c>
      <c r="J1751" t="s">
        <v>24</v>
      </c>
      <c r="K1751">
        <v>270.8</v>
      </c>
      <c r="L1751">
        <v>2</v>
      </c>
      <c r="M1751">
        <v>541.6</v>
      </c>
      <c r="N1751" t="s">
        <v>25</v>
      </c>
      <c r="O1751" t="s">
        <v>26</v>
      </c>
      <c r="P1751" t="s">
        <v>74</v>
      </c>
    </row>
    <row r="1752" spans="1:16" x14ac:dyDescent="0.25">
      <c r="A1752" t="s">
        <v>2487</v>
      </c>
      <c r="B1752" t="s">
        <v>1709</v>
      </c>
      <c r="C1752" s="3">
        <v>0.7127430555555555</v>
      </c>
      <c r="D1752" t="s">
        <v>16</v>
      </c>
      <c r="E1752" t="s">
        <v>246</v>
      </c>
      <c r="F1752" s="4"/>
      <c r="G1752">
        <v>2001</v>
      </c>
      <c r="H1752">
        <v>1</v>
      </c>
      <c r="I1752">
        <v>4</v>
      </c>
      <c r="J1752" t="s">
        <v>85</v>
      </c>
      <c r="K1752">
        <v>296.20999999999998</v>
      </c>
      <c r="L1752">
        <v>2</v>
      </c>
      <c r="M1752">
        <v>592.41999999999996</v>
      </c>
      <c r="N1752" t="s">
        <v>19</v>
      </c>
      <c r="O1752" t="s">
        <v>32</v>
      </c>
      <c r="P1752" t="s">
        <v>105</v>
      </c>
    </row>
    <row r="1753" spans="1:16" x14ac:dyDescent="0.25">
      <c r="A1753" t="s">
        <v>2488</v>
      </c>
      <c r="B1753" s="4">
        <v>45981</v>
      </c>
      <c r="C1753" s="2">
        <v>0.55694444444444446</v>
      </c>
      <c r="D1753" t="s">
        <v>16</v>
      </c>
      <c r="E1753" t="s">
        <v>256</v>
      </c>
      <c r="F1753" s="4"/>
      <c r="G1753">
        <v>2003</v>
      </c>
      <c r="H1753">
        <v>7</v>
      </c>
      <c r="I1753">
        <v>3</v>
      </c>
      <c r="J1753" t="s">
        <v>85</v>
      </c>
      <c r="K1753">
        <v>235.72</v>
      </c>
      <c r="L1753">
        <v>2</v>
      </c>
      <c r="M1753">
        <v>471.44</v>
      </c>
      <c r="N1753" t="s">
        <v>19</v>
      </c>
      <c r="O1753" t="s">
        <v>55</v>
      </c>
      <c r="P1753" t="s">
        <v>21</v>
      </c>
    </row>
    <row r="1754" spans="1:16" x14ac:dyDescent="0.25">
      <c r="A1754" t="s">
        <v>2489</v>
      </c>
      <c r="B1754" s="4">
        <v>45981</v>
      </c>
      <c r="C1754" s="3">
        <v>0.44166666666666665</v>
      </c>
      <c r="D1754" t="s">
        <v>16</v>
      </c>
      <c r="E1754" t="s">
        <v>66</v>
      </c>
      <c r="F1754" s="4"/>
      <c r="G1754">
        <v>1996</v>
      </c>
      <c r="H1754">
        <v>6</v>
      </c>
      <c r="I1754">
        <v>18</v>
      </c>
      <c r="J1754" t="s">
        <v>104</v>
      </c>
      <c r="K1754" t="s">
        <v>2490</v>
      </c>
      <c r="L1754">
        <v>1</v>
      </c>
      <c r="M1754">
        <v>323.01</v>
      </c>
      <c r="O1754" t="s">
        <v>55</v>
      </c>
      <c r="P1754" t="s">
        <v>105</v>
      </c>
    </row>
    <row r="1755" spans="1:16" x14ac:dyDescent="0.25">
      <c r="A1755" t="s">
        <v>2491</v>
      </c>
      <c r="B1755" s="4">
        <v>45929</v>
      </c>
      <c r="C1755" s="3">
        <v>0.53053240740740737</v>
      </c>
      <c r="D1755" t="s">
        <v>16</v>
      </c>
      <c r="E1755" t="s">
        <v>281</v>
      </c>
      <c r="F1755" s="4"/>
      <c r="G1755">
        <v>1982</v>
      </c>
      <c r="H1755">
        <v>7</v>
      </c>
      <c r="I1755">
        <v>20</v>
      </c>
      <c r="J1755" t="s">
        <v>85</v>
      </c>
      <c r="K1755">
        <v>111</v>
      </c>
      <c r="L1755">
        <v>1</v>
      </c>
      <c r="M1755">
        <v>111</v>
      </c>
      <c r="O1755" t="s">
        <v>61</v>
      </c>
      <c r="P1755" t="s">
        <v>21</v>
      </c>
    </row>
    <row r="1756" spans="1:16" x14ac:dyDescent="0.25">
      <c r="A1756" t="s">
        <v>2492</v>
      </c>
      <c r="B1756" t="s">
        <v>1022</v>
      </c>
      <c r="C1756" s="3">
        <v>0.63307870370370367</v>
      </c>
      <c r="D1756" t="s">
        <v>16</v>
      </c>
      <c r="E1756" t="s">
        <v>281</v>
      </c>
      <c r="F1756" s="1"/>
      <c r="G1756">
        <v>1981</v>
      </c>
      <c r="H1756">
        <v>12</v>
      </c>
      <c r="I1756">
        <v>13</v>
      </c>
      <c r="J1756" t="s">
        <v>45</v>
      </c>
      <c r="K1756">
        <v>126.44</v>
      </c>
      <c r="L1756">
        <v>2</v>
      </c>
      <c r="M1756">
        <v>206.88</v>
      </c>
      <c r="O1756" t="s">
        <v>32</v>
      </c>
      <c r="P1756" t="s">
        <v>56</v>
      </c>
    </row>
    <row r="1757" spans="1:16" x14ac:dyDescent="0.25">
      <c r="A1757" t="s">
        <v>2493</v>
      </c>
      <c r="B1757" s="4">
        <v>45637</v>
      </c>
      <c r="C1757" s="2">
        <v>0.59583333333333333</v>
      </c>
      <c r="D1757" t="s">
        <v>16</v>
      </c>
      <c r="E1757" t="s">
        <v>17</v>
      </c>
      <c r="G1757">
        <v>2004</v>
      </c>
      <c r="H1757">
        <v>9</v>
      </c>
      <c r="I1757">
        <v>22</v>
      </c>
      <c r="J1757" t="s">
        <v>199</v>
      </c>
      <c r="K1757">
        <v>171.13</v>
      </c>
      <c r="L1757">
        <v>1</v>
      </c>
      <c r="M1757">
        <v>171.13</v>
      </c>
      <c r="N1757" t="s">
        <v>19</v>
      </c>
      <c r="O1757" t="s">
        <v>47</v>
      </c>
      <c r="P1757" t="s">
        <v>48</v>
      </c>
    </row>
    <row r="1758" spans="1:16" x14ac:dyDescent="0.25">
      <c r="A1758" t="s">
        <v>2494</v>
      </c>
      <c r="B1758" s="1">
        <v>45936</v>
      </c>
      <c r="C1758" s="2">
        <v>0.56597222222222221</v>
      </c>
      <c r="D1758" t="s">
        <v>16</v>
      </c>
      <c r="E1758" t="s">
        <v>397</v>
      </c>
      <c r="F1758" s="4"/>
      <c r="G1758">
        <v>1989</v>
      </c>
      <c r="H1758">
        <v>1</v>
      </c>
      <c r="I1758">
        <v>10</v>
      </c>
      <c r="J1758" t="s">
        <v>213</v>
      </c>
      <c r="K1758">
        <v>330.09</v>
      </c>
      <c r="L1758">
        <v>3</v>
      </c>
      <c r="M1758" t="s">
        <v>2495</v>
      </c>
      <c r="N1758" t="s">
        <v>25</v>
      </c>
      <c r="O1758" t="s">
        <v>32</v>
      </c>
      <c r="P1758" t="s">
        <v>48</v>
      </c>
    </row>
    <row r="1759" spans="1:16" x14ac:dyDescent="0.25">
      <c r="A1759" t="s">
        <v>2496</v>
      </c>
      <c r="B1759" s="1">
        <v>45775</v>
      </c>
      <c r="C1759" s="5">
        <v>0.95625000000000004</v>
      </c>
      <c r="D1759" t="s">
        <v>16</v>
      </c>
      <c r="E1759" t="s">
        <v>211</v>
      </c>
      <c r="F1759" s="4"/>
      <c r="G1759">
        <v>1988</v>
      </c>
      <c r="H1759">
        <v>10</v>
      </c>
      <c r="I1759">
        <v>13</v>
      </c>
      <c r="J1759" t="s">
        <v>24</v>
      </c>
      <c r="K1759">
        <v>271.08999999999997</v>
      </c>
      <c r="L1759">
        <v>3</v>
      </c>
      <c r="M1759">
        <v>813.27</v>
      </c>
      <c r="N1759" t="s">
        <v>25</v>
      </c>
      <c r="O1759" t="s">
        <v>20</v>
      </c>
    </row>
    <row r="1760" spans="1:16" x14ac:dyDescent="0.25">
      <c r="A1760" t="s">
        <v>2497</v>
      </c>
      <c r="B1760" s="4">
        <v>45831</v>
      </c>
      <c r="C1760" s="5">
        <v>0.81666666666666665</v>
      </c>
      <c r="D1760" t="s">
        <v>16</v>
      </c>
      <c r="E1760" t="s">
        <v>211</v>
      </c>
      <c r="F1760" s="4"/>
      <c r="G1760">
        <v>1995</v>
      </c>
      <c r="H1760">
        <v>12</v>
      </c>
      <c r="I1760">
        <v>6</v>
      </c>
      <c r="J1760" t="s">
        <v>93</v>
      </c>
      <c r="K1760">
        <v>197.77</v>
      </c>
      <c r="L1760">
        <v>1</v>
      </c>
      <c r="M1760">
        <v>197.77</v>
      </c>
      <c r="N1760" t="s">
        <v>19</v>
      </c>
      <c r="O1760" t="s">
        <v>32</v>
      </c>
      <c r="P1760" t="s">
        <v>74</v>
      </c>
    </row>
    <row r="1761" spans="1:16" x14ac:dyDescent="0.25">
      <c r="A1761" t="s">
        <v>2498</v>
      </c>
      <c r="B1761" s="4">
        <v>45812</v>
      </c>
      <c r="C1761" s="5">
        <v>0.65694444444444444</v>
      </c>
      <c r="D1761" t="s">
        <v>16</v>
      </c>
      <c r="E1761" t="s">
        <v>163</v>
      </c>
      <c r="F1761" s="4"/>
      <c r="G1761">
        <v>1981</v>
      </c>
      <c r="H1761">
        <v>1</v>
      </c>
      <c r="I1761">
        <v>6</v>
      </c>
      <c r="J1761" t="s">
        <v>60</v>
      </c>
      <c r="K1761">
        <v>-154.86000000000001</v>
      </c>
      <c r="L1761">
        <v>2</v>
      </c>
      <c r="M1761" t="s">
        <v>2499</v>
      </c>
      <c r="O1761" t="s">
        <v>37</v>
      </c>
      <c r="P1761" t="s">
        <v>105</v>
      </c>
    </row>
    <row r="1762" spans="1:16" x14ac:dyDescent="0.25">
      <c r="A1762" t="s">
        <v>2500</v>
      </c>
      <c r="B1762" s="4">
        <v>45960</v>
      </c>
      <c r="C1762" s="2">
        <v>0.88680555555555551</v>
      </c>
      <c r="D1762" t="s">
        <v>16</v>
      </c>
      <c r="E1762" t="s">
        <v>39</v>
      </c>
      <c r="G1762">
        <v>2000</v>
      </c>
      <c r="H1762">
        <v>6</v>
      </c>
      <c r="I1762">
        <v>14</v>
      </c>
      <c r="J1762" t="s">
        <v>30</v>
      </c>
      <c r="K1762">
        <v>302.54000000000002</v>
      </c>
      <c r="L1762">
        <v>3</v>
      </c>
      <c r="M1762">
        <v>907.62</v>
      </c>
      <c r="N1762" t="s">
        <v>54</v>
      </c>
      <c r="O1762" t="s">
        <v>61</v>
      </c>
    </row>
    <row r="1763" spans="1:16" x14ac:dyDescent="0.25">
      <c r="A1763" t="s">
        <v>2501</v>
      </c>
      <c r="B1763" s="1">
        <v>45800</v>
      </c>
      <c r="C1763" s="2">
        <v>0.70138888888888884</v>
      </c>
      <c r="D1763" t="s">
        <v>16</v>
      </c>
      <c r="E1763" t="s">
        <v>451</v>
      </c>
      <c r="F1763" s="4"/>
      <c r="G1763">
        <v>1989</v>
      </c>
      <c r="H1763">
        <v>6</v>
      </c>
      <c r="I1763">
        <v>3</v>
      </c>
      <c r="J1763" t="s">
        <v>110</v>
      </c>
      <c r="K1763">
        <v>109.3</v>
      </c>
      <c r="L1763">
        <v>1</v>
      </c>
      <c r="M1763">
        <v>109.3</v>
      </c>
      <c r="N1763" t="s">
        <v>67</v>
      </c>
      <c r="O1763" t="s">
        <v>32</v>
      </c>
      <c r="P1763" t="s">
        <v>21</v>
      </c>
    </row>
    <row r="1764" spans="1:16" x14ac:dyDescent="0.25">
      <c r="A1764" t="s">
        <v>2502</v>
      </c>
      <c r="B1764" t="s">
        <v>756</v>
      </c>
      <c r="C1764" s="3">
        <v>0.76753472222222219</v>
      </c>
      <c r="D1764" t="s">
        <v>16</v>
      </c>
      <c r="E1764" t="s">
        <v>494</v>
      </c>
      <c r="F1764" s="1"/>
      <c r="G1764">
        <v>2000</v>
      </c>
      <c r="H1764">
        <v>11</v>
      </c>
      <c r="I1764">
        <v>16</v>
      </c>
      <c r="J1764" t="s">
        <v>36</v>
      </c>
      <c r="K1764">
        <v>-159.57</v>
      </c>
      <c r="L1764">
        <v>1</v>
      </c>
      <c r="M1764">
        <v>-159.57</v>
      </c>
      <c r="N1764" t="s">
        <v>31</v>
      </c>
      <c r="O1764" t="s">
        <v>55</v>
      </c>
      <c r="P1764" t="s">
        <v>74</v>
      </c>
    </row>
    <row r="1765" spans="1:16" x14ac:dyDescent="0.25">
      <c r="A1765" t="s">
        <v>2503</v>
      </c>
      <c r="B1765" t="s">
        <v>1772</v>
      </c>
      <c r="C1765" s="3">
        <v>0.73802083333333335</v>
      </c>
      <c r="D1765" t="s">
        <v>16</v>
      </c>
      <c r="E1765" t="s">
        <v>279</v>
      </c>
      <c r="F1765" s="4"/>
      <c r="G1765">
        <v>1971</v>
      </c>
      <c r="H1765">
        <v>11</v>
      </c>
      <c r="I1765">
        <v>27</v>
      </c>
      <c r="J1765" t="s">
        <v>164</v>
      </c>
      <c r="K1765">
        <v>286.68</v>
      </c>
      <c r="L1765">
        <v>2</v>
      </c>
      <c r="M1765">
        <v>573.36</v>
      </c>
      <c r="N1765" t="s">
        <v>25</v>
      </c>
      <c r="O1765" t="s">
        <v>26</v>
      </c>
      <c r="P1765" t="s">
        <v>33</v>
      </c>
    </row>
    <row r="1766" spans="1:16" x14ac:dyDescent="0.25">
      <c r="A1766" t="s">
        <v>2504</v>
      </c>
      <c r="B1766" t="s">
        <v>1789</v>
      </c>
      <c r="C1766" s="2">
        <v>0.79374999999999996</v>
      </c>
      <c r="D1766" t="s">
        <v>16</v>
      </c>
      <c r="E1766" t="s">
        <v>131</v>
      </c>
      <c r="F1766" s="1"/>
      <c r="G1766">
        <v>1976</v>
      </c>
      <c r="H1766">
        <v>11</v>
      </c>
      <c r="I1766">
        <v>9</v>
      </c>
      <c r="J1766" t="s">
        <v>199</v>
      </c>
      <c r="K1766">
        <v>233.99</v>
      </c>
      <c r="L1766">
        <v>2</v>
      </c>
      <c r="M1766">
        <v>467.98</v>
      </c>
      <c r="N1766" t="s">
        <v>41</v>
      </c>
      <c r="O1766" t="s">
        <v>20</v>
      </c>
      <c r="P1766" t="s">
        <v>48</v>
      </c>
    </row>
    <row r="1767" spans="1:16" x14ac:dyDescent="0.25">
      <c r="A1767" t="s">
        <v>2505</v>
      </c>
      <c r="B1767" s="1">
        <v>45656</v>
      </c>
      <c r="C1767" s="3">
        <v>0.70651620370370372</v>
      </c>
      <c r="D1767" t="s">
        <v>16</v>
      </c>
      <c r="E1767" t="s">
        <v>770</v>
      </c>
      <c r="F1767" s="4"/>
      <c r="G1767">
        <v>1998</v>
      </c>
      <c r="H1767">
        <v>4</v>
      </c>
      <c r="I1767">
        <v>11</v>
      </c>
      <c r="J1767" t="s">
        <v>178</v>
      </c>
      <c r="K1767">
        <v>324.76</v>
      </c>
      <c r="L1767">
        <v>2</v>
      </c>
      <c r="M1767">
        <v>649.52</v>
      </c>
      <c r="N1767" t="s">
        <v>25</v>
      </c>
      <c r="O1767" t="s">
        <v>61</v>
      </c>
      <c r="P1767" t="s">
        <v>56</v>
      </c>
    </row>
    <row r="1768" spans="1:16" x14ac:dyDescent="0.25">
      <c r="A1768" t="s">
        <v>2506</v>
      </c>
      <c r="B1768" t="s">
        <v>2507</v>
      </c>
      <c r="C1768" s="2">
        <v>0.5541666666666667</v>
      </c>
      <c r="D1768" t="s">
        <v>16</v>
      </c>
      <c r="E1768" t="s">
        <v>39</v>
      </c>
      <c r="F1768" s="4"/>
      <c r="G1768">
        <v>2008</v>
      </c>
      <c r="H1768">
        <v>2</v>
      </c>
      <c r="I1768">
        <v>7</v>
      </c>
      <c r="J1768" t="s">
        <v>73</v>
      </c>
      <c r="K1768">
        <v>43.8</v>
      </c>
      <c r="L1768">
        <v>3</v>
      </c>
      <c r="M1768">
        <v>131.4</v>
      </c>
      <c r="O1768" t="s">
        <v>47</v>
      </c>
      <c r="P1768" t="s">
        <v>27</v>
      </c>
    </row>
    <row r="1769" spans="1:16" x14ac:dyDescent="0.25">
      <c r="A1769" t="s">
        <v>2508</v>
      </c>
      <c r="B1769" t="s">
        <v>2110</v>
      </c>
      <c r="C1769" s="3">
        <v>0.64741898148148147</v>
      </c>
      <c r="D1769" t="s">
        <v>16</v>
      </c>
      <c r="E1769" t="s">
        <v>194</v>
      </c>
      <c r="G1769">
        <v>1982</v>
      </c>
      <c r="H1769">
        <v>8</v>
      </c>
      <c r="I1769">
        <v>2</v>
      </c>
      <c r="J1769" t="s">
        <v>40</v>
      </c>
      <c r="K1769">
        <v>200.94</v>
      </c>
      <c r="L1769">
        <v>2</v>
      </c>
      <c r="M1769">
        <v>401.88</v>
      </c>
      <c r="N1769" t="s">
        <v>54</v>
      </c>
      <c r="O1769" t="s">
        <v>20</v>
      </c>
      <c r="P1769" t="s">
        <v>27</v>
      </c>
    </row>
    <row r="1770" spans="1:16" x14ac:dyDescent="0.25">
      <c r="A1770" t="s">
        <v>2509</v>
      </c>
      <c r="B1770" s="1">
        <v>45834</v>
      </c>
      <c r="C1770" s="2">
        <v>0.7895833333333333</v>
      </c>
      <c r="D1770" t="s">
        <v>16</v>
      </c>
      <c r="E1770" t="s">
        <v>138</v>
      </c>
      <c r="G1770">
        <v>1987</v>
      </c>
      <c r="H1770">
        <v>5</v>
      </c>
      <c r="I1770">
        <v>13</v>
      </c>
      <c r="J1770" t="s">
        <v>213</v>
      </c>
      <c r="K1770" t="s">
        <v>2510</v>
      </c>
      <c r="L1770">
        <v>3</v>
      </c>
      <c r="M1770">
        <v>970.05</v>
      </c>
      <c r="N1770" t="s">
        <v>54</v>
      </c>
      <c r="O1770" t="s">
        <v>26</v>
      </c>
      <c r="P1770" t="s">
        <v>21</v>
      </c>
    </row>
    <row r="1771" spans="1:16" x14ac:dyDescent="0.25">
      <c r="A1771" t="s">
        <v>2511</v>
      </c>
      <c r="B1771" s="4">
        <v>45690</v>
      </c>
      <c r="C1771" s="2">
        <v>0.9194444444444444</v>
      </c>
      <c r="D1771" t="s">
        <v>16</v>
      </c>
      <c r="E1771" t="s">
        <v>229</v>
      </c>
      <c r="F1771" s="1"/>
      <c r="G1771">
        <v>1975</v>
      </c>
      <c r="H1771">
        <v>4</v>
      </c>
      <c r="I1771">
        <v>13</v>
      </c>
      <c r="J1771" t="s">
        <v>36</v>
      </c>
      <c r="K1771">
        <v>-245.65</v>
      </c>
      <c r="L1771">
        <v>2</v>
      </c>
      <c r="M1771">
        <v>-491.3</v>
      </c>
      <c r="N1771" t="s">
        <v>54</v>
      </c>
      <c r="O1771" t="s">
        <v>55</v>
      </c>
      <c r="P1771" t="s">
        <v>33</v>
      </c>
    </row>
    <row r="1772" spans="1:16" x14ac:dyDescent="0.25">
      <c r="A1772" t="s">
        <v>2512</v>
      </c>
      <c r="B1772" t="s">
        <v>2513</v>
      </c>
      <c r="C1772" s="3">
        <v>0.43767361111111114</v>
      </c>
      <c r="D1772" t="s">
        <v>16</v>
      </c>
      <c r="E1772" t="s">
        <v>240</v>
      </c>
      <c r="F1772" s="4"/>
      <c r="G1772">
        <v>1997</v>
      </c>
      <c r="H1772">
        <v>8</v>
      </c>
      <c r="I1772">
        <v>9</v>
      </c>
      <c r="J1772" t="s">
        <v>85</v>
      </c>
      <c r="K1772">
        <v>235.53</v>
      </c>
      <c r="L1772">
        <v>2</v>
      </c>
      <c r="M1772">
        <v>471.06</v>
      </c>
      <c r="O1772" t="s">
        <v>47</v>
      </c>
      <c r="P1772" t="s">
        <v>105</v>
      </c>
    </row>
    <row r="1773" spans="1:16" x14ac:dyDescent="0.25">
      <c r="A1773" t="s">
        <v>2514</v>
      </c>
      <c r="B1773" s="4">
        <v>45799</v>
      </c>
      <c r="C1773" s="2">
        <v>0.48541666666666666</v>
      </c>
      <c r="D1773" t="s">
        <v>16</v>
      </c>
      <c r="E1773" t="s">
        <v>264</v>
      </c>
      <c r="F1773" s="4"/>
      <c r="G1773">
        <v>2004</v>
      </c>
      <c r="H1773">
        <v>3</v>
      </c>
      <c r="I1773">
        <v>5</v>
      </c>
      <c r="J1773" t="s">
        <v>93</v>
      </c>
      <c r="K1773">
        <v>183.24</v>
      </c>
      <c r="L1773">
        <v>1</v>
      </c>
      <c r="M1773">
        <v>202.24</v>
      </c>
      <c r="N1773" t="s">
        <v>19</v>
      </c>
      <c r="O1773" t="s">
        <v>37</v>
      </c>
      <c r="P1773" t="s">
        <v>56</v>
      </c>
    </row>
    <row r="1774" spans="1:16" x14ac:dyDescent="0.25">
      <c r="A1774" t="s">
        <v>2515</v>
      </c>
      <c r="C1774" s="5">
        <v>0.68611111111111112</v>
      </c>
      <c r="D1774" t="s">
        <v>16</v>
      </c>
      <c r="E1774" t="s">
        <v>98</v>
      </c>
      <c r="F1774" s="1"/>
      <c r="G1774">
        <v>1981</v>
      </c>
      <c r="H1774">
        <v>5</v>
      </c>
      <c r="I1774">
        <v>9</v>
      </c>
      <c r="J1774" t="s">
        <v>129</v>
      </c>
      <c r="K1774">
        <v>196.33</v>
      </c>
      <c r="L1774">
        <v>2</v>
      </c>
      <c r="M1774">
        <v>392.66</v>
      </c>
      <c r="N1774" t="s">
        <v>67</v>
      </c>
      <c r="O1774" t="s">
        <v>26</v>
      </c>
      <c r="P1774" t="s">
        <v>105</v>
      </c>
    </row>
    <row r="1775" spans="1:16" x14ac:dyDescent="0.25">
      <c r="A1775" t="s">
        <v>2516</v>
      </c>
      <c r="B1775" t="s">
        <v>2170</v>
      </c>
      <c r="C1775" s="2">
        <v>0.9291666666666667</v>
      </c>
      <c r="D1775" t="s">
        <v>16</v>
      </c>
      <c r="E1775" t="s">
        <v>131</v>
      </c>
      <c r="F1775" s="4"/>
      <c r="G1775">
        <v>1987</v>
      </c>
      <c r="H1775">
        <v>7</v>
      </c>
      <c r="I1775">
        <v>17</v>
      </c>
      <c r="J1775" t="s">
        <v>30</v>
      </c>
      <c r="K1775">
        <v>305.54000000000002</v>
      </c>
      <c r="L1775">
        <v>2</v>
      </c>
      <c r="M1775">
        <v>611.08000000000004</v>
      </c>
      <c r="O1775" t="s">
        <v>26</v>
      </c>
      <c r="P1775" t="s">
        <v>27</v>
      </c>
    </row>
    <row r="1776" spans="1:16" x14ac:dyDescent="0.25">
      <c r="A1776" t="s">
        <v>2517</v>
      </c>
      <c r="B1776" s="4">
        <v>45816</v>
      </c>
      <c r="C1776" s="5">
        <v>0.875</v>
      </c>
      <c r="D1776" t="s">
        <v>16</v>
      </c>
      <c r="E1776" t="s">
        <v>189</v>
      </c>
      <c r="G1776">
        <v>2003</v>
      </c>
      <c r="H1776">
        <v>9</v>
      </c>
      <c r="I1776">
        <v>1</v>
      </c>
      <c r="J1776" t="s">
        <v>60</v>
      </c>
      <c r="K1776">
        <v>73.67</v>
      </c>
      <c r="L1776">
        <v>1</v>
      </c>
      <c r="M1776">
        <v>73.67</v>
      </c>
      <c r="N1776" t="s">
        <v>25</v>
      </c>
      <c r="O1776" t="s">
        <v>47</v>
      </c>
      <c r="P1776" t="s">
        <v>33</v>
      </c>
    </row>
    <row r="1777" spans="1:16" x14ac:dyDescent="0.25">
      <c r="A1777" t="s">
        <v>2518</v>
      </c>
      <c r="B1777" s="4">
        <v>45793</v>
      </c>
      <c r="C1777" s="5">
        <v>0.80625000000000002</v>
      </c>
      <c r="D1777" t="s">
        <v>16</v>
      </c>
      <c r="E1777" t="s">
        <v>458</v>
      </c>
      <c r="F1777" s="4"/>
      <c r="G1777">
        <v>2002</v>
      </c>
      <c r="H1777">
        <v>8</v>
      </c>
      <c r="I1777">
        <v>1</v>
      </c>
      <c r="J1777" t="s">
        <v>93</v>
      </c>
      <c r="K1777">
        <v>236.99</v>
      </c>
      <c r="L1777">
        <v>2</v>
      </c>
      <c r="M1777">
        <v>473.98</v>
      </c>
      <c r="N1777" t="s">
        <v>54</v>
      </c>
      <c r="O1777" t="s">
        <v>89</v>
      </c>
      <c r="P1777" t="s">
        <v>74</v>
      </c>
    </row>
    <row r="1778" spans="1:16" x14ac:dyDescent="0.25">
      <c r="A1778" t="s">
        <v>2519</v>
      </c>
      <c r="B1778" t="s">
        <v>2060</v>
      </c>
      <c r="C1778" s="5">
        <v>0.49513888888888891</v>
      </c>
      <c r="D1778" t="s">
        <v>16</v>
      </c>
      <c r="E1778" t="s">
        <v>420</v>
      </c>
      <c r="F1778" s="1"/>
      <c r="G1778">
        <v>1986</v>
      </c>
      <c r="H1778">
        <v>8</v>
      </c>
      <c r="I1778">
        <v>27</v>
      </c>
      <c r="J1778" t="s">
        <v>30</v>
      </c>
      <c r="K1778">
        <v>272.29000000000002</v>
      </c>
      <c r="L1778">
        <v>2</v>
      </c>
      <c r="M1778">
        <v>544.58000000000004</v>
      </c>
      <c r="N1778" t="s">
        <v>54</v>
      </c>
      <c r="O1778" t="s">
        <v>37</v>
      </c>
    </row>
    <row r="1779" spans="1:16" x14ac:dyDescent="0.25">
      <c r="A1779" t="s">
        <v>2520</v>
      </c>
      <c r="B1779" s="4">
        <v>45717</v>
      </c>
      <c r="C1779" s="5">
        <v>0.57847222222222228</v>
      </c>
      <c r="D1779" t="s">
        <v>16</v>
      </c>
      <c r="E1779" t="s">
        <v>471</v>
      </c>
      <c r="G1779">
        <v>1995</v>
      </c>
      <c r="H1779">
        <v>4</v>
      </c>
      <c r="I1779">
        <v>5</v>
      </c>
      <c r="J1779" t="s">
        <v>93</v>
      </c>
      <c r="K1779">
        <v>224.77</v>
      </c>
      <c r="L1779">
        <v>2</v>
      </c>
      <c r="M1779">
        <v>449.54</v>
      </c>
      <c r="N1779" t="s">
        <v>31</v>
      </c>
      <c r="O1779" t="s">
        <v>20</v>
      </c>
    </row>
    <row r="1780" spans="1:16" x14ac:dyDescent="0.25">
      <c r="A1780" t="s">
        <v>2521</v>
      </c>
      <c r="B1780" s="1">
        <v>45820</v>
      </c>
      <c r="C1780" s="5">
        <v>0.69374999999999998</v>
      </c>
      <c r="D1780" t="s">
        <v>16</v>
      </c>
      <c r="E1780" t="s">
        <v>389</v>
      </c>
      <c r="J1780" t="s">
        <v>126</v>
      </c>
      <c r="K1780">
        <v>211.23</v>
      </c>
      <c r="L1780">
        <v>2</v>
      </c>
      <c r="M1780">
        <v>422.46</v>
      </c>
      <c r="N1780" t="s">
        <v>67</v>
      </c>
      <c r="O1780" t="s">
        <v>37</v>
      </c>
      <c r="P1780" t="s">
        <v>27</v>
      </c>
    </row>
    <row r="1781" spans="1:16" x14ac:dyDescent="0.25">
      <c r="A1781" t="s">
        <v>2522</v>
      </c>
      <c r="B1781" s="4">
        <v>45783</v>
      </c>
      <c r="C1781" s="5">
        <v>0.5625</v>
      </c>
      <c r="D1781" t="s">
        <v>16</v>
      </c>
      <c r="E1781" t="s">
        <v>128</v>
      </c>
      <c r="G1781">
        <v>1985</v>
      </c>
      <c r="H1781">
        <v>5</v>
      </c>
      <c r="I1781">
        <v>11</v>
      </c>
      <c r="J1781" t="s">
        <v>243</v>
      </c>
      <c r="K1781">
        <v>140.34</v>
      </c>
      <c r="L1781">
        <v>2</v>
      </c>
      <c r="M1781">
        <v>280.68</v>
      </c>
      <c r="N1781" t="s">
        <v>19</v>
      </c>
      <c r="O1781" t="s">
        <v>20</v>
      </c>
      <c r="P1781" t="s">
        <v>27</v>
      </c>
    </row>
    <row r="1782" spans="1:16" x14ac:dyDescent="0.25">
      <c r="A1782" t="s">
        <v>2523</v>
      </c>
      <c r="B1782" t="s">
        <v>1381</v>
      </c>
      <c r="C1782" s="2">
        <v>0.82499999999999996</v>
      </c>
      <c r="D1782" t="s">
        <v>16</v>
      </c>
      <c r="E1782" t="s">
        <v>628</v>
      </c>
      <c r="F1782" s="4"/>
      <c r="G1782">
        <v>2006</v>
      </c>
      <c r="H1782">
        <v>2</v>
      </c>
      <c r="I1782">
        <v>10</v>
      </c>
      <c r="J1782" t="s">
        <v>164</v>
      </c>
      <c r="K1782">
        <v>358.68</v>
      </c>
      <c r="L1782">
        <v>2</v>
      </c>
      <c r="M1782">
        <v>717.36</v>
      </c>
      <c r="N1782" t="s">
        <v>64</v>
      </c>
      <c r="O1782" t="s">
        <v>26</v>
      </c>
      <c r="P1782" t="s">
        <v>33</v>
      </c>
    </row>
    <row r="1783" spans="1:16" x14ac:dyDescent="0.25">
      <c r="A1783" t="s">
        <v>2524</v>
      </c>
      <c r="B1783" s="4">
        <v>45673</v>
      </c>
      <c r="C1783" s="5">
        <v>0.90694444444444444</v>
      </c>
      <c r="D1783" t="s">
        <v>16</v>
      </c>
      <c r="E1783" t="s">
        <v>1580</v>
      </c>
      <c r="F1783" s="4"/>
      <c r="G1783">
        <v>1987</v>
      </c>
      <c r="H1783">
        <v>5</v>
      </c>
      <c r="I1783">
        <v>9</v>
      </c>
      <c r="J1783" t="s">
        <v>202</v>
      </c>
      <c r="K1783">
        <v>94.38</v>
      </c>
      <c r="L1783">
        <v>1</v>
      </c>
      <c r="M1783">
        <v>94.38</v>
      </c>
      <c r="N1783" t="s">
        <v>31</v>
      </c>
      <c r="O1783" t="s">
        <v>89</v>
      </c>
      <c r="P1783" t="s">
        <v>56</v>
      </c>
    </row>
    <row r="1784" spans="1:16" x14ac:dyDescent="0.25">
      <c r="A1784" t="s">
        <v>2525</v>
      </c>
      <c r="B1784" t="s">
        <v>2369</v>
      </c>
      <c r="C1784" s="5">
        <v>0.99375000000000002</v>
      </c>
      <c r="D1784" t="s">
        <v>16</v>
      </c>
      <c r="E1784" t="s">
        <v>425</v>
      </c>
      <c r="F1784" s="1"/>
      <c r="G1784">
        <v>1997</v>
      </c>
      <c r="H1784">
        <v>6</v>
      </c>
      <c r="I1784">
        <v>7</v>
      </c>
      <c r="J1784" t="s">
        <v>164</v>
      </c>
      <c r="K1784">
        <v>257.89999999999998</v>
      </c>
      <c r="L1784">
        <v>2</v>
      </c>
      <c r="M1784">
        <v>515.79999999999995</v>
      </c>
      <c r="N1784" t="s">
        <v>54</v>
      </c>
      <c r="O1784" t="s">
        <v>20</v>
      </c>
      <c r="P1784" t="s">
        <v>105</v>
      </c>
    </row>
    <row r="1785" spans="1:16" x14ac:dyDescent="0.25">
      <c r="A1785" t="s">
        <v>2526</v>
      </c>
      <c r="B1785" t="s">
        <v>1222</v>
      </c>
      <c r="C1785" s="5">
        <v>0.82777777777777772</v>
      </c>
      <c r="D1785" t="s">
        <v>16</v>
      </c>
      <c r="E1785" t="s">
        <v>332</v>
      </c>
      <c r="F1785" s="4"/>
      <c r="G1785">
        <v>1976</v>
      </c>
      <c r="H1785">
        <v>2</v>
      </c>
      <c r="I1785">
        <v>27</v>
      </c>
      <c r="J1785" t="s">
        <v>126</v>
      </c>
      <c r="K1785">
        <v>250.83</v>
      </c>
      <c r="L1785">
        <v>2</v>
      </c>
      <c r="M1785">
        <v>501.66</v>
      </c>
      <c r="N1785" t="s">
        <v>31</v>
      </c>
      <c r="O1785" t="s">
        <v>47</v>
      </c>
      <c r="P1785" t="s">
        <v>21</v>
      </c>
    </row>
    <row r="1786" spans="1:16" x14ac:dyDescent="0.25">
      <c r="A1786" t="s">
        <v>2527</v>
      </c>
      <c r="B1786" s="4">
        <v>45751</v>
      </c>
      <c r="C1786" s="3">
        <v>0.77820601851851856</v>
      </c>
      <c r="D1786" t="s">
        <v>16</v>
      </c>
      <c r="E1786" t="s">
        <v>659</v>
      </c>
      <c r="G1786">
        <v>2000</v>
      </c>
      <c r="H1786">
        <v>6</v>
      </c>
      <c r="I1786">
        <v>21</v>
      </c>
      <c r="J1786" t="s">
        <v>213</v>
      </c>
      <c r="K1786">
        <v>165.56</v>
      </c>
      <c r="L1786">
        <v>3</v>
      </c>
      <c r="M1786">
        <v>496.68</v>
      </c>
      <c r="N1786" t="s">
        <v>64</v>
      </c>
      <c r="O1786" t="s">
        <v>47</v>
      </c>
      <c r="P1786" t="s">
        <v>105</v>
      </c>
    </row>
    <row r="1787" spans="1:16" x14ac:dyDescent="0.25">
      <c r="A1787" t="s">
        <v>2528</v>
      </c>
      <c r="B1787" s="1">
        <v>45622</v>
      </c>
      <c r="C1787" s="2">
        <v>0.75208333333333333</v>
      </c>
      <c r="D1787" t="s">
        <v>16</v>
      </c>
      <c r="E1787" t="s">
        <v>29</v>
      </c>
      <c r="G1787">
        <v>2010</v>
      </c>
      <c r="H1787">
        <v>4</v>
      </c>
      <c r="I1787">
        <v>9</v>
      </c>
      <c r="J1787" t="s">
        <v>18</v>
      </c>
      <c r="K1787">
        <v>83.61</v>
      </c>
      <c r="L1787">
        <v>2</v>
      </c>
      <c r="M1787">
        <v>167.22</v>
      </c>
      <c r="O1787" t="s">
        <v>61</v>
      </c>
    </row>
    <row r="1788" spans="1:16" x14ac:dyDescent="0.25">
      <c r="A1788" t="s">
        <v>2529</v>
      </c>
      <c r="B1788" t="s">
        <v>1863</v>
      </c>
      <c r="C1788" s="2">
        <v>0.82847222222222228</v>
      </c>
      <c r="D1788" t="s">
        <v>16</v>
      </c>
      <c r="E1788" t="s">
        <v>39</v>
      </c>
      <c r="F1788" s="4"/>
      <c r="G1788">
        <v>2005</v>
      </c>
      <c r="H1788">
        <v>2</v>
      </c>
      <c r="I1788">
        <v>13</v>
      </c>
      <c r="J1788" t="s">
        <v>104</v>
      </c>
      <c r="K1788">
        <v>216.81</v>
      </c>
      <c r="L1788">
        <v>2</v>
      </c>
      <c r="M1788">
        <v>433.62</v>
      </c>
      <c r="N1788" t="s">
        <v>25</v>
      </c>
      <c r="O1788" t="s">
        <v>26</v>
      </c>
    </row>
    <row r="1789" spans="1:16" x14ac:dyDescent="0.25">
      <c r="A1789" t="s">
        <v>2530</v>
      </c>
      <c r="B1789" s="1">
        <v>45937</v>
      </c>
      <c r="C1789" s="5">
        <v>0.85624999999999996</v>
      </c>
      <c r="D1789" t="s">
        <v>16</v>
      </c>
      <c r="E1789" t="s">
        <v>66</v>
      </c>
      <c r="G1789">
        <v>1975</v>
      </c>
      <c r="H1789">
        <v>4</v>
      </c>
      <c r="I1789">
        <v>8</v>
      </c>
      <c r="J1789" t="s">
        <v>45</v>
      </c>
      <c r="K1789">
        <v>109.11</v>
      </c>
      <c r="L1789">
        <v>3</v>
      </c>
      <c r="M1789">
        <v>327.33</v>
      </c>
      <c r="N1789" t="s">
        <v>19</v>
      </c>
      <c r="O1789" t="s">
        <v>37</v>
      </c>
    </row>
    <row r="1790" spans="1:16" x14ac:dyDescent="0.25">
      <c r="A1790" t="s">
        <v>2531</v>
      </c>
      <c r="B1790" s="1">
        <v>45868</v>
      </c>
      <c r="C1790" s="3">
        <v>0.59422453703703704</v>
      </c>
      <c r="D1790" t="s">
        <v>16</v>
      </c>
      <c r="E1790" t="s">
        <v>131</v>
      </c>
      <c r="F1790" s="4"/>
      <c r="G1790">
        <v>1974</v>
      </c>
      <c r="H1790">
        <v>9</v>
      </c>
      <c r="I1790">
        <v>24</v>
      </c>
      <c r="J1790" t="s">
        <v>40</v>
      </c>
      <c r="K1790">
        <v>229.83</v>
      </c>
      <c r="L1790">
        <v>2</v>
      </c>
      <c r="M1790">
        <v>459.66</v>
      </c>
      <c r="N1790" t="s">
        <v>19</v>
      </c>
      <c r="O1790" t="s">
        <v>89</v>
      </c>
    </row>
    <row r="1791" spans="1:16" x14ac:dyDescent="0.25">
      <c r="A1791" t="s">
        <v>2532</v>
      </c>
      <c r="B1791" s="4">
        <v>45853</v>
      </c>
      <c r="C1791" s="2">
        <v>0.7993055555555556</v>
      </c>
      <c r="D1791" t="s">
        <v>16</v>
      </c>
      <c r="E1791" t="s">
        <v>154</v>
      </c>
      <c r="F1791" s="1"/>
      <c r="G1791">
        <v>1984</v>
      </c>
      <c r="H1791">
        <v>9</v>
      </c>
      <c r="I1791">
        <v>5</v>
      </c>
      <c r="J1791" t="s">
        <v>45</v>
      </c>
      <c r="K1791">
        <v>112.23</v>
      </c>
      <c r="L1791">
        <v>3</v>
      </c>
      <c r="M1791">
        <v>336.69</v>
      </c>
      <c r="O1791" t="s">
        <v>61</v>
      </c>
      <c r="P1791" t="s">
        <v>105</v>
      </c>
    </row>
    <row r="1792" spans="1:16" x14ac:dyDescent="0.25">
      <c r="A1792" t="s">
        <v>2533</v>
      </c>
      <c r="B1792" t="s">
        <v>381</v>
      </c>
      <c r="C1792" s="3">
        <v>0.91</v>
      </c>
      <c r="D1792" t="s">
        <v>16</v>
      </c>
      <c r="E1792" t="s">
        <v>562</v>
      </c>
      <c r="F1792" s="1"/>
      <c r="G1792">
        <v>1993</v>
      </c>
      <c r="H1792">
        <v>10</v>
      </c>
      <c r="I1792">
        <v>15</v>
      </c>
      <c r="J1792" t="s">
        <v>73</v>
      </c>
      <c r="K1792" t="s">
        <v>2534</v>
      </c>
      <c r="L1792">
        <v>2</v>
      </c>
      <c r="M1792">
        <v>91.3</v>
      </c>
      <c r="N1792" t="s">
        <v>67</v>
      </c>
      <c r="O1792" t="s">
        <v>61</v>
      </c>
      <c r="P1792" t="s">
        <v>33</v>
      </c>
    </row>
    <row r="1793" spans="1:16" x14ac:dyDescent="0.25">
      <c r="A1793" t="s">
        <v>2535</v>
      </c>
      <c r="B1793" s="1">
        <v>45731</v>
      </c>
      <c r="C1793" s="2">
        <v>0.74236111111111114</v>
      </c>
      <c r="D1793" t="s">
        <v>16</v>
      </c>
      <c r="E1793" t="s">
        <v>229</v>
      </c>
      <c r="G1793">
        <v>1995</v>
      </c>
      <c r="H1793">
        <v>6</v>
      </c>
      <c r="I1793">
        <v>15</v>
      </c>
      <c r="J1793" t="s">
        <v>110</v>
      </c>
      <c r="K1793" t="s">
        <v>2536</v>
      </c>
      <c r="L1793">
        <v>1</v>
      </c>
      <c r="M1793">
        <v>132.01</v>
      </c>
      <c r="N1793" t="s">
        <v>67</v>
      </c>
      <c r="O1793" t="s">
        <v>37</v>
      </c>
      <c r="P1793" t="s">
        <v>21</v>
      </c>
    </row>
    <row r="1794" spans="1:16" x14ac:dyDescent="0.25">
      <c r="A1794" t="s">
        <v>2537</v>
      </c>
      <c r="B1794" s="1">
        <v>45744</v>
      </c>
      <c r="C1794" s="2">
        <v>0.78541666666666665</v>
      </c>
      <c r="D1794" t="s">
        <v>16</v>
      </c>
      <c r="E1794" t="s">
        <v>169</v>
      </c>
      <c r="G1794">
        <v>2003</v>
      </c>
      <c r="H1794">
        <v>1</v>
      </c>
      <c r="I1794">
        <v>6</v>
      </c>
      <c r="J1794" t="s">
        <v>129</v>
      </c>
      <c r="K1794">
        <v>206.18</v>
      </c>
      <c r="L1794">
        <v>2</v>
      </c>
      <c r="M1794">
        <v>412.36</v>
      </c>
      <c r="N1794" t="s">
        <v>19</v>
      </c>
      <c r="O1794" t="s">
        <v>55</v>
      </c>
      <c r="P1794" t="s">
        <v>74</v>
      </c>
    </row>
    <row r="1795" spans="1:16" x14ac:dyDescent="0.25">
      <c r="A1795" t="s">
        <v>2538</v>
      </c>
      <c r="B1795" s="4">
        <v>45682</v>
      </c>
      <c r="C1795" s="5">
        <v>0.65763888888888888</v>
      </c>
      <c r="D1795" t="s">
        <v>16</v>
      </c>
      <c r="E1795" t="s">
        <v>299</v>
      </c>
      <c r="F1795" s="1"/>
      <c r="G1795">
        <v>2001</v>
      </c>
      <c r="H1795">
        <v>5</v>
      </c>
      <c r="I1795">
        <v>28</v>
      </c>
      <c r="J1795" t="s">
        <v>116</v>
      </c>
      <c r="K1795">
        <v>200.74</v>
      </c>
      <c r="L1795">
        <v>1</v>
      </c>
      <c r="M1795">
        <v>200.74</v>
      </c>
      <c r="N1795" t="s">
        <v>54</v>
      </c>
      <c r="O1795" t="s">
        <v>89</v>
      </c>
      <c r="P1795" t="s">
        <v>21</v>
      </c>
    </row>
    <row r="1796" spans="1:16" x14ac:dyDescent="0.25">
      <c r="A1796" t="s">
        <v>2539</v>
      </c>
      <c r="B1796" t="s">
        <v>2540</v>
      </c>
      <c r="C1796" s="5">
        <v>0.71597222222222223</v>
      </c>
      <c r="D1796" t="s">
        <v>16</v>
      </c>
      <c r="E1796" t="s">
        <v>169</v>
      </c>
      <c r="F1796" s="1"/>
      <c r="G1796">
        <v>2001</v>
      </c>
      <c r="H1796">
        <v>1</v>
      </c>
      <c r="I1796">
        <v>3</v>
      </c>
      <c r="J1796" t="s">
        <v>73</v>
      </c>
      <c r="K1796">
        <v>44.98</v>
      </c>
      <c r="L1796">
        <v>-1</v>
      </c>
      <c r="M1796">
        <v>-44.98</v>
      </c>
      <c r="N1796" t="s">
        <v>41</v>
      </c>
      <c r="O1796" t="s">
        <v>55</v>
      </c>
    </row>
    <row r="1797" spans="1:16" x14ac:dyDescent="0.25">
      <c r="A1797" t="s">
        <v>2541</v>
      </c>
      <c r="B1797" s="4">
        <v>45657</v>
      </c>
      <c r="C1797" s="5">
        <v>0.50763888888888886</v>
      </c>
      <c r="D1797" t="s">
        <v>16</v>
      </c>
      <c r="E1797" t="s">
        <v>17</v>
      </c>
      <c r="F1797" s="1"/>
      <c r="G1797">
        <v>1990</v>
      </c>
      <c r="H1797">
        <v>1</v>
      </c>
      <c r="I1797">
        <v>7</v>
      </c>
      <c r="J1797" t="s">
        <v>18</v>
      </c>
      <c r="K1797">
        <v>83.81</v>
      </c>
      <c r="L1797">
        <v>2</v>
      </c>
      <c r="M1797">
        <v>167.62</v>
      </c>
      <c r="N1797" t="s">
        <v>41</v>
      </c>
      <c r="O1797" t="s">
        <v>47</v>
      </c>
      <c r="P1797" t="s">
        <v>33</v>
      </c>
    </row>
    <row r="1798" spans="1:16" x14ac:dyDescent="0.25">
      <c r="A1798" t="s">
        <v>2542</v>
      </c>
      <c r="B1798" s="4">
        <v>45791</v>
      </c>
      <c r="C1798" s="3">
        <v>0.70194444444444448</v>
      </c>
      <c r="D1798" t="s">
        <v>16</v>
      </c>
      <c r="E1798" t="s">
        <v>281</v>
      </c>
      <c r="G1798">
        <v>1995</v>
      </c>
      <c r="H1798">
        <v>4</v>
      </c>
      <c r="I1798">
        <v>1</v>
      </c>
      <c r="J1798" t="s">
        <v>145</v>
      </c>
      <c r="K1798">
        <v>245.27</v>
      </c>
      <c r="L1798">
        <v>1</v>
      </c>
      <c r="M1798">
        <v>267.27</v>
      </c>
      <c r="N1798" t="s">
        <v>64</v>
      </c>
      <c r="O1798" t="s">
        <v>47</v>
      </c>
      <c r="P1798" t="s">
        <v>74</v>
      </c>
    </row>
    <row r="1799" spans="1:16" x14ac:dyDescent="0.25">
      <c r="A1799" t="s">
        <v>2543</v>
      </c>
      <c r="B1799" t="s">
        <v>1226</v>
      </c>
      <c r="C1799" s="3">
        <v>0.85253472222222226</v>
      </c>
      <c r="D1799" t="s">
        <v>16</v>
      </c>
      <c r="E1799" t="s">
        <v>1427</v>
      </c>
      <c r="F1799" s="1"/>
      <c r="G1799">
        <v>1983</v>
      </c>
      <c r="H1799">
        <v>5</v>
      </c>
      <c r="I1799">
        <v>3</v>
      </c>
      <c r="J1799" t="s">
        <v>110</v>
      </c>
      <c r="K1799">
        <v>128.54</v>
      </c>
      <c r="L1799">
        <v>1</v>
      </c>
      <c r="M1799">
        <v>128.54</v>
      </c>
      <c r="N1799" t="s">
        <v>19</v>
      </c>
      <c r="O1799" t="s">
        <v>89</v>
      </c>
      <c r="P1799" t="s">
        <v>105</v>
      </c>
    </row>
    <row r="1800" spans="1:16" x14ac:dyDescent="0.25">
      <c r="A1800" t="s">
        <v>2544</v>
      </c>
      <c r="B1800" s="4">
        <v>45810</v>
      </c>
      <c r="C1800" s="2">
        <v>0.82291666666666663</v>
      </c>
      <c r="D1800" t="s">
        <v>16</v>
      </c>
      <c r="E1800" t="s">
        <v>131</v>
      </c>
      <c r="F1800" s="4"/>
      <c r="G1800">
        <v>1983</v>
      </c>
      <c r="H1800">
        <v>3</v>
      </c>
      <c r="I1800">
        <v>15</v>
      </c>
      <c r="J1800" t="s">
        <v>73</v>
      </c>
      <c r="K1800">
        <v>51.32</v>
      </c>
      <c r="L1800">
        <v>1</v>
      </c>
      <c r="M1800">
        <v>51.32</v>
      </c>
      <c r="N1800" t="s">
        <v>41</v>
      </c>
      <c r="O1800" t="s">
        <v>55</v>
      </c>
      <c r="P1800" t="s">
        <v>56</v>
      </c>
    </row>
    <row r="1801" spans="1:16" x14ac:dyDescent="0.25">
      <c r="A1801" t="s">
        <v>2545</v>
      </c>
      <c r="B1801" s="4">
        <v>45641</v>
      </c>
      <c r="C1801" s="5">
        <v>0.70416666666666672</v>
      </c>
      <c r="D1801" t="s">
        <v>16</v>
      </c>
      <c r="E1801" t="s">
        <v>161</v>
      </c>
      <c r="F1801" s="1"/>
      <c r="G1801">
        <v>1995</v>
      </c>
      <c r="H1801">
        <v>3</v>
      </c>
      <c r="I1801">
        <v>11</v>
      </c>
      <c r="J1801" t="s">
        <v>259</v>
      </c>
      <c r="K1801">
        <v>86.39</v>
      </c>
      <c r="L1801">
        <v>1</v>
      </c>
      <c r="M1801">
        <v>86.39</v>
      </c>
      <c r="N1801" t="s">
        <v>67</v>
      </c>
      <c r="O1801" t="s">
        <v>55</v>
      </c>
      <c r="P1801" t="s">
        <v>105</v>
      </c>
    </row>
    <row r="1802" spans="1:16" x14ac:dyDescent="0.25">
      <c r="A1802" t="s">
        <v>2546</v>
      </c>
      <c r="B1802" s="4">
        <v>45835</v>
      </c>
      <c r="C1802" s="2">
        <v>0.94027777777777777</v>
      </c>
      <c r="D1802" t="s">
        <v>16</v>
      </c>
      <c r="E1802" t="s">
        <v>699</v>
      </c>
      <c r="F1802" s="1"/>
      <c r="G1802">
        <v>1996</v>
      </c>
      <c r="H1802">
        <v>8</v>
      </c>
      <c r="I1802">
        <v>19</v>
      </c>
      <c r="J1802" t="s">
        <v>199</v>
      </c>
      <c r="K1802">
        <v>206.23</v>
      </c>
      <c r="L1802">
        <v>2</v>
      </c>
      <c r="M1802">
        <v>412.46</v>
      </c>
      <c r="N1802" t="s">
        <v>67</v>
      </c>
      <c r="O1802" t="s">
        <v>32</v>
      </c>
      <c r="P1802" t="s">
        <v>33</v>
      </c>
    </row>
    <row r="1803" spans="1:16" x14ac:dyDescent="0.25">
      <c r="A1803" t="s">
        <v>2547</v>
      </c>
      <c r="B1803" s="4">
        <v>45659</v>
      </c>
      <c r="C1803" s="2">
        <v>0.64375000000000004</v>
      </c>
      <c r="D1803" t="s">
        <v>16</v>
      </c>
      <c r="E1803" t="s">
        <v>189</v>
      </c>
      <c r="F1803" s="4"/>
      <c r="G1803">
        <v>1992</v>
      </c>
      <c r="H1803">
        <v>12</v>
      </c>
      <c r="I1803">
        <v>27</v>
      </c>
      <c r="J1803" t="s">
        <v>60</v>
      </c>
      <c r="K1803">
        <v>161.80000000000001</v>
      </c>
      <c r="L1803">
        <v>3</v>
      </c>
      <c r="M1803">
        <v>485.4</v>
      </c>
      <c r="N1803" t="s">
        <v>41</v>
      </c>
      <c r="O1803" t="s">
        <v>89</v>
      </c>
      <c r="P1803" t="s">
        <v>48</v>
      </c>
    </row>
    <row r="1804" spans="1:16" x14ac:dyDescent="0.25">
      <c r="A1804" t="s">
        <v>2548</v>
      </c>
      <c r="B1804" s="4">
        <v>45814</v>
      </c>
      <c r="C1804" s="5">
        <v>0.67500000000000004</v>
      </c>
      <c r="D1804" t="s">
        <v>16</v>
      </c>
      <c r="E1804" t="s">
        <v>2549</v>
      </c>
      <c r="F1804" s="4"/>
      <c r="G1804">
        <v>1988</v>
      </c>
      <c r="H1804">
        <v>11</v>
      </c>
      <c r="I1804">
        <v>28</v>
      </c>
      <c r="J1804" t="s">
        <v>93</v>
      </c>
      <c r="K1804">
        <v>235.53</v>
      </c>
      <c r="L1804">
        <v>3</v>
      </c>
      <c r="M1804">
        <v>706.59</v>
      </c>
      <c r="N1804" t="s">
        <v>19</v>
      </c>
      <c r="O1804" t="s">
        <v>37</v>
      </c>
      <c r="P1804" t="s">
        <v>56</v>
      </c>
    </row>
    <row r="1805" spans="1:16" x14ac:dyDescent="0.25">
      <c r="A1805" t="s">
        <v>2550</v>
      </c>
      <c r="B1805" s="1">
        <v>45745</v>
      </c>
      <c r="C1805" s="3">
        <v>0.54135416666666669</v>
      </c>
      <c r="D1805" t="s">
        <v>16</v>
      </c>
      <c r="E1805" t="s">
        <v>548</v>
      </c>
      <c r="G1805">
        <v>1987</v>
      </c>
      <c r="H1805">
        <v>5</v>
      </c>
      <c r="I1805">
        <v>15</v>
      </c>
      <c r="J1805" t="s">
        <v>164</v>
      </c>
      <c r="K1805">
        <v>234.45</v>
      </c>
      <c r="L1805">
        <v>1</v>
      </c>
      <c r="M1805">
        <v>234.45</v>
      </c>
      <c r="N1805" t="s">
        <v>41</v>
      </c>
      <c r="O1805" t="s">
        <v>89</v>
      </c>
      <c r="P1805" t="s">
        <v>48</v>
      </c>
    </row>
    <row r="1806" spans="1:16" x14ac:dyDescent="0.25">
      <c r="A1806" t="s">
        <v>2551</v>
      </c>
      <c r="B1806" s="4">
        <v>45754</v>
      </c>
      <c r="C1806" s="5">
        <v>0.61527777777777781</v>
      </c>
      <c r="D1806" t="s">
        <v>16</v>
      </c>
      <c r="E1806" t="s">
        <v>360</v>
      </c>
      <c r="F1806" s="4"/>
      <c r="G1806">
        <v>2005</v>
      </c>
      <c r="H1806">
        <v>11</v>
      </c>
      <c r="I1806">
        <v>23</v>
      </c>
      <c r="J1806" t="s">
        <v>126</v>
      </c>
      <c r="L1806">
        <v>1</v>
      </c>
      <c r="N1806" t="s">
        <v>19</v>
      </c>
      <c r="O1806" t="s">
        <v>20</v>
      </c>
      <c r="P1806" t="s">
        <v>27</v>
      </c>
    </row>
    <row r="1807" spans="1:16" x14ac:dyDescent="0.25">
      <c r="A1807" t="s">
        <v>2552</v>
      </c>
      <c r="C1807" s="3">
        <v>0.57144675925925925</v>
      </c>
      <c r="D1807" t="s">
        <v>16</v>
      </c>
      <c r="E1807" t="s">
        <v>208</v>
      </c>
      <c r="G1807">
        <v>2005</v>
      </c>
      <c r="H1807">
        <v>8</v>
      </c>
      <c r="I1807">
        <v>6</v>
      </c>
      <c r="J1807" t="s">
        <v>178</v>
      </c>
      <c r="K1807" t="s">
        <v>2553</v>
      </c>
      <c r="L1807">
        <v>1</v>
      </c>
      <c r="M1807">
        <v>340.71</v>
      </c>
      <c r="N1807" t="s">
        <v>54</v>
      </c>
      <c r="O1807" t="s">
        <v>37</v>
      </c>
      <c r="P1807" t="s">
        <v>105</v>
      </c>
    </row>
    <row r="1808" spans="1:16" x14ac:dyDescent="0.25">
      <c r="A1808" t="s">
        <v>2554</v>
      </c>
      <c r="B1808" s="4">
        <v>45859</v>
      </c>
      <c r="C1808" s="5">
        <v>0.81388888888888888</v>
      </c>
      <c r="D1808" t="s">
        <v>16</v>
      </c>
      <c r="E1808" t="s">
        <v>59</v>
      </c>
      <c r="J1808" t="s">
        <v>126</v>
      </c>
      <c r="K1808">
        <v>107.7</v>
      </c>
      <c r="L1808">
        <v>1</v>
      </c>
      <c r="M1808">
        <v>107.7</v>
      </c>
      <c r="N1808" t="s">
        <v>41</v>
      </c>
      <c r="O1808" t="s">
        <v>55</v>
      </c>
      <c r="P1808" t="s">
        <v>27</v>
      </c>
    </row>
    <row r="1809" spans="1:16" x14ac:dyDescent="0.25">
      <c r="A1809" t="s">
        <v>2555</v>
      </c>
      <c r="B1809" s="4">
        <v>45778</v>
      </c>
      <c r="C1809" s="5">
        <v>0.94652777777777775</v>
      </c>
      <c r="D1809" t="s">
        <v>16</v>
      </c>
      <c r="E1809" t="s">
        <v>358</v>
      </c>
      <c r="F1809" s="4"/>
      <c r="G1809">
        <v>1978</v>
      </c>
      <c r="H1809">
        <v>6</v>
      </c>
      <c r="I1809">
        <v>27</v>
      </c>
      <c r="J1809" t="s">
        <v>129</v>
      </c>
      <c r="K1809">
        <v>207.11</v>
      </c>
      <c r="L1809">
        <v>1</v>
      </c>
      <c r="M1809">
        <v>207.11</v>
      </c>
      <c r="N1809" t="s">
        <v>54</v>
      </c>
      <c r="O1809" t="s">
        <v>61</v>
      </c>
    </row>
    <row r="1810" spans="1:16" x14ac:dyDescent="0.25">
      <c r="A1810" t="s">
        <v>2556</v>
      </c>
      <c r="B1810" s="4">
        <v>45945</v>
      </c>
      <c r="C1810" s="5">
        <v>0.74236111111111114</v>
      </c>
      <c r="D1810" t="s">
        <v>16</v>
      </c>
      <c r="E1810" t="s">
        <v>208</v>
      </c>
      <c r="G1810">
        <v>1994</v>
      </c>
      <c r="H1810">
        <v>9</v>
      </c>
      <c r="I1810">
        <v>11</v>
      </c>
      <c r="J1810" t="s">
        <v>60</v>
      </c>
      <c r="K1810" t="s">
        <v>2557</v>
      </c>
      <c r="L1810">
        <v>1</v>
      </c>
      <c r="M1810">
        <v>358.2</v>
      </c>
      <c r="N1810" t="s">
        <v>31</v>
      </c>
      <c r="O1810" t="s">
        <v>20</v>
      </c>
      <c r="P1810" t="s">
        <v>105</v>
      </c>
    </row>
    <row r="1811" spans="1:16" x14ac:dyDescent="0.25">
      <c r="A1811" t="s">
        <v>2558</v>
      </c>
      <c r="B1811" t="s">
        <v>2380</v>
      </c>
      <c r="C1811" s="3">
        <v>0.88791666666666669</v>
      </c>
      <c r="D1811" t="s">
        <v>16</v>
      </c>
      <c r="E1811" t="s">
        <v>246</v>
      </c>
      <c r="F1811" s="1"/>
      <c r="G1811">
        <v>2007</v>
      </c>
      <c r="H1811">
        <v>1</v>
      </c>
      <c r="I1811">
        <v>8</v>
      </c>
      <c r="J1811" t="s">
        <v>93</v>
      </c>
      <c r="K1811">
        <v>212.24</v>
      </c>
      <c r="L1811">
        <v>2</v>
      </c>
      <c r="M1811">
        <v>424.48</v>
      </c>
      <c r="N1811" t="s">
        <v>67</v>
      </c>
      <c r="O1811" t="s">
        <v>89</v>
      </c>
      <c r="P1811" t="s">
        <v>33</v>
      </c>
    </row>
    <row r="1812" spans="1:16" x14ac:dyDescent="0.25">
      <c r="A1812" t="s">
        <v>2559</v>
      </c>
      <c r="B1812" t="s">
        <v>2560</v>
      </c>
      <c r="C1812" s="3">
        <v>0.79076388888888893</v>
      </c>
      <c r="D1812" t="s">
        <v>16</v>
      </c>
      <c r="E1812" t="s">
        <v>1427</v>
      </c>
      <c r="G1812">
        <v>1981</v>
      </c>
      <c r="H1812">
        <v>12</v>
      </c>
      <c r="I1812">
        <v>27</v>
      </c>
      <c r="J1812" t="s">
        <v>213</v>
      </c>
      <c r="K1812">
        <v>75.27</v>
      </c>
      <c r="L1812">
        <v>3</v>
      </c>
      <c r="M1812">
        <v>225.81</v>
      </c>
      <c r="N1812" t="s">
        <v>54</v>
      </c>
      <c r="O1812" t="s">
        <v>47</v>
      </c>
      <c r="P1812" t="s">
        <v>56</v>
      </c>
    </row>
    <row r="1813" spans="1:16" x14ac:dyDescent="0.25">
      <c r="A1813" t="s">
        <v>2561</v>
      </c>
      <c r="B1813" s="4">
        <v>45713</v>
      </c>
      <c r="C1813" s="5">
        <v>0.65208333333333335</v>
      </c>
      <c r="D1813" t="s">
        <v>16</v>
      </c>
      <c r="E1813" t="s">
        <v>1427</v>
      </c>
      <c r="F1813" s="1"/>
      <c r="G1813">
        <v>1991</v>
      </c>
      <c r="H1813">
        <v>11</v>
      </c>
      <c r="I1813">
        <v>3</v>
      </c>
      <c r="J1813" t="s">
        <v>73</v>
      </c>
      <c r="K1813">
        <v>40.950000000000003</v>
      </c>
      <c r="L1813">
        <v>1</v>
      </c>
      <c r="M1813">
        <v>28.95</v>
      </c>
      <c r="N1813" t="s">
        <v>19</v>
      </c>
      <c r="O1813" t="s">
        <v>26</v>
      </c>
    </row>
    <row r="1814" spans="1:16" x14ac:dyDescent="0.25">
      <c r="A1814" t="s">
        <v>2562</v>
      </c>
      <c r="B1814" s="1">
        <v>45873</v>
      </c>
      <c r="C1814" s="2">
        <v>0.80277777777777781</v>
      </c>
      <c r="D1814" t="s">
        <v>16</v>
      </c>
      <c r="E1814" t="s">
        <v>712</v>
      </c>
      <c r="F1814" s="1"/>
      <c r="G1814">
        <v>1990</v>
      </c>
      <c r="H1814">
        <v>11</v>
      </c>
      <c r="I1814">
        <v>19</v>
      </c>
      <c r="J1814" t="s">
        <v>141</v>
      </c>
      <c r="K1814">
        <v>140.91999999999999</v>
      </c>
      <c r="L1814">
        <v>1</v>
      </c>
      <c r="M1814">
        <v>140.91999999999999</v>
      </c>
      <c r="N1814" t="s">
        <v>54</v>
      </c>
      <c r="O1814" t="s">
        <v>26</v>
      </c>
      <c r="P1814" t="s">
        <v>21</v>
      </c>
    </row>
    <row r="1815" spans="1:16" x14ac:dyDescent="0.25">
      <c r="A1815" t="s">
        <v>2563</v>
      </c>
      <c r="B1815" s="4">
        <v>45619</v>
      </c>
      <c r="C1815" s="3">
        <v>0.75707175925925929</v>
      </c>
      <c r="D1815" t="s">
        <v>16</v>
      </c>
      <c r="E1815" t="s">
        <v>330</v>
      </c>
      <c r="F1815" s="4"/>
      <c r="G1815">
        <v>1986</v>
      </c>
      <c r="H1815">
        <v>10</v>
      </c>
      <c r="I1815">
        <v>27</v>
      </c>
      <c r="J1815" t="s">
        <v>202</v>
      </c>
      <c r="K1815">
        <v>137.22999999999999</v>
      </c>
      <c r="L1815">
        <v>1</v>
      </c>
      <c r="M1815">
        <v>137.22999999999999</v>
      </c>
      <c r="N1815" t="s">
        <v>54</v>
      </c>
      <c r="O1815" t="s">
        <v>47</v>
      </c>
      <c r="P1815" t="s">
        <v>48</v>
      </c>
    </row>
    <row r="1816" spans="1:16" x14ac:dyDescent="0.25">
      <c r="A1816" t="s">
        <v>2564</v>
      </c>
      <c r="B1816" s="1">
        <v>45804</v>
      </c>
      <c r="C1816" s="5">
        <v>0.77638888888888891</v>
      </c>
      <c r="D1816" t="s">
        <v>16</v>
      </c>
      <c r="E1816" t="s">
        <v>118</v>
      </c>
      <c r="F1816" s="4"/>
      <c r="G1816">
        <v>2008</v>
      </c>
      <c r="H1816">
        <v>2</v>
      </c>
      <c r="I1816">
        <v>2</v>
      </c>
      <c r="J1816" t="s">
        <v>77</v>
      </c>
      <c r="K1816">
        <v>125.08</v>
      </c>
      <c r="L1816">
        <v>1</v>
      </c>
      <c r="M1816">
        <v>125.08</v>
      </c>
      <c r="N1816" t="s">
        <v>54</v>
      </c>
      <c r="O1816" t="s">
        <v>47</v>
      </c>
      <c r="P1816" t="s">
        <v>105</v>
      </c>
    </row>
    <row r="1817" spans="1:16" x14ac:dyDescent="0.25">
      <c r="A1817" t="s">
        <v>2565</v>
      </c>
      <c r="B1817" s="1">
        <v>45845</v>
      </c>
      <c r="C1817" s="2">
        <v>0.82777777777777772</v>
      </c>
      <c r="D1817" t="s">
        <v>16</v>
      </c>
      <c r="E1817" t="s">
        <v>201</v>
      </c>
      <c r="F1817" s="4"/>
      <c r="G1817">
        <v>1973</v>
      </c>
      <c r="H1817">
        <v>7</v>
      </c>
      <c r="I1817">
        <v>15</v>
      </c>
      <c r="J1817" t="s">
        <v>199</v>
      </c>
      <c r="K1817">
        <v>234.41</v>
      </c>
      <c r="L1817">
        <v>2</v>
      </c>
      <c r="M1817">
        <v>468.82</v>
      </c>
      <c r="N1817" t="s">
        <v>64</v>
      </c>
      <c r="O1817" t="s">
        <v>47</v>
      </c>
      <c r="P1817" t="s">
        <v>33</v>
      </c>
    </row>
    <row r="1818" spans="1:16" x14ac:dyDescent="0.25">
      <c r="A1818" t="s">
        <v>2566</v>
      </c>
      <c r="B1818" t="s">
        <v>423</v>
      </c>
      <c r="C1818" s="3">
        <v>0.69913194444444449</v>
      </c>
      <c r="D1818" t="s">
        <v>16</v>
      </c>
      <c r="E1818" t="s">
        <v>118</v>
      </c>
      <c r="F1818" s="4"/>
      <c r="G1818">
        <v>1999</v>
      </c>
      <c r="H1818">
        <v>9</v>
      </c>
      <c r="I1818">
        <v>4</v>
      </c>
      <c r="J1818" t="s">
        <v>199</v>
      </c>
      <c r="K1818">
        <v>204.21</v>
      </c>
      <c r="L1818">
        <v>1</v>
      </c>
      <c r="M1818">
        <v>204.21</v>
      </c>
      <c r="O1818" t="s">
        <v>55</v>
      </c>
      <c r="P1818" t="s">
        <v>33</v>
      </c>
    </row>
    <row r="1819" spans="1:16" x14ac:dyDescent="0.25">
      <c r="A1819" t="s">
        <v>2567</v>
      </c>
      <c r="B1819" s="4">
        <v>45628</v>
      </c>
      <c r="C1819" s="5">
        <v>0.74097222222222225</v>
      </c>
      <c r="D1819" t="s">
        <v>16</v>
      </c>
      <c r="E1819" t="s">
        <v>39</v>
      </c>
      <c r="F1819" s="1"/>
      <c r="G1819">
        <v>2004</v>
      </c>
      <c r="H1819">
        <v>2</v>
      </c>
      <c r="I1819">
        <v>3</v>
      </c>
      <c r="J1819" t="s">
        <v>243</v>
      </c>
      <c r="K1819">
        <v>133.12</v>
      </c>
      <c r="L1819">
        <v>1</v>
      </c>
      <c r="M1819">
        <v>133.12</v>
      </c>
      <c r="N1819" t="s">
        <v>54</v>
      </c>
      <c r="O1819" t="s">
        <v>55</v>
      </c>
      <c r="P1819" t="s">
        <v>48</v>
      </c>
    </row>
    <row r="1820" spans="1:16" x14ac:dyDescent="0.25">
      <c r="A1820" t="s">
        <v>2568</v>
      </c>
      <c r="B1820" s="1">
        <v>45954</v>
      </c>
      <c r="C1820" s="3">
        <v>0.81175925925925929</v>
      </c>
      <c r="D1820" t="s">
        <v>16</v>
      </c>
      <c r="E1820" t="s">
        <v>451</v>
      </c>
      <c r="G1820">
        <v>1989</v>
      </c>
      <c r="H1820">
        <v>6</v>
      </c>
      <c r="I1820">
        <v>18</v>
      </c>
      <c r="J1820" t="s">
        <v>164</v>
      </c>
      <c r="K1820" t="s">
        <v>2569</v>
      </c>
      <c r="L1820">
        <v>2</v>
      </c>
      <c r="M1820">
        <v>647.72</v>
      </c>
      <c r="N1820" t="s">
        <v>64</v>
      </c>
      <c r="O1820" t="s">
        <v>89</v>
      </c>
      <c r="P1820" t="s">
        <v>48</v>
      </c>
    </row>
    <row r="1821" spans="1:16" x14ac:dyDescent="0.25">
      <c r="A1821" t="s">
        <v>2570</v>
      </c>
      <c r="B1821" t="s">
        <v>2571</v>
      </c>
      <c r="C1821" s="3">
        <v>0.52901620370370372</v>
      </c>
      <c r="D1821" t="s">
        <v>16</v>
      </c>
      <c r="E1821" t="s">
        <v>458</v>
      </c>
      <c r="F1821" s="4"/>
      <c r="G1821">
        <v>2009</v>
      </c>
      <c r="H1821">
        <v>8</v>
      </c>
      <c r="I1821">
        <v>27</v>
      </c>
      <c r="J1821" t="s">
        <v>243</v>
      </c>
      <c r="K1821">
        <v>162.04</v>
      </c>
      <c r="L1821">
        <v>1</v>
      </c>
      <c r="M1821">
        <v>162.04</v>
      </c>
      <c r="N1821" t="s">
        <v>64</v>
      </c>
      <c r="O1821" t="s">
        <v>61</v>
      </c>
    </row>
    <row r="1822" spans="1:16" x14ac:dyDescent="0.25">
      <c r="A1822" t="s">
        <v>2572</v>
      </c>
      <c r="B1822" s="1">
        <v>45621</v>
      </c>
      <c r="C1822" s="5">
        <v>0.94097222222222221</v>
      </c>
      <c r="D1822" t="s">
        <v>16</v>
      </c>
      <c r="E1822" t="s">
        <v>471</v>
      </c>
      <c r="F1822" s="1"/>
      <c r="G1822">
        <v>2000</v>
      </c>
      <c r="H1822">
        <v>8</v>
      </c>
      <c r="I1822">
        <v>18</v>
      </c>
      <c r="J1822" t="s">
        <v>259</v>
      </c>
      <c r="K1822">
        <v>92.44</v>
      </c>
      <c r="L1822">
        <v>1</v>
      </c>
      <c r="M1822">
        <v>92.44</v>
      </c>
      <c r="N1822" t="s">
        <v>67</v>
      </c>
      <c r="O1822" t="s">
        <v>32</v>
      </c>
      <c r="P1822" t="s">
        <v>27</v>
      </c>
    </row>
    <row r="1823" spans="1:16" x14ac:dyDescent="0.25">
      <c r="A1823" t="s">
        <v>2573</v>
      </c>
      <c r="C1823" s="5">
        <v>0.73611111111111116</v>
      </c>
      <c r="D1823" t="s">
        <v>16</v>
      </c>
      <c r="E1823" t="s">
        <v>520</v>
      </c>
      <c r="F1823" s="4"/>
      <c r="G1823">
        <v>1983</v>
      </c>
      <c r="H1823">
        <v>3</v>
      </c>
      <c r="I1823">
        <v>26</v>
      </c>
      <c r="J1823" t="s">
        <v>243</v>
      </c>
      <c r="K1823">
        <v>163.22999999999999</v>
      </c>
      <c r="L1823">
        <v>1</v>
      </c>
      <c r="M1823">
        <v>163.22999999999999</v>
      </c>
      <c r="N1823" t="s">
        <v>54</v>
      </c>
      <c r="O1823" t="s">
        <v>37</v>
      </c>
      <c r="P1823" t="s">
        <v>56</v>
      </c>
    </row>
    <row r="1824" spans="1:16" x14ac:dyDescent="0.25">
      <c r="A1824" t="s">
        <v>2574</v>
      </c>
      <c r="B1824" s="1">
        <v>45967</v>
      </c>
      <c r="C1824" s="3">
        <v>0.99706018518518513</v>
      </c>
      <c r="D1824" t="s">
        <v>16</v>
      </c>
      <c r="E1824" t="s">
        <v>1474</v>
      </c>
      <c r="G1824">
        <v>2004</v>
      </c>
      <c r="H1824">
        <v>12</v>
      </c>
      <c r="I1824">
        <v>26</v>
      </c>
      <c r="J1824" t="s">
        <v>126</v>
      </c>
      <c r="K1824">
        <v>101</v>
      </c>
      <c r="L1824">
        <v>1</v>
      </c>
      <c r="M1824">
        <v>101</v>
      </c>
      <c r="N1824" t="s">
        <v>67</v>
      </c>
      <c r="O1824" t="s">
        <v>47</v>
      </c>
      <c r="P1824" t="s">
        <v>74</v>
      </c>
    </row>
    <row r="1825" spans="1:16" x14ac:dyDescent="0.25">
      <c r="A1825" t="s">
        <v>2575</v>
      </c>
      <c r="B1825" s="4">
        <v>45764</v>
      </c>
      <c r="C1825" s="2">
        <v>0.63124999999999998</v>
      </c>
      <c r="D1825" t="s">
        <v>16</v>
      </c>
      <c r="E1825" t="s">
        <v>227</v>
      </c>
      <c r="F1825" s="4"/>
      <c r="G1825">
        <v>1999</v>
      </c>
      <c r="H1825">
        <v>2</v>
      </c>
      <c r="I1825">
        <v>13</v>
      </c>
      <c r="J1825" t="s">
        <v>178</v>
      </c>
      <c r="K1825">
        <v>237.01</v>
      </c>
      <c r="L1825">
        <v>0</v>
      </c>
      <c r="M1825">
        <v>0</v>
      </c>
      <c r="N1825" t="s">
        <v>19</v>
      </c>
      <c r="O1825" t="s">
        <v>32</v>
      </c>
      <c r="P1825" t="s">
        <v>56</v>
      </c>
    </row>
    <row r="1826" spans="1:16" x14ac:dyDescent="0.25">
      <c r="A1826" t="s">
        <v>2576</v>
      </c>
      <c r="B1826" s="4">
        <v>45867</v>
      </c>
      <c r="C1826" s="3">
        <v>0.53597222222222218</v>
      </c>
      <c r="D1826" t="s">
        <v>16</v>
      </c>
      <c r="E1826" t="s">
        <v>229</v>
      </c>
      <c r="G1826">
        <v>1982</v>
      </c>
      <c r="H1826">
        <v>5</v>
      </c>
      <c r="I1826">
        <v>1</v>
      </c>
      <c r="J1826" t="s">
        <v>110</v>
      </c>
      <c r="K1826">
        <v>139.69</v>
      </c>
      <c r="L1826">
        <v>2</v>
      </c>
      <c r="M1826">
        <v>279.38</v>
      </c>
      <c r="O1826" t="s">
        <v>26</v>
      </c>
      <c r="P1826" t="s">
        <v>21</v>
      </c>
    </row>
    <row r="1827" spans="1:16" x14ac:dyDescent="0.25">
      <c r="A1827" t="s">
        <v>2577</v>
      </c>
      <c r="B1827" s="4">
        <v>45865</v>
      </c>
      <c r="C1827" s="3">
        <v>0.42660879629629628</v>
      </c>
      <c r="D1827" t="s">
        <v>16</v>
      </c>
      <c r="E1827" t="s">
        <v>101</v>
      </c>
      <c r="F1827" s="4"/>
      <c r="G1827">
        <v>1998</v>
      </c>
      <c r="H1827">
        <v>6</v>
      </c>
      <c r="I1827">
        <v>13</v>
      </c>
      <c r="J1827" t="s">
        <v>199</v>
      </c>
      <c r="K1827">
        <v>166.26</v>
      </c>
      <c r="L1827">
        <v>2</v>
      </c>
      <c r="M1827">
        <v>332.52</v>
      </c>
      <c r="N1827" t="s">
        <v>67</v>
      </c>
      <c r="O1827" t="s">
        <v>32</v>
      </c>
      <c r="P1827" t="s">
        <v>21</v>
      </c>
    </row>
    <row r="1828" spans="1:16" x14ac:dyDescent="0.25">
      <c r="A1828" t="s">
        <v>2578</v>
      </c>
      <c r="B1828" t="s">
        <v>1446</v>
      </c>
      <c r="C1828" s="5">
        <v>0.86597222222222225</v>
      </c>
      <c r="D1828" t="s">
        <v>16</v>
      </c>
      <c r="E1828" t="s">
        <v>246</v>
      </c>
      <c r="J1828" t="s">
        <v>213</v>
      </c>
      <c r="K1828">
        <v>163.87</v>
      </c>
      <c r="L1828">
        <v>1</v>
      </c>
      <c r="M1828">
        <v>163.87</v>
      </c>
      <c r="N1828" t="s">
        <v>67</v>
      </c>
      <c r="O1828" t="s">
        <v>26</v>
      </c>
      <c r="P1828" t="s">
        <v>105</v>
      </c>
    </row>
    <row r="1829" spans="1:16" x14ac:dyDescent="0.25">
      <c r="A1829" t="s">
        <v>2579</v>
      </c>
      <c r="B1829" s="4">
        <v>45656</v>
      </c>
      <c r="C1829" s="3">
        <v>0.44709490740740743</v>
      </c>
      <c r="D1829" t="s">
        <v>16</v>
      </c>
      <c r="E1829" t="s">
        <v>1268</v>
      </c>
      <c r="G1829">
        <v>1972</v>
      </c>
      <c r="H1829">
        <v>5</v>
      </c>
      <c r="I1829">
        <v>19</v>
      </c>
      <c r="J1829" t="s">
        <v>164</v>
      </c>
      <c r="K1829">
        <v>236.71</v>
      </c>
      <c r="L1829">
        <v>3</v>
      </c>
      <c r="M1829">
        <v>710.13</v>
      </c>
      <c r="N1829" t="s">
        <v>41</v>
      </c>
      <c r="O1829" t="s">
        <v>55</v>
      </c>
      <c r="P1829" t="s">
        <v>27</v>
      </c>
    </row>
    <row r="1830" spans="1:16" x14ac:dyDescent="0.25">
      <c r="A1830" t="s">
        <v>2580</v>
      </c>
      <c r="B1830" s="4">
        <v>45791</v>
      </c>
      <c r="C1830" s="2">
        <v>0.59513888888888888</v>
      </c>
      <c r="D1830" t="s">
        <v>16</v>
      </c>
      <c r="E1830" t="s">
        <v>140</v>
      </c>
      <c r="F1830" s="4"/>
      <c r="G1830">
        <v>2008</v>
      </c>
      <c r="H1830">
        <v>12</v>
      </c>
      <c r="I1830">
        <v>23</v>
      </c>
      <c r="J1830" t="s">
        <v>60</v>
      </c>
      <c r="K1830">
        <v>345.32</v>
      </c>
      <c r="L1830">
        <v>2</v>
      </c>
      <c r="M1830">
        <v>690.64</v>
      </c>
      <c r="O1830" t="s">
        <v>89</v>
      </c>
      <c r="P1830" t="s">
        <v>21</v>
      </c>
    </row>
    <row r="1831" spans="1:16" x14ac:dyDescent="0.25">
      <c r="A1831" t="s">
        <v>2581</v>
      </c>
      <c r="B1831" s="1">
        <v>45656</v>
      </c>
      <c r="C1831" s="2">
        <v>0.86875000000000002</v>
      </c>
      <c r="D1831" t="s">
        <v>16</v>
      </c>
      <c r="E1831" t="s">
        <v>494</v>
      </c>
      <c r="F1831" s="1"/>
      <c r="G1831">
        <v>1983</v>
      </c>
      <c r="H1831">
        <v>11</v>
      </c>
      <c r="I1831">
        <v>23</v>
      </c>
      <c r="J1831" t="s">
        <v>213</v>
      </c>
      <c r="K1831">
        <v>111.04</v>
      </c>
      <c r="L1831">
        <v>2</v>
      </c>
      <c r="M1831">
        <v>222.08</v>
      </c>
      <c r="N1831" t="s">
        <v>25</v>
      </c>
      <c r="O1831" t="s">
        <v>37</v>
      </c>
      <c r="P1831" t="s">
        <v>21</v>
      </c>
    </row>
    <row r="1832" spans="1:16" x14ac:dyDescent="0.25">
      <c r="A1832" t="s">
        <v>2582</v>
      </c>
      <c r="B1832" s="4">
        <v>45939</v>
      </c>
      <c r="C1832" s="5">
        <v>0.82430555555555551</v>
      </c>
      <c r="D1832" t="s">
        <v>16</v>
      </c>
      <c r="E1832" t="s">
        <v>389</v>
      </c>
      <c r="F1832" s="1"/>
      <c r="G1832">
        <v>1974</v>
      </c>
      <c r="H1832">
        <v>4</v>
      </c>
      <c r="I1832">
        <v>7</v>
      </c>
      <c r="J1832" t="s">
        <v>53</v>
      </c>
      <c r="K1832">
        <v>116.36</v>
      </c>
      <c r="L1832">
        <v>2</v>
      </c>
      <c r="M1832">
        <v>232.72</v>
      </c>
      <c r="N1832" t="s">
        <v>41</v>
      </c>
      <c r="O1832" t="s">
        <v>32</v>
      </c>
      <c r="P1832" t="s">
        <v>21</v>
      </c>
    </row>
    <row r="1833" spans="1:16" x14ac:dyDescent="0.25">
      <c r="A1833" t="s">
        <v>2583</v>
      </c>
      <c r="B1833" s="4">
        <v>45723</v>
      </c>
      <c r="C1833" s="3">
        <v>0.97696759259259258</v>
      </c>
      <c r="D1833" t="s">
        <v>16</v>
      </c>
      <c r="E1833" t="s">
        <v>1184</v>
      </c>
      <c r="F1833" s="1"/>
      <c r="G1833">
        <v>1999</v>
      </c>
      <c r="H1833">
        <v>9</v>
      </c>
      <c r="I1833">
        <v>1</v>
      </c>
      <c r="J1833" t="s">
        <v>178</v>
      </c>
      <c r="K1833">
        <v>231.36</v>
      </c>
      <c r="L1833">
        <v>3</v>
      </c>
      <c r="M1833">
        <v>694.08</v>
      </c>
      <c r="N1833" t="s">
        <v>41</v>
      </c>
      <c r="O1833" t="s">
        <v>26</v>
      </c>
    </row>
    <row r="1834" spans="1:16" x14ac:dyDescent="0.25">
      <c r="A1834" t="s">
        <v>2584</v>
      </c>
      <c r="B1834" s="1">
        <v>45724</v>
      </c>
      <c r="C1834" s="2">
        <v>0.43611111111111112</v>
      </c>
      <c r="D1834" t="s">
        <v>16</v>
      </c>
      <c r="E1834" t="s">
        <v>548</v>
      </c>
      <c r="G1834">
        <v>1991</v>
      </c>
      <c r="H1834">
        <v>1</v>
      </c>
      <c r="I1834">
        <v>12</v>
      </c>
      <c r="J1834" t="s">
        <v>73</v>
      </c>
      <c r="K1834">
        <v>38.659999999999997</v>
      </c>
      <c r="L1834">
        <v>2</v>
      </c>
      <c r="M1834">
        <v>77.319999999999993</v>
      </c>
      <c r="N1834" t="s">
        <v>41</v>
      </c>
      <c r="O1834" t="s">
        <v>89</v>
      </c>
      <c r="P1834" t="s">
        <v>33</v>
      </c>
    </row>
    <row r="1835" spans="1:16" x14ac:dyDescent="0.25">
      <c r="A1835" t="s">
        <v>2585</v>
      </c>
      <c r="B1835" s="1">
        <v>45875</v>
      </c>
      <c r="C1835" s="3">
        <v>0.62179398148148146</v>
      </c>
      <c r="D1835" t="s">
        <v>16</v>
      </c>
      <c r="E1835" t="s">
        <v>147</v>
      </c>
      <c r="F1835" s="4"/>
      <c r="G1835">
        <v>2007</v>
      </c>
      <c r="H1835">
        <v>10</v>
      </c>
      <c r="I1835">
        <v>15</v>
      </c>
      <c r="J1835" t="s">
        <v>18</v>
      </c>
      <c r="K1835">
        <v>93.76</v>
      </c>
      <c r="L1835">
        <v>3</v>
      </c>
      <c r="M1835">
        <v>281.27999999999997</v>
      </c>
      <c r="N1835" t="s">
        <v>25</v>
      </c>
      <c r="O1835" t="s">
        <v>26</v>
      </c>
      <c r="P1835" t="s">
        <v>33</v>
      </c>
    </row>
    <row r="1836" spans="1:16" x14ac:dyDescent="0.25">
      <c r="A1836" t="s">
        <v>2586</v>
      </c>
      <c r="B1836" s="4">
        <v>45657</v>
      </c>
      <c r="C1836" s="5">
        <v>0.66388888888888886</v>
      </c>
      <c r="D1836" t="s">
        <v>16</v>
      </c>
      <c r="E1836" t="s">
        <v>512</v>
      </c>
      <c r="F1836" s="4"/>
      <c r="G1836">
        <v>1984</v>
      </c>
      <c r="H1836">
        <v>1</v>
      </c>
      <c r="I1836">
        <v>19</v>
      </c>
      <c r="J1836" t="s">
        <v>126</v>
      </c>
      <c r="K1836">
        <v>126.53</v>
      </c>
      <c r="L1836">
        <v>2</v>
      </c>
      <c r="M1836">
        <v>253.06</v>
      </c>
      <c r="N1836" t="s">
        <v>41</v>
      </c>
      <c r="O1836" t="s">
        <v>37</v>
      </c>
      <c r="P1836" t="s">
        <v>74</v>
      </c>
    </row>
    <row r="1837" spans="1:16" x14ac:dyDescent="0.25">
      <c r="A1837" t="s">
        <v>2587</v>
      </c>
      <c r="B1837" s="1">
        <v>45979</v>
      </c>
      <c r="C1837" s="5">
        <v>0.4465277777777778</v>
      </c>
      <c r="D1837" t="s">
        <v>16</v>
      </c>
      <c r="E1837" t="s">
        <v>346</v>
      </c>
      <c r="G1837">
        <v>2000</v>
      </c>
      <c r="H1837">
        <v>8</v>
      </c>
      <c r="I1837">
        <v>8</v>
      </c>
      <c r="J1837" t="s">
        <v>36</v>
      </c>
      <c r="K1837">
        <v>47.95</v>
      </c>
      <c r="L1837">
        <v>1</v>
      </c>
      <c r="M1837">
        <v>47.95</v>
      </c>
      <c r="N1837" t="s">
        <v>67</v>
      </c>
      <c r="O1837" t="s">
        <v>20</v>
      </c>
      <c r="P1837" t="s">
        <v>48</v>
      </c>
    </row>
    <row r="1838" spans="1:16" x14ac:dyDescent="0.25">
      <c r="A1838" t="s">
        <v>2588</v>
      </c>
      <c r="B1838" s="4">
        <v>45816</v>
      </c>
      <c r="C1838" s="3">
        <v>0.71072916666666663</v>
      </c>
      <c r="D1838" t="s">
        <v>16</v>
      </c>
      <c r="E1838" t="s">
        <v>181</v>
      </c>
      <c r="G1838">
        <v>1971</v>
      </c>
      <c r="H1838">
        <v>4</v>
      </c>
      <c r="I1838">
        <v>21</v>
      </c>
      <c r="J1838" t="s">
        <v>213</v>
      </c>
      <c r="L1838">
        <v>1</v>
      </c>
      <c r="N1838" t="s">
        <v>41</v>
      </c>
      <c r="O1838" t="s">
        <v>26</v>
      </c>
      <c r="P1838" t="s">
        <v>74</v>
      </c>
    </row>
    <row r="1839" spans="1:16" x14ac:dyDescent="0.25">
      <c r="A1839" t="s">
        <v>2589</v>
      </c>
      <c r="B1839" s="1">
        <v>45949</v>
      </c>
      <c r="C1839" s="5">
        <v>0.97361111111111109</v>
      </c>
      <c r="D1839" t="s">
        <v>16</v>
      </c>
      <c r="E1839" t="s">
        <v>328</v>
      </c>
      <c r="F1839" s="4"/>
      <c r="G1839">
        <v>1993</v>
      </c>
      <c r="H1839">
        <v>1</v>
      </c>
      <c r="I1839">
        <v>12</v>
      </c>
      <c r="J1839" t="s">
        <v>93</v>
      </c>
      <c r="K1839">
        <v>236.75</v>
      </c>
      <c r="L1839">
        <v>3</v>
      </c>
      <c r="M1839">
        <v>710.25</v>
      </c>
      <c r="N1839" t="s">
        <v>31</v>
      </c>
      <c r="O1839" t="s">
        <v>20</v>
      </c>
    </row>
    <row r="1840" spans="1:16" x14ac:dyDescent="0.25">
      <c r="A1840" t="s">
        <v>2590</v>
      </c>
      <c r="B1840" s="4">
        <v>45913</v>
      </c>
      <c r="C1840" s="2">
        <v>0.43402777777777779</v>
      </c>
      <c r="D1840" t="s">
        <v>16</v>
      </c>
      <c r="E1840" t="s">
        <v>475</v>
      </c>
      <c r="F1840" s="4"/>
      <c r="G1840">
        <v>1989</v>
      </c>
      <c r="H1840">
        <v>12</v>
      </c>
      <c r="I1840">
        <v>7</v>
      </c>
      <c r="J1840" t="s">
        <v>110</v>
      </c>
      <c r="K1840">
        <v>133.41</v>
      </c>
      <c r="L1840">
        <v>1</v>
      </c>
      <c r="M1840">
        <v>133.41</v>
      </c>
      <c r="N1840" t="s">
        <v>41</v>
      </c>
      <c r="O1840" t="s">
        <v>55</v>
      </c>
      <c r="P1840" t="s">
        <v>105</v>
      </c>
    </row>
    <row r="1841" spans="1:16" x14ac:dyDescent="0.25">
      <c r="A1841" t="s">
        <v>2591</v>
      </c>
      <c r="B1841" s="1">
        <v>45954</v>
      </c>
      <c r="C1841" s="2">
        <v>0.42430555555555555</v>
      </c>
      <c r="D1841" t="s">
        <v>16</v>
      </c>
      <c r="E1841" t="s">
        <v>136</v>
      </c>
      <c r="F1841" s="4"/>
      <c r="G1841">
        <v>2009</v>
      </c>
      <c r="H1841">
        <v>4</v>
      </c>
      <c r="I1841">
        <v>20</v>
      </c>
      <c r="J1841" t="s">
        <v>110</v>
      </c>
      <c r="K1841">
        <v>115.39</v>
      </c>
      <c r="L1841">
        <v>2</v>
      </c>
      <c r="M1841">
        <v>230.78</v>
      </c>
      <c r="N1841" t="s">
        <v>25</v>
      </c>
      <c r="O1841" t="s">
        <v>55</v>
      </c>
      <c r="P1841" t="s">
        <v>48</v>
      </c>
    </row>
    <row r="1842" spans="1:16" x14ac:dyDescent="0.25">
      <c r="A1842" t="s">
        <v>2592</v>
      </c>
      <c r="B1842" t="s">
        <v>608</v>
      </c>
      <c r="C1842" s="2">
        <v>0.46944444444444444</v>
      </c>
      <c r="D1842" t="s">
        <v>16</v>
      </c>
      <c r="E1842" t="s">
        <v>237</v>
      </c>
      <c r="F1842" s="4"/>
      <c r="G1842">
        <v>1992</v>
      </c>
      <c r="H1842">
        <v>2</v>
      </c>
      <c r="I1842">
        <v>11</v>
      </c>
      <c r="J1842" t="s">
        <v>202</v>
      </c>
      <c r="K1842">
        <v>270.73</v>
      </c>
      <c r="L1842">
        <v>2</v>
      </c>
      <c r="M1842">
        <v>541.46</v>
      </c>
      <c r="N1842" t="s">
        <v>67</v>
      </c>
      <c r="O1842" t="s">
        <v>55</v>
      </c>
      <c r="P1842" t="s">
        <v>48</v>
      </c>
    </row>
    <row r="1843" spans="1:16" x14ac:dyDescent="0.25">
      <c r="A1843" t="s">
        <v>2593</v>
      </c>
      <c r="B1843" s="4">
        <v>45858</v>
      </c>
      <c r="C1843" s="3">
        <v>0.58815972222222224</v>
      </c>
      <c r="D1843" t="s">
        <v>16</v>
      </c>
      <c r="E1843" t="s">
        <v>79</v>
      </c>
      <c r="F1843" s="1"/>
      <c r="G1843">
        <v>2002</v>
      </c>
      <c r="H1843">
        <v>5</v>
      </c>
      <c r="I1843">
        <v>5</v>
      </c>
      <c r="J1843" t="s">
        <v>110</v>
      </c>
      <c r="K1843">
        <v>95.12</v>
      </c>
      <c r="L1843">
        <v>3</v>
      </c>
      <c r="M1843">
        <v>285.36</v>
      </c>
      <c r="O1843" t="s">
        <v>26</v>
      </c>
      <c r="P1843" t="s">
        <v>74</v>
      </c>
    </row>
    <row r="1844" spans="1:16" x14ac:dyDescent="0.25">
      <c r="A1844" t="s">
        <v>2594</v>
      </c>
      <c r="B1844" s="4">
        <v>45768</v>
      </c>
      <c r="C1844" s="5">
        <v>0.86458333333333337</v>
      </c>
      <c r="D1844" t="s">
        <v>16</v>
      </c>
      <c r="E1844" t="s">
        <v>191</v>
      </c>
      <c r="F1844" s="4"/>
      <c r="G1844">
        <v>1978</v>
      </c>
      <c r="H1844">
        <v>5</v>
      </c>
      <c r="I1844">
        <v>3</v>
      </c>
      <c r="J1844" t="s">
        <v>129</v>
      </c>
      <c r="K1844">
        <v>176.54</v>
      </c>
      <c r="L1844">
        <v>0</v>
      </c>
      <c r="M1844" t="s">
        <v>2595</v>
      </c>
      <c r="N1844" t="s">
        <v>67</v>
      </c>
      <c r="O1844" t="s">
        <v>26</v>
      </c>
      <c r="P1844" t="s">
        <v>48</v>
      </c>
    </row>
    <row r="1845" spans="1:16" x14ac:dyDescent="0.25">
      <c r="A1845" t="s">
        <v>2596</v>
      </c>
      <c r="B1845" s="4">
        <v>45909</v>
      </c>
      <c r="C1845" s="5">
        <v>0.58611111111111114</v>
      </c>
      <c r="D1845" t="s">
        <v>16</v>
      </c>
      <c r="E1845" t="s">
        <v>624</v>
      </c>
      <c r="F1845" s="1"/>
      <c r="G1845">
        <v>1999</v>
      </c>
      <c r="H1845">
        <v>5</v>
      </c>
      <c r="I1845">
        <v>15</v>
      </c>
      <c r="J1845" t="s">
        <v>104</v>
      </c>
      <c r="K1845">
        <v>335.29</v>
      </c>
      <c r="L1845">
        <v>1</v>
      </c>
      <c r="M1845">
        <v>335.29</v>
      </c>
      <c r="N1845" t="s">
        <v>41</v>
      </c>
      <c r="O1845" t="s">
        <v>89</v>
      </c>
    </row>
    <row r="1846" spans="1:16" x14ac:dyDescent="0.25">
      <c r="A1846" t="s">
        <v>2597</v>
      </c>
      <c r="B1846" s="4">
        <v>45621</v>
      </c>
      <c r="C1846" s="2">
        <v>0.89652777777777781</v>
      </c>
      <c r="D1846" t="s">
        <v>16</v>
      </c>
      <c r="E1846" t="s">
        <v>358</v>
      </c>
      <c r="G1846">
        <v>1998</v>
      </c>
      <c r="H1846">
        <v>5</v>
      </c>
      <c r="I1846">
        <v>24</v>
      </c>
      <c r="J1846" t="s">
        <v>36</v>
      </c>
      <c r="K1846">
        <v>74.430000000000007</v>
      </c>
      <c r="L1846">
        <v>2</v>
      </c>
      <c r="M1846">
        <v>148.86000000000001</v>
      </c>
      <c r="N1846" t="s">
        <v>54</v>
      </c>
      <c r="O1846" t="s">
        <v>61</v>
      </c>
      <c r="P1846" t="s">
        <v>27</v>
      </c>
    </row>
    <row r="1847" spans="1:16" x14ac:dyDescent="0.25">
      <c r="A1847" t="s">
        <v>2598</v>
      </c>
      <c r="B1847" s="4">
        <v>45909</v>
      </c>
      <c r="C1847" s="5">
        <v>0.95</v>
      </c>
      <c r="D1847" t="s">
        <v>16</v>
      </c>
      <c r="E1847" t="s">
        <v>295</v>
      </c>
      <c r="G1847">
        <v>1998</v>
      </c>
      <c r="H1847">
        <v>1</v>
      </c>
      <c r="I1847">
        <v>17</v>
      </c>
      <c r="J1847" t="s">
        <v>85</v>
      </c>
      <c r="K1847">
        <v>176.51</v>
      </c>
      <c r="L1847">
        <v>1</v>
      </c>
      <c r="M1847">
        <v>176.51</v>
      </c>
      <c r="N1847" t="s">
        <v>64</v>
      </c>
      <c r="O1847" t="s">
        <v>20</v>
      </c>
    </row>
    <row r="1848" spans="1:16" x14ac:dyDescent="0.25">
      <c r="A1848" t="s">
        <v>2599</v>
      </c>
      <c r="B1848" s="1">
        <v>45640</v>
      </c>
      <c r="C1848" s="5">
        <v>0.58333333333333337</v>
      </c>
      <c r="D1848" t="s">
        <v>16</v>
      </c>
      <c r="E1848" t="s">
        <v>240</v>
      </c>
      <c r="G1848">
        <v>1994</v>
      </c>
      <c r="H1848">
        <v>9</v>
      </c>
      <c r="I1848">
        <v>23</v>
      </c>
      <c r="J1848" t="s">
        <v>213</v>
      </c>
      <c r="K1848">
        <v>95.98</v>
      </c>
      <c r="L1848">
        <v>2</v>
      </c>
      <c r="M1848" t="s">
        <v>2600</v>
      </c>
      <c r="N1848" t="s">
        <v>31</v>
      </c>
      <c r="O1848" t="s">
        <v>55</v>
      </c>
    </row>
    <row r="1849" spans="1:16" x14ac:dyDescent="0.25">
      <c r="A1849" t="s">
        <v>2601</v>
      </c>
      <c r="B1849" s="4">
        <v>45683</v>
      </c>
      <c r="C1849" s="5">
        <v>0.4465277777777778</v>
      </c>
      <c r="D1849" t="s">
        <v>16</v>
      </c>
      <c r="E1849" t="s">
        <v>128</v>
      </c>
      <c r="G1849">
        <v>1996</v>
      </c>
      <c r="H1849">
        <v>11</v>
      </c>
      <c r="I1849">
        <v>16</v>
      </c>
      <c r="J1849" t="s">
        <v>30</v>
      </c>
      <c r="K1849">
        <v>207.55</v>
      </c>
      <c r="L1849">
        <v>1</v>
      </c>
      <c r="M1849">
        <v>207.55</v>
      </c>
      <c r="N1849" t="s">
        <v>67</v>
      </c>
      <c r="O1849" t="s">
        <v>37</v>
      </c>
      <c r="P1849" t="s">
        <v>27</v>
      </c>
    </row>
    <row r="1850" spans="1:16" x14ac:dyDescent="0.25">
      <c r="A1850" t="s">
        <v>2602</v>
      </c>
      <c r="B1850" s="4">
        <v>45733</v>
      </c>
      <c r="C1850" s="5">
        <v>0.55486111111111114</v>
      </c>
      <c r="D1850" t="s">
        <v>16</v>
      </c>
      <c r="E1850" t="s">
        <v>528</v>
      </c>
      <c r="G1850">
        <v>1973</v>
      </c>
      <c r="H1850">
        <v>9</v>
      </c>
      <c r="I1850">
        <v>7</v>
      </c>
      <c r="J1850" t="s">
        <v>45</v>
      </c>
      <c r="K1850">
        <v>157.34</v>
      </c>
      <c r="L1850">
        <v>2</v>
      </c>
      <c r="M1850">
        <v>314.68</v>
      </c>
      <c r="N1850" t="s">
        <v>19</v>
      </c>
      <c r="O1850" t="s">
        <v>61</v>
      </c>
      <c r="P1850" t="s">
        <v>21</v>
      </c>
    </row>
    <row r="1851" spans="1:16" x14ac:dyDescent="0.25">
      <c r="A1851" t="s">
        <v>2603</v>
      </c>
      <c r="B1851" s="4">
        <v>45640</v>
      </c>
      <c r="C1851" s="5">
        <v>0.93888888888888888</v>
      </c>
      <c r="D1851" t="s">
        <v>16</v>
      </c>
      <c r="E1851" t="s">
        <v>458</v>
      </c>
      <c r="G1851">
        <v>1990</v>
      </c>
      <c r="H1851">
        <v>12</v>
      </c>
      <c r="I1851">
        <v>22</v>
      </c>
      <c r="J1851" t="s">
        <v>110</v>
      </c>
      <c r="K1851">
        <v>-112.33</v>
      </c>
      <c r="L1851">
        <v>3</v>
      </c>
      <c r="M1851">
        <v>-336.99</v>
      </c>
      <c r="O1851" t="s">
        <v>89</v>
      </c>
      <c r="P1851" t="s">
        <v>48</v>
      </c>
    </row>
    <row r="1852" spans="1:16" x14ac:dyDescent="0.25">
      <c r="A1852" t="s">
        <v>2604</v>
      </c>
      <c r="B1852" s="1">
        <v>45701</v>
      </c>
      <c r="C1852" s="3">
        <v>0.82216435185185188</v>
      </c>
      <c r="D1852" t="s">
        <v>16</v>
      </c>
      <c r="E1852" t="s">
        <v>855</v>
      </c>
      <c r="F1852" s="4"/>
      <c r="G1852">
        <v>1993</v>
      </c>
      <c r="H1852">
        <v>11</v>
      </c>
      <c r="I1852">
        <v>2</v>
      </c>
      <c r="J1852" t="s">
        <v>93</v>
      </c>
      <c r="K1852">
        <v>215.41</v>
      </c>
      <c r="L1852">
        <v>0</v>
      </c>
      <c r="M1852">
        <v>0</v>
      </c>
      <c r="N1852" t="s">
        <v>54</v>
      </c>
      <c r="O1852" t="s">
        <v>61</v>
      </c>
    </row>
    <row r="1853" spans="1:16" x14ac:dyDescent="0.25">
      <c r="A1853" t="s">
        <v>2605</v>
      </c>
      <c r="B1853" t="s">
        <v>1159</v>
      </c>
      <c r="C1853" s="2">
        <v>0.7416666666666667</v>
      </c>
      <c r="D1853" t="s">
        <v>16</v>
      </c>
      <c r="E1853" t="s">
        <v>206</v>
      </c>
      <c r="G1853">
        <v>1975</v>
      </c>
      <c r="H1853">
        <v>12</v>
      </c>
      <c r="I1853">
        <v>24</v>
      </c>
      <c r="J1853" t="s">
        <v>18</v>
      </c>
      <c r="K1853">
        <v>92.06</v>
      </c>
      <c r="L1853">
        <v>3</v>
      </c>
      <c r="M1853">
        <v>276.18</v>
      </c>
      <c r="N1853" t="s">
        <v>54</v>
      </c>
      <c r="O1853" t="s">
        <v>32</v>
      </c>
      <c r="P1853" t="s">
        <v>74</v>
      </c>
    </row>
    <row r="1854" spans="1:16" x14ac:dyDescent="0.25">
      <c r="A1854" t="s">
        <v>2606</v>
      </c>
      <c r="B1854" t="s">
        <v>630</v>
      </c>
      <c r="C1854" s="2">
        <v>0.7</v>
      </c>
      <c r="D1854" t="s">
        <v>16</v>
      </c>
      <c r="E1854" t="s">
        <v>358</v>
      </c>
      <c r="G1854">
        <v>1977</v>
      </c>
      <c r="H1854">
        <v>3</v>
      </c>
      <c r="I1854">
        <v>24</v>
      </c>
      <c r="J1854" t="s">
        <v>45</v>
      </c>
      <c r="K1854">
        <v>241.14</v>
      </c>
      <c r="L1854">
        <v>1</v>
      </c>
      <c r="M1854">
        <v>241.14</v>
      </c>
      <c r="O1854" t="s">
        <v>37</v>
      </c>
      <c r="P1854" t="s">
        <v>105</v>
      </c>
    </row>
    <row r="1855" spans="1:16" x14ac:dyDescent="0.25">
      <c r="A1855" t="s">
        <v>2607</v>
      </c>
      <c r="B1855" s="4">
        <v>45657</v>
      </c>
      <c r="C1855" s="3">
        <v>0.4635185185185185</v>
      </c>
      <c r="D1855" t="s">
        <v>16</v>
      </c>
      <c r="E1855" t="s">
        <v>181</v>
      </c>
      <c r="G1855">
        <v>1999</v>
      </c>
      <c r="H1855">
        <v>5</v>
      </c>
      <c r="I1855">
        <v>16</v>
      </c>
      <c r="J1855" t="s">
        <v>141</v>
      </c>
      <c r="K1855">
        <v>123.63</v>
      </c>
      <c r="L1855">
        <v>1</v>
      </c>
      <c r="M1855">
        <v>123.63</v>
      </c>
      <c r="O1855" t="s">
        <v>55</v>
      </c>
      <c r="P1855" t="s">
        <v>33</v>
      </c>
    </row>
    <row r="1856" spans="1:16" x14ac:dyDescent="0.25">
      <c r="A1856" t="s">
        <v>2608</v>
      </c>
      <c r="B1856" s="1">
        <v>45626</v>
      </c>
      <c r="C1856" s="5">
        <v>0.94166666666666665</v>
      </c>
      <c r="D1856" t="s">
        <v>16</v>
      </c>
      <c r="E1856" t="s">
        <v>2609</v>
      </c>
      <c r="G1856">
        <v>1983</v>
      </c>
      <c r="H1856">
        <v>4</v>
      </c>
      <c r="I1856">
        <v>10</v>
      </c>
      <c r="J1856" t="s">
        <v>126</v>
      </c>
      <c r="K1856" t="s">
        <v>2610</v>
      </c>
      <c r="L1856">
        <v>1</v>
      </c>
      <c r="M1856">
        <v>302.75</v>
      </c>
      <c r="N1856" t="s">
        <v>54</v>
      </c>
      <c r="O1856" t="s">
        <v>47</v>
      </c>
      <c r="P1856" t="s">
        <v>56</v>
      </c>
    </row>
    <row r="1857" spans="1:16" x14ac:dyDescent="0.25">
      <c r="A1857" t="s">
        <v>2611</v>
      </c>
      <c r="B1857" s="4">
        <v>45754</v>
      </c>
      <c r="C1857" s="5">
        <v>0.74097222222222225</v>
      </c>
      <c r="D1857" t="s">
        <v>16</v>
      </c>
      <c r="E1857" t="s">
        <v>770</v>
      </c>
      <c r="F1857" s="1"/>
      <c r="G1857">
        <v>1987</v>
      </c>
      <c r="H1857">
        <v>9</v>
      </c>
      <c r="I1857">
        <v>17</v>
      </c>
      <c r="J1857" t="s">
        <v>126</v>
      </c>
      <c r="K1857">
        <v>295.64</v>
      </c>
      <c r="L1857">
        <v>2</v>
      </c>
      <c r="M1857">
        <v>591.28</v>
      </c>
      <c r="N1857" t="s">
        <v>41</v>
      </c>
      <c r="O1857" t="s">
        <v>47</v>
      </c>
    </row>
    <row r="1858" spans="1:16" x14ac:dyDescent="0.25">
      <c r="A1858" t="s">
        <v>2612</v>
      </c>
      <c r="B1858" s="4">
        <v>45819</v>
      </c>
      <c r="C1858" s="5">
        <v>0.83472222222222225</v>
      </c>
      <c r="D1858" t="s">
        <v>16</v>
      </c>
      <c r="E1858" t="s">
        <v>351</v>
      </c>
      <c r="F1858" s="4"/>
      <c r="G1858">
        <v>2005</v>
      </c>
      <c r="H1858">
        <v>7</v>
      </c>
      <c r="I1858">
        <v>7</v>
      </c>
      <c r="J1858" t="s">
        <v>60</v>
      </c>
      <c r="K1858">
        <v>92.58</v>
      </c>
      <c r="L1858">
        <v>2</v>
      </c>
      <c r="M1858">
        <v>185.16</v>
      </c>
      <c r="N1858" t="s">
        <v>19</v>
      </c>
      <c r="O1858" t="s">
        <v>26</v>
      </c>
    </row>
    <row r="1859" spans="1:16" x14ac:dyDescent="0.25">
      <c r="A1859" t="s">
        <v>2613</v>
      </c>
      <c r="B1859" s="4">
        <v>45796</v>
      </c>
      <c r="C1859" s="5">
        <v>0.63611111111111107</v>
      </c>
      <c r="D1859" t="s">
        <v>16</v>
      </c>
      <c r="E1859" t="s">
        <v>82</v>
      </c>
      <c r="G1859">
        <v>1984</v>
      </c>
      <c r="H1859">
        <v>1</v>
      </c>
      <c r="I1859">
        <v>24</v>
      </c>
      <c r="J1859" t="s">
        <v>145</v>
      </c>
      <c r="K1859">
        <v>167.91</v>
      </c>
      <c r="L1859">
        <v>2</v>
      </c>
      <c r="M1859">
        <v>335.82</v>
      </c>
      <c r="N1859" t="s">
        <v>41</v>
      </c>
      <c r="O1859" t="s">
        <v>26</v>
      </c>
      <c r="P1859" t="s">
        <v>56</v>
      </c>
    </row>
    <row r="1860" spans="1:16" x14ac:dyDescent="0.25">
      <c r="A1860" t="s">
        <v>2614</v>
      </c>
      <c r="B1860" s="4">
        <v>45703</v>
      </c>
      <c r="C1860" s="5">
        <v>0.5444444444444444</v>
      </c>
      <c r="D1860" t="s">
        <v>16</v>
      </c>
      <c r="E1860" t="s">
        <v>76</v>
      </c>
      <c r="F1860" s="1"/>
      <c r="G1860">
        <v>1994</v>
      </c>
      <c r="H1860">
        <v>7</v>
      </c>
      <c r="I1860">
        <v>28</v>
      </c>
      <c r="J1860" t="s">
        <v>93</v>
      </c>
      <c r="K1860">
        <v>192.54</v>
      </c>
      <c r="L1860">
        <v>2</v>
      </c>
      <c r="M1860">
        <v>385.08</v>
      </c>
      <c r="N1860" t="s">
        <v>64</v>
      </c>
      <c r="O1860" t="s">
        <v>61</v>
      </c>
      <c r="P1860" t="s">
        <v>48</v>
      </c>
    </row>
    <row r="1861" spans="1:16" x14ac:dyDescent="0.25">
      <c r="A1861" t="s">
        <v>2615</v>
      </c>
      <c r="B1861" s="4">
        <v>45648</v>
      </c>
      <c r="C1861" s="2">
        <v>0.61388888888888893</v>
      </c>
      <c r="D1861" t="s">
        <v>16</v>
      </c>
      <c r="E1861" t="s">
        <v>107</v>
      </c>
      <c r="F1861" s="4"/>
      <c r="G1861">
        <v>1988</v>
      </c>
      <c r="H1861">
        <v>7</v>
      </c>
      <c r="I1861">
        <v>26</v>
      </c>
      <c r="J1861" t="s">
        <v>53</v>
      </c>
      <c r="K1861">
        <v>115.58</v>
      </c>
      <c r="L1861">
        <v>1</v>
      </c>
      <c r="M1861" t="s">
        <v>2616</v>
      </c>
      <c r="O1861" t="s">
        <v>61</v>
      </c>
    </row>
    <row r="1862" spans="1:16" x14ac:dyDescent="0.25">
      <c r="A1862" t="s">
        <v>2617</v>
      </c>
      <c r="B1862" s="4">
        <v>45738</v>
      </c>
      <c r="C1862" s="5">
        <v>0.98124999999999996</v>
      </c>
      <c r="D1862" t="s">
        <v>16</v>
      </c>
      <c r="E1862" t="s">
        <v>131</v>
      </c>
      <c r="G1862">
        <v>1974</v>
      </c>
      <c r="H1862">
        <v>10</v>
      </c>
      <c r="I1862">
        <v>18</v>
      </c>
      <c r="J1862" t="s">
        <v>24</v>
      </c>
      <c r="K1862">
        <v>265.98</v>
      </c>
      <c r="L1862">
        <v>2</v>
      </c>
      <c r="M1862">
        <v>531.96</v>
      </c>
      <c r="N1862" t="s">
        <v>64</v>
      </c>
      <c r="O1862" t="s">
        <v>89</v>
      </c>
      <c r="P1862" t="s">
        <v>48</v>
      </c>
    </row>
    <row r="1863" spans="1:16" x14ac:dyDescent="0.25">
      <c r="A1863" t="s">
        <v>2618</v>
      </c>
      <c r="B1863" t="s">
        <v>1922</v>
      </c>
      <c r="C1863" s="2">
        <v>0.79027777777777775</v>
      </c>
      <c r="D1863" t="s">
        <v>16</v>
      </c>
      <c r="E1863" t="s">
        <v>161</v>
      </c>
      <c r="G1863">
        <v>1999</v>
      </c>
      <c r="H1863">
        <v>2</v>
      </c>
      <c r="I1863">
        <v>15</v>
      </c>
      <c r="J1863" t="s">
        <v>93</v>
      </c>
      <c r="K1863">
        <v>226.72</v>
      </c>
      <c r="L1863">
        <v>1</v>
      </c>
      <c r="M1863">
        <v>226.72</v>
      </c>
      <c r="N1863" t="s">
        <v>41</v>
      </c>
      <c r="O1863" t="s">
        <v>32</v>
      </c>
      <c r="P1863" t="s">
        <v>33</v>
      </c>
    </row>
    <row r="1864" spans="1:16" x14ac:dyDescent="0.25">
      <c r="A1864" t="s">
        <v>2619</v>
      </c>
      <c r="B1864" t="s">
        <v>783</v>
      </c>
      <c r="C1864" s="5">
        <v>0.79236111111111107</v>
      </c>
      <c r="D1864" t="s">
        <v>16</v>
      </c>
      <c r="E1864" t="s">
        <v>397</v>
      </c>
      <c r="F1864" s="4"/>
      <c r="G1864">
        <v>1975</v>
      </c>
      <c r="H1864">
        <v>3</v>
      </c>
      <c r="I1864">
        <v>13</v>
      </c>
      <c r="J1864" t="s">
        <v>40</v>
      </c>
      <c r="K1864">
        <v>189.92</v>
      </c>
      <c r="L1864">
        <v>1</v>
      </c>
      <c r="M1864">
        <v>189.92</v>
      </c>
      <c r="N1864" t="s">
        <v>31</v>
      </c>
      <c r="O1864" t="s">
        <v>37</v>
      </c>
    </row>
    <row r="1865" spans="1:16" x14ac:dyDescent="0.25">
      <c r="A1865" t="s">
        <v>2620</v>
      </c>
      <c r="B1865" t="s">
        <v>2621</v>
      </c>
      <c r="C1865" s="2">
        <v>0.84097222222222223</v>
      </c>
      <c r="D1865" t="s">
        <v>16</v>
      </c>
      <c r="E1865" t="s">
        <v>397</v>
      </c>
      <c r="F1865" s="4"/>
      <c r="G1865">
        <v>1976</v>
      </c>
      <c r="H1865">
        <v>3</v>
      </c>
      <c r="I1865">
        <v>12</v>
      </c>
      <c r="J1865" t="s">
        <v>60</v>
      </c>
      <c r="K1865">
        <v>245.79</v>
      </c>
      <c r="L1865">
        <v>2</v>
      </c>
      <c r="M1865">
        <v>491.58</v>
      </c>
      <c r="N1865" t="s">
        <v>67</v>
      </c>
      <c r="O1865" t="s">
        <v>55</v>
      </c>
      <c r="P1865" t="s">
        <v>33</v>
      </c>
    </row>
    <row r="1866" spans="1:16" x14ac:dyDescent="0.25">
      <c r="A1866" t="s">
        <v>2622</v>
      </c>
      <c r="B1866" s="1">
        <v>45666</v>
      </c>
      <c r="C1866" s="5">
        <v>0.44374999999999998</v>
      </c>
      <c r="D1866" t="s">
        <v>16</v>
      </c>
      <c r="E1866" t="s">
        <v>163</v>
      </c>
      <c r="F1866" s="1"/>
      <c r="G1866">
        <v>2004</v>
      </c>
      <c r="H1866">
        <v>5</v>
      </c>
      <c r="I1866">
        <v>17</v>
      </c>
      <c r="J1866" t="s">
        <v>116</v>
      </c>
      <c r="K1866">
        <v>144.88</v>
      </c>
      <c r="L1866">
        <v>-1</v>
      </c>
      <c r="M1866">
        <v>-144.88</v>
      </c>
      <c r="N1866" t="s">
        <v>31</v>
      </c>
      <c r="O1866" t="s">
        <v>32</v>
      </c>
      <c r="P1866" t="s">
        <v>33</v>
      </c>
    </row>
    <row r="1867" spans="1:16" x14ac:dyDescent="0.25">
      <c r="A1867" t="s">
        <v>2623</v>
      </c>
      <c r="B1867" s="1">
        <v>45879</v>
      </c>
      <c r="C1867" s="3">
        <v>0.43332175925925925</v>
      </c>
      <c r="D1867" t="s">
        <v>16</v>
      </c>
      <c r="E1867" t="s">
        <v>548</v>
      </c>
      <c r="G1867">
        <v>2007</v>
      </c>
      <c r="H1867">
        <v>4</v>
      </c>
      <c r="I1867">
        <v>23</v>
      </c>
      <c r="J1867" t="s">
        <v>178</v>
      </c>
      <c r="K1867">
        <v>293.60000000000002</v>
      </c>
      <c r="L1867">
        <v>2</v>
      </c>
      <c r="M1867">
        <v>587.20000000000005</v>
      </c>
      <c r="N1867" t="s">
        <v>64</v>
      </c>
      <c r="O1867" t="s">
        <v>55</v>
      </c>
      <c r="P1867" t="s">
        <v>27</v>
      </c>
    </row>
    <row r="1868" spans="1:16" x14ac:dyDescent="0.25">
      <c r="A1868" t="s">
        <v>2624</v>
      </c>
      <c r="B1868" s="4">
        <v>45706</v>
      </c>
      <c r="C1868" s="2">
        <v>0.91041666666666665</v>
      </c>
      <c r="D1868" t="s">
        <v>16</v>
      </c>
      <c r="E1868" t="s">
        <v>35</v>
      </c>
      <c r="F1868" s="4"/>
      <c r="G1868">
        <v>1987</v>
      </c>
      <c r="H1868">
        <v>5</v>
      </c>
      <c r="I1868">
        <v>22</v>
      </c>
      <c r="J1868" t="s">
        <v>36</v>
      </c>
      <c r="K1868">
        <v>202.76</v>
      </c>
      <c r="L1868">
        <v>3</v>
      </c>
      <c r="M1868">
        <v>608.28</v>
      </c>
      <c r="N1868" t="s">
        <v>67</v>
      </c>
      <c r="O1868" t="s">
        <v>55</v>
      </c>
    </row>
    <row r="1869" spans="1:16" x14ac:dyDescent="0.25">
      <c r="A1869" t="s">
        <v>2625</v>
      </c>
      <c r="B1869" t="s">
        <v>732</v>
      </c>
      <c r="C1869" s="3">
        <v>0.56527777777777777</v>
      </c>
      <c r="D1869" t="s">
        <v>16</v>
      </c>
      <c r="E1869" t="s">
        <v>194</v>
      </c>
      <c r="F1869" s="1"/>
      <c r="G1869">
        <v>1989</v>
      </c>
      <c r="H1869">
        <v>1</v>
      </c>
      <c r="I1869">
        <v>20</v>
      </c>
      <c r="J1869" t="s">
        <v>259</v>
      </c>
      <c r="K1869">
        <v>256.08</v>
      </c>
      <c r="L1869">
        <v>2</v>
      </c>
      <c r="M1869" t="s">
        <v>2626</v>
      </c>
      <c r="N1869" t="s">
        <v>41</v>
      </c>
      <c r="O1869" t="s">
        <v>26</v>
      </c>
      <c r="P1869" t="s">
        <v>56</v>
      </c>
    </row>
    <row r="1870" spans="1:16" x14ac:dyDescent="0.25">
      <c r="A1870" t="s">
        <v>2627</v>
      </c>
      <c r="B1870" s="1">
        <v>45812</v>
      </c>
      <c r="C1870" s="2">
        <v>0.8979166666666667</v>
      </c>
      <c r="D1870" t="s">
        <v>16</v>
      </c>
      <c r="E1870" t="s">
        <v>528</v>
      </c>
      <c r="F1870" s="4"/>
      <c r="G1870">
        <v>1981</v>
      </c>
      <c r="H1870">
        <v>3</v>
      </c>
      <c r="I1870">
        <v>18</v>
      </c>
      <c r="J1870" t="s">
        <v>60</v>
      </c>
      <c r="K1870">
        <v>333.07</v>
      </c>
      <c r="L1870">
        <v>2</v>
      </c>
      <c r="M1870">
        <v>666.14</v>
      </c>
      <c r="N1870" t="s">
        <v>54</v>
      </c>
      <c r="O1870" t="s">
        <v>32</v>
      </c>
    </row>
    <row r="1871" spans="1:16" x14ac:dyDescent="0.25">
      <c r="A1871" t="s">
        <v>2628</v>
      </c>
      <c r="B1871" s="4">
        <v>45746</v>
      </c>
      <c r="C1871" s="3">
        <v>0.70881944444444445</v>
      </c>
      <c r="D1871" t="s">
        <v>16</v>
      </c>
      <c r="E1871" t="s">
        <v>411</v>
      </c>
      <c r="F1871" s="4"/>
      <c r="G1871">
        <v>1993</v>
      </c>
      <c r="H1871">
        <v>10</v>
      </c>
      <c r="I1871">
        <v>7</v>
      </c>
      <c r="J1871" t="s">
        <v>45</v>
      </c>
      <c r="K1871">
        <v>209.91</v>
      </c>
      <c r="L1871">
        <v>2</v>
      </c>
      <c r="M1871">
        <v>419.82</v>
      </c>
      <c r="N1871" t="s">
        <v>64</v>
      </c>
      <c r="O1871" t="s">
        <v>55</v>
      </c>
    </row>
    <row r="1872" spans="1:16" x14ac:dyDescent="0.25">
      <c r="A1872" t="s">
        <v>2629</v>
      </c>
      <c r="B1872" t="s">
        <v>1419</v>
      </c>
      <c r="C1872" s="3">
        <v>0.63995370370370375</v>
      </c>
      <c r="D1872" t="s">
        <v>16</v>
      </c>
      <c r="E1872" t="s">
        <v>425</v>
      </c>
      <c r="F1872" s="1"/>
      <c r="G1872">
        <v>2004</v>
      </c>
      <c r="H1872">
        <v>9</v>
      </c>
      <c r="I1872">
        <v>27</v>
      </c>
      <c r="J1872" t="s">
        <v>129</v>
      </c>
      <c r="K1872">
        <v>150.24</v>
      </c>
      <c r="L1872">
        <v>2</v>
      </c>
      <c r="M1872">
        <v>300.48</v>
      </c>
      <c r="O1872" t="s">
        <v>61</v>
      </c>
    </row>
    <row r="1873" spans="1:16" x14ac:dyDescent="0.25">
      <c r="A1873" t="s">
        <v>2630</v>
      </c>
      <c r="B1873" t="s">
        <v>2631</v>
      </c>
      <c r="C1873" s="2">
        <v>0.62291666666666667</v>
      </c>
      <c r="D1873" t="s">
        <v>16</v>
      </c>
      <c r="E1873" t="s">
        <v>88</v>
      </c>
      <c r="G1873">
        <v>2010</v>
      </c>
      <c r="H1873">
        <v>6</v>
      </c>
      <c r="I1873">
        <v>24</v>
      </c>
      <c r="J1873" t="s">
        <v>73</v>
      </c>
      <c r="K1873">
        <v>41.67</v>
      </c>
      <c r="L1873">
        <v>1</v>
      </c>
      <c r="M1873">
        <v>41.67</v>
      </c>
      <c r="N1873" t="s">
        <v>64</v>
      </c>
      <c r="O1873" t="s">
        <v>37</v>
      </c>
    </row>
    <row r="1874" spans="1:16" x14ac:dyDescent="0.25">
      <c r="A1874" t="s">
        <v>2632</v>
      </c>
      <c r="B1874" s="4">
        <v>45849</v>
      </c>
      <c r="C1874" s="3">
        <v>0.849212962962963</v>
      </c>
      <c r="D1874" t="s">
        <v>16</v>
      </c>
      <c r="E1874" t="s">
        <v>328</v>
      </c>
      <c r="F1874" s="4"/>
      <c r="G1874">
        <v>2006</v>
      </c>
      <c r="H1874">
        <v>9</v>
      </c>
      <c r="I1874">
        <v>3</v>
      </c>
      <c r="J1874" t="s">
        <v>199</v>
      </c>
      <c r="K1874">
        <v>166.06</v>
      </c>
      <c r="L1874">
        <v>2</v>
      </c>
      <c r="M1874">
        <v>369.12</v>
      </c>
      <c r="N1874" t="s">
        <v>25</v>
      </c>
      <c r="O1874" t="s">
        <v>47</v>
      </c>
      <c r="P1874" t="s">
        <v>27</v>
      </c>
    </row>
    <row r="1875" spans="1:16" x14ac:dyDescent="0.25">
      <c r="A1875" t="s">
        <v>2633</v>
      </c>
      <c r="B1875" s="1">
        <v>45739</v>
      </c>
      <c r="C1875" s="5">
        <v>0.91111111111111109</v>
      </c>
      <c r="D1875" t="s">
        <v>16</v>
      </c>
      <c r="E1875" t="s">
        <v>237</v>
      </c>
      <c r="G1875">
        <v>1984</v>
      </c>
      <c r="H1875">
        <v>11</v>
      </c>
      <c r="I1875">
        <v>3</v>
      </c>
      <c r="J1875" t="s">
        <v>60</v>
      </c>
      <c r="K1875" t="s">
        <v>2634</v>
      </c>
      <c r="L1875">
        <v>2</v>
      </c>
      <c r="M1875">
        <v>314.33</v>
      </c>
      <c r="O1875" t="s">
        <v>26</v>
      </c>
      <c r="P1875" t="s">
        <v>105</v>
      </c>
    </row>
    <row r="1876" spans="1:16" x14ac:dyDescent="0.25">
      <c r="A1876" t="s">
        <v>2635</v>
      </c>
      <c r="C1876" s="5">
        <v>0.53749999999999998</v>
      </c>
      <c r="D1876" t="s">
        <v>16</v>
      </c>
      <c r="E1876" t="s">
        <v>2095</v>
      </c>
      <c r="G1876">
        <v>1991</v>
      </c>
      <c r="H1876">
        <v>12</v>
      </c>
      <c r="I1876">
        <v>12</v>
      </c>
      <c r="J1876" t="s">
        <v>126</v>
      </c>
      <c r="K1876">
        <v>131.25</v>
      </c>
      <c r="L1876">
        <v>1</v>
      </c>
      <c r="M1876">
        <v>131.25</v>
      </c>
      <c r="N1876" t="s">
        <v>31</v>
      </c>
      <c r="O1876" t="s">
        <v>32</v>
      </c>
      <c r="P1876" t="s">
        <v>105</v>
      </c>
    </row>
    <row r="1877" spans="1:16" x14ac:dyDescent="0.25">
      <c r="A1877" t="s">
        <v>2636</v>
      </c>
      <c r="B1877" s="1">
        <v>45692</v>
      </c>
      <c r="C1877" s="5">
        <v>0.92361111111111116</v>
      </c>
      <c r="D1877" t="s">
        <v>16</v>
      </c>
      <c r="E1877" t="s">
        <v>229</v>
      </c>
      <c r="F1877" s="4"/>
      <c r="G1877">
        <v>1977</v>
      </c>
      <c r="H1877">
        <v>6</v>
      </c>
      <c r="I1877">
        <v>7</v>
      </c>
      <c r="J1877" t="s">
        <v>116</v>
      </c>
      <c r="K1877">
        <v>289.69</v>
      </c>
      <c r="L1877">
        <v>1</v>
      </c>
      <c r="M1877" t="s">
        <v>2637</v>
      </c>
      <c r="N1877" t="s">
        <v>54</v>
      </c>
      <c r="O1877" t="s">
        <v>61</v>
      </c>
      <c r="P1877" t="s">
        <v>105</v>
      </c>
    </row>
    <row r="1878" spans="1:16" x14ac:dyDescent="0.25">
      <c r="A1878" t="s">
        <v>2638</v>
      </c>
      <c r="B1878" s="1">
        <v>45676</v>
      </c>
      <c r="C1878" s="2">
        <v>0.60069444444444442</v>
      </c>
      <c r="D1878" t="s">
        <v>16</v>
      </c>
      <c r="E1878" t="s">
        <v>434</v>
      </c>
      <c r="F1878" s="4"/>
      <c r="G1878">
        <v>1986</v>
      </c>
      <c r="H1878">
        <v>10</v>
      </c>
      <c r="I1878">
        <v>4</v>
      </c>
      <c r="J1878" t="s">
        <v>104</v>
      </c>
      <c r="K1878">
        <v>327.44</v>
      </c>
      <c r="L1878">
        <v>2</v>
      </c>
      <c r="M1878">
        <v>654.88</v>
      </c>
      <c r="N1878" t="s">
        <v>25</v>
      </c>
      <c r="O1878" t="s">
        <v>26</v>
      </c>
      <c r="P1878" t="s">
        <v>105</v>
      </c>
    </row>
    <row r="1879" spans="1:16" x14ac:dyDescent="0.25">
      <c r="A1879" t="s">
        <v>2639</v>
      </c>
      <c r="B1879" s="1">
        <v>45943</v>
      </c>
      <c r="C1879" s="3">
        <v>0.47159722222222222</v>
      </c>
      <c r="D1879" t="s">
        <v>16</v>
      </c>
      <c r="E1879" t="s">
        <v>158</v>
      </c>
      <c r="F1879" s="1"/>
      <c r="G1879">
        <v>1994</v>
      </c>
      <c r="H1879">
        <v>9</v>
      </c>
      <c r="I1879">
        <v>22</v>
      </c>
      <c r="J1879" t="s">
        <v>36</v>
      </c>
      <c r="K1879">
        <v>53.56</v>
      </c>
      <c r="L1879">
        <v>3</v>
      </c>
      <c r="M1879">
        <v>160.68</v>
      </c>
      <c r="N1879" t="s">
        <v>31</v>
      </c>
      <c r="O1879" t="s">
        <v>47</v>
      </c>
      <c r="P1879" t="s">
        <v>56</v>
      </c>
    </row>
    <row r="1880" spans="1:16" x14ac:dyDescent="0.25">
      <c r="A1880" t="s">
        <v>2640</v>
      </c>
      <c r="B1880" s="4">
        <v>45804</v>
      </c>
      <c r="C1880" s="2">
        <v>0.46458333333333335</v>
      </c>
      <c r="D1880" t="s">
        <v>16</v>
      </c>
      <c r="E1880" t="s">
        <v>360</v>
      </c>
      <c r="G1880">
        <v>2007</v>
      </c>
      <c r="H1880">
        <v>12</v>
      </c>
      <c r="I1880">
        <v>19</v>
      </c>
      <c r="J1880" t="s">
        <v>18</v>
      </c>
      <c r="K1880">
        <v>109.75</v>
      </c>
      <c r="L1880">
        <v>3</v>
      </c>
      <c r="M1880">
        <v>329.25</v>
      </c>
      <c r="N1880" t="s">
        <v>64</v>
      </c>
      <c r="O1880" t="s">
        <v>26</v>
      </c>
      <c r="P1880" t="s">
        <v>48</v>
      </c>
    </row>
    <row r="1881" spans="1:16" x14ac:dyDescent="0.25">
      <c r="A1881" t="s">
        <v>2641</v>
      </c>
      <c r="B1881" s="4">
        <v>45777</v>
      </c>
      <c r="C1881" s="2">
        <v>0.42222222222222222</v>
      </c>
      <c r="D1881" t="s">
        <v>16</v>
      </c>
      <c r="E1881" t="s">
        <v>133</v>
      </c>
      <c r="F1881" s="4"/>
      <c r="G1881">
        <v>2010</v>
      </c>
      <c r="H1881">
        <v>8</v>
      </c>
      <c r="I1881">
        <v>3</v>
      </c>
      <c r="J1881" t="s">
        <v>164</v>
      </c>
      <c r="L1881">
        <v>3</v>
      </c>
      <c r="O1881" t="s">
        <v>32</v>
      </c>
      <c r="P1881" t="s">
        <v>27</v>
      </c>
    </row>
    <row r="1882" spans="1:16" x14ac:dyDescent="0.25">
      <c r="A1882" t="s">
        <v>2642</v>
      </c>
      <c r="B1882" s="4">
        <v>45658</v>
      </c>
      <c r="C1882" s="3">
        <v>0.76290509259259254</v>
      </c>
      <c r="D1882" t="s">
        <v>16</v>
      </c>
      <c r="E1882" t="s">
        <v>173</v>
      </c>
      <c r="F1882" s="4"/>
      <c r="G1882">
        <v>1991</v>
      </c>
      <c r="H1882">
        <v>12</v>
      </c>
      <c r="I1882">
        <v>14</v>
      </c>
      <c r="J1882" t="s">
        <v>259</v>
      </c>
      <c r="K1882" t="s">
        <v>2643</v>
      </c>
      <c r="L1882">
        <v>1</v>
      </c>
      <c r="M1882">
        <v>169.78</v>
      </c>
      <c r="N1882" t="s">
        <v>67</v>
      </c>
      <c r="O1882" t="s">
        <v>20</v>
      </c>
      <c r="P1882" t="s">
        <v>105</v>
      </c>
    </row>
    <row r="1883" spans="1:16" x14ac:dyDescent="0.25">
      <c r="A1883" t="s">
        <v>2644</v>
      </c>
      <c r="B1883" t="s">
        <v>1600</v>
      </c>
      <c r="C1883" s="2">
        <v>0.61319444444444449</v>
      </c>
      <c r="D1883" t="s">
        <v>16</v>
      </c>
      <c r="E1883" t="s">
        <v>82</v>
      </c>
      <c r="G1883">
        <v>2003</v>
      </c>
      <c r="H1883">
        <v>12</v>
      </c>
      <c r="I1883">
        <v>7</v>
      </c>
      <c r="J1883" t="s">
        <v>164</v>
      </c>
      <c r="K1883">
        <v>294.08</v>
      </c>
      <c r="L1883">
        <v>1</v>
      </c>
      <c r="M1883">
        <v>294.08</v>
      </c>
      <c r="N1883" t="s">
        <v>41</v>
      </c>
      <c r="O1883" t="s">
        <v>61</v>
      </c>
      <c r="P1883" t="s">
        <v>33</v>
      </c>
    </row>
    <row r="1884" spans="1:16" x14ac:dyDescent="0.25">
      <c r="A1884" t="s">
        <v>2645</v>
      </c>
      <c r="B1884" s="4">
        <v>45704</v>
      </c>
      <c r="C1884" s="2">
        <v>0.75694444444444442</v>
      </c>
      <c r="D1884" t="s">
        <v>16</v>
      </c>
      <c r="E1884" t="s">
        <v>330</v>
      </c>
      <c r="F1884" s="4"/>
      <c r="G1884">
        <v>1995</v>
      </c>
      <c r="H1884">
        <v>3</v>
      </c>
      <c r="I1884">
        <v>28</v>
      </c>
      <c r="J1884" t="s">
        <v>243</v>
      </c>
      <c r="K1884">
        <v>122.14</v>
      </c>
      <c r="L1884">
        <v>0</v>
      </c>
      <c r="M1884">
        <v>0</v>
      </c>
      <c r="N1884" t="s">
        <v>25</v>
      </c>
      <c r="O1884" t="s">
        <v>20</v>
      </c>
    </row>
    <row r="1885" spans="1:16" x14ac:dyDescent="0.25">
      <c r="A1885" t="s">
        <v>2646</v>
      </c>
      <c r="B1885" s="4">
        <v>45803</v>
      </c>
      <c r="C1885" s="2">
        <v>0.56458333333333333</v>
      </c>
      <c r="D1885" t="s">
        <v>16</v>
      </c>
      <c r="E1885" t="s">
        <v>173</v>
      </c>
      <c r="F1885" s="4"/>
      <c r="G1885">
        <v>1990</v>
      </c>
      <c r="H1885">
        <v>12</v>
      </c>
      <c r="I1885">
        <v>6</v>
      </c>
      <c r="J1885" t="s">
        <v>126</v>
      </c>
      <c r="K1885">
        <v>109.18</v>
      </c>
      <c r="L1885">
        <v>3</v>
      </c>
      <c r="M1885">
        <v>327.54000000000002</v>
      </c>
      <c r="N1885" t="s">
        <v>25</v>
      </c>
      <c r="O1885" t="s">
        <v>55</v>
      </c>
      <c r="P1885" t="s">
        <v>74</v>
      </c>
    </row>
    <row r="1886" spans="1:16" x14ac:dyDescent="0.25">
      <c r="A1886" t="s">
        <v>2647</v>
      </c>
      <c r="C1886" s="3">
        <v>0.89859953703703699</v>
      </c>
      <c r="D1886" t="s">
        <v>16</v>
      </c>
      <c r="E1886" t="s">
        <v>191</v>
      </c>
      <c r="F1886" s="1"/>
      <c r="G1886">
        <v>1993</v>
      </c>
      <c r="H1886">
        <v>6</v>
      </c>
      <c r="I1886">
        <v>17</v>
      </c>
      <c r="J1886" t="s">
        <v>53</v>
      </c>
      <c r="K1886">
        <v>104.52</v>
      </c>
      <c r="L1886">
        <v>3</v>
      </c>
      <c r="M1886">
        <v>313.56</v>
      </c>
      <c r="N1886" t="s">
        <v>54</v>
      </c>
      <c r="O1886" t="s">
        <v>26</v>
      </c>
      <c r="P1886" t="s">
        <v>33</v>
      </c>
    </row>
    <row r="1887" spans="1:16" x14ac:dyDescent="0.25">
      <c r="A1887" t="s">
        <v>2648</v>
      </c>
      <c r="B1887" s="4">
        <v>45691</v>
      </c>
      <c r="C1887" s="3">
        <v>0.8936574074074074</v>
      </c>
      <c r="D1887" t="s">
        <v>16</v>
      </c>
      <c r="E1887" t="s">
        <v>118</v>
      </c>
      <c r="F1887" s="4"/>
      <c r="G1887">
        <v>1981</v>
      </c>
      <c r="H1887">
        <v>2</v>
      </c>
      <c r="I1887">
        <v>14</v>
      </c>
      <c r="J1887" t="s">
        <v>110</v>
      </c>
      <c r="K1887">
        <v>120.45</v>
      </c>
      <c r="L1887">
        <v>2</v>
      </c>
      <c r="M1887">
        <v>240.9</v>
      </c>
      <c r="N1887" t="s">
        <v>67</v>
      </c>
      <c r="O1887" t="s">
        <v>26</v>
      </c>
      <c r="P1887" t="s">
        <v>27</v>
      </c>
    </row>
    <row r="1888" spans="1:16" x14ac:dyDescent="0.25">
      <c r="A1888" t="s">
        <v>2649</v>
      </c>
      <c r="B1888" s="4">
        <v>45746</v>
      </c>
      <c r="C1888" s="5">
        <v>0.76666666666666672</v>
      </c>
      <c r="D1888" t="s">
        <v>16</v>
      </c>
      <c r="E1888" t="s">
        <v>194</v>
      </c>
      <c r="F1888" s="1"/>
      <c r="G1888">
        <v>2001</v>
      </c>
      <c r="H1888">
        <v>6</v>
      </c>
      <c r="I1888">
        <v>21</v>
      </c>
      <c r="J1888" t="s">
        <v>243</v>
      </c>
      <c r="K1888">
        <v>147.01</v>
      </c>
      <c r="L1888">
        <v>1</v>
      </c>
      <c r="M1888">
        <v>147.01</v>
      </c>
      <c r="N1888" t="s">
        <v>64</v>
      </c>
      <c r="O1888" t="s">
        <v>89</v>
      </c>
      <c r="P1888" t="s">
        <v>74</v>
      </c>
    </row>
    <row r="1889" spans="1:16" x14ac:dyDescent="0.25">
      <c r="A1889" t="s">
        <v>2650</v>
      </c>
      <c r="B1889" s="4">
        <v>45935</v>
      </c>
      <c r="C1889" s="2">
        <v>0.65486111111111112</v>
      </c>
      <c r="D1889" t="s">
        <v>16</v>
      </c>
      <c r="E1889" t="s">
        <v>220</v>
      </c>
      <c r="G1889">
        <v>1985</v>
      </c>
      <c r="H1889">
        <v>12</v>
      </c>
      <c r="I1889">
        <v>16</v>
      </c>
      <c r="J1889" t="s">
        <v>36</v>
      </c>
      <c r="K1889">
        <v>111.44</v>
      </c>
      <c r="L1889">
        <v>2</v>
      </c>
      <c r="M1889">
        <v>222.88</v>
      </c>
      <c r="N1889" t="s">
        <v>54</v>
      </c>
      <c r="O1889" t="s">
        <v>61</v>
      </c>
      <c r="P1889" t="s">
        <v>56</v>
      </c>
    </row>
    <row r="1890" spans="1:16" x14ac:dyDescent="0.25">
      <c r="A1890" t="s">
        <v>2651</v>
      </c>
      <c r="B1890" s="4">
        <v>45629</v>
      </c>
      <c r="C1890" s="3">
        <v>0.49982638888888886</v>
      </c>
      <c r="D1890" t="s">
        <v>16</v>
      </c>
      <c r="E1890" t="s">
        <v>652</v>
      </c>
      <c r="F1890" s="1"/>
      <c r="G1890">
        <v>1989</v>
      </c>
      <c r="H1890">
        <v>10</v>
      </c>
      <c r="I1890">
        <v>21</v>
      </c>
      <c r="J1890" t="s">
        <v>104</v>
      </c>
      <c r="K1890">
        <v>226.37</v>
      </c>
      <c r="L1890">
        <v>3</v>
      </c>
      <c r="M1890" t="s">
        <v>2652</v>
      </c>
      <c r="N1890" t="s">
        <v>19</v>
      </c>
      <c r="O1890" t="s">
        <v>37</v>
      </c>
      <c r="P1890" t="s">
        <v>74</v>
      </c>
    </row>
    <row r="1891" spans="1:16" x14ac:dyDescent="0.25">
      <c r="A1891" t="s">
        <v>2653</v>
      </c>
      <c r="B1891" s="4">
        <v>45876</v>
      </c>
      <c r="C1891" s="5">
        <v>0.65833333333333333</v>
      </c>
      <c r="D1891" t="s">
        <v>16</v>
      </c>
      <c r="E1891" t="s">
        <v>225</v>
      </c>
      <c r="F1891" s="4"/>
      <c r="G1891">
        <v>1993</v>
      </c>
      <c r="H1891">
        <v>11</v>
      </c>
      <c r="I1891">
        <v>3</v>
      </c>
      <c r="J1891" t="s">
        <v>129</v>
      </c>
      <c r="K1891">
        <v>165.25</v>
      </c>
      <c r="L1891">
        <v>1</v>
      </c>
      <c r="M1891">
        <v>165.25</v>
      </c>
      <c r="O1891" t="s">
        <v>26</v>
      </c>
      <c r="P1891" t="s">
        <v>105</v>
      </c>
    </row>
    <row r="1892" spans="1:16" x14ac:dyDescent="0.25">
      <c r="A1892" t="s">
        <v>2654</v>
      </c>
      <c r="B1892" s="4">
        <v>45971</v>
      </c>
      <c r="C1892" s="5">
        <v>0.52152777777777781</v>
      </c>
      <c r="D1892" t="s">
        <v>16</v>
      </c>
      <c r="E1892" t="s">
        <v>640</v>
      </c>
      <c r="F1892" s="4"/>
      <c r="G1892">
        <v>1998</v>
      </c>
      <c r="H1892">
        <v>6</v>
      </c>
      <c r="I1892">
        <v>20</v>
      </c>
      <c r="J1892" t="s">
        <v>141</v>
      </c>
      <c r="K1892">
        <v>138.52000000000001</v>
      </c>
      <c r="L1892">
        <v>1</v>
      </c>
      <c r="M1892">
        <v>138.52000000000001</v>
      </c>
      <c r="N1892" t="s">
        <v>19</v>
      </c>
      <c r="O1892" t="s">
        <v>55</v>
      </c>
      <c r="P1892" t="s">
        <v>48</v>
      </c>
    </row>
    <row r="1893" spans="1:16" x14ac:dyDescent="0.25">
      <c r="A1893" t="s">
        <v>2655</v>
      </c>
      <c r="B1893" s="4">
        <v>45819</v>
      </c>
      <c r="C1893" s="2">
        <v>0.9194444444444444</v>
      </c>
      <c r="D1893" t="s">
        <v>16</v>
      </c>
      <c r="E1893" t="s">
        <v>267</v>
      </c>
      <c r="G1893">
        <v>2006</v>
      </c>
      <c r="H1893">
        <v>9</v>
      </c>
      <c r="I1893">
        <v>16</v>
      </c>
      <c r="J1893" t="s">
        <v>141</v>
      </c>
      <c r="K1893">
        <v>129.69999999999999</v>
      </c>
      <c r="L1893">
        <v>1</v>
      </c>
      <c r="M1893">
        <v>129.69999999999999</v>
      </c>
      <c r="O1893" t="s">
        <v>47</v>
      </c>
      <c r="P1893" t="s">
        <v>48</v>
      </c>
    </row>
    <row r="1894" spans="1:16" x14ac:dyDescent="0.25">
      <c r="A1894" t="s">
        <v>2656</v>
      </c>
      <c r="B1894" s="4">
        <v>45669</v>
      </c>
      <c r="C1894" s="5">
        <v>0.63680555555555551</v>
      </c>
      <c r="D1894" t="s">
        <v>16</v>
      </c>
      <c r="E1894" t="s">
        <v>187</v>
      </c>
      <c r="F1894" s="4"/>
      <c r="G1894">
        <v>1977</v>
      </c>
      <c r="H1894">
        <v>11</v>
      </c>
      <c r="I1894">
        <v>18</v>
      </c>
      <c r="J1894" t="s">
        <v>73</v>
      </c>
      <c r="K1894">
        <v>46.97</v>
      </c>
      <c r="L1894">
        <v>2</v>
      </c>
      <c r="M1894" t="s">
        <v>2657</v>
      </c>
      <c r="O1894" t="s">
        <v>37</v>
      </c>
      <c r="P1894" t="s">
        <v>105</v>
      </c>
    </row>
    <row r="1895" spans="1:16" x14ac:dyDescent="0.25">
      <c r="A1895" t="s">
        <v>2658</v>
      </c>
      <c r="B1895" s="1">
        <v>45842</v>
      </c>
      <c r="C1895" s="2">
        <v>0.91388888888888886</v>
      </c>
      <c r="D1895" t="s">
        <v>16</v>
      </c>
      <c r="E1895" t="s">
        <v>548</v>
      </c>
      <c r="J1895" t="s">
        <v>104</v>
      </c>
      <c r="K1895">
        <v>282.48</v>
      </c>
      <c r="L1895">
        <v>2</v>
      </c>
      <c r="M1895">
        <v>564.96</v>
      </c>
      <c r="N1895" t="s">
        <v>19</v>
      </c>
      <c r="O1895" t="s">
        <v>55</v>
      </c>
      <c r="P1895" t="s">
        <v>74</v>
      </c>
    </row>
    <row r="1896" spans="1:16" x14ac:dyDescent="0.25">
      <c r="A1896" t="s">
        <v>2659</v>
      </c>
      <c r="B1896" s="4">
        <v>45842</v>
      </c>
      <c r="C1896" s="5">
        <v>0.49027777777777776</v>
      </c>
      <c r="D1896" t="s">
        <v>16</v>
      </c>
      <c r="E1896" t="s">
        <v>2660</v>
      </c>
      <c r="G1896">
        <v>1991</v>
      </c>
      <c r="H1896">
        <v>12</v>
      </c>
      <c r="I1896">
        <v>12</v>
      </c>
      <c r="J1896" t="s">
        <v>36</v>
      </c>
      <c r="K1896">
        <v>102.81</v>
      </c>
      <c r="L1896">
        <v>1</v>
      </c>
      <c r="M1896">
        <v>102.81</v>
      </c>
      <c r="O1896" t="s">
        <v>37</v>
      </c>
      <c r="P1896" t="s">
        <v>48</v>
      </c>
    </row>
    <row r="1897" spans="1:16" x14ac:dyDescent="0.25">
      <c r="A1897" t="s">
        <v>2661</v>
      </c>
      <c r="B1897" s="4">
        <v>45884</v>
      </c>
      <c r="C1897" s="3">
        <v>0.50760416666666663</v>
      </c>
      <c r="D1897" t="s">
        <v>16</v>
      </c>
      <c r="E1897" t="s">
        <v>383</v>
      </c>
      <c r="G1897">
        <v>1981</v>
      </c>
      <c r="H1897">
        <v>8</v>
      </c>
      <c r="I1897">
        <v>15</v>
      </c>
      <c r="J1897" t="s">
        <v>116</v>
      </c>
      <c r="K1897">
        <v>38.21</v>
      </c>
      <c r="L1897">
        <v>2</v>
      </c>
      <c r="M1897">
        <v>76.42</v>
      </c>
      <c r="N1897" t="s">
        <v>19</v>
      </c>
      <c r="O1897" t="s">
        <v>37</v>
      </c>
      <c r="P1897" t="s">
        <v>105</v>
      </c>
    </row>
    <row r="1898" spans="1:16" x14ac:dyDescent="0.25">
      <c r="A1898" t="s">
        <v>2662</v>
      </c>
      <c r="B1898" s="4">
        <v>45634</v>
      </c>
      <c r="C1898" s="2">
        <v>0.83958333333333335</v>
      </c>
      <c r="D1898" t="s">
        <v>16</v>
      </c>
      <c r="E1898" t="s">
        <v>389</v>
      </c>
      <c r="F1898" s="4"/>
      <c r="G1898">
        <v>1982</v>
      </c>
      <c r="H1898">
        <v>4</v>
      </c>
      <c r="I1898">
        <v>22</v>
      </c>
      <c r="J1898" t="s">
        <v>40</v>
      </c>
      <c r="K1898">
        <v>224.03</v>
      </c>
      <c r="L1898">
        <v>2</v>
      </c>
      <c r="M1898">
        <v>448.06</v>
      </c>
      <c r="N1898" t="s">
        <v>67</v>
      </c>
      <c r="O1898" t="s">
        <v>20</v>
      </c>
      <c r="P1898" t="s">
        <v>56</v>
      </c>
    </row>
    <row r="1899" spans="1:16" x14ac:dyDescent="0.25">
      <c r="A1899" t="s">
        <v>2663</v>
      </c>
      <c r="B1899" s="1">
        <v>45876</v>
      </c>
      <c r="C1899" s="2">
        <v>0.7944444444444444</v>
      </c>
      <c r="D1899" t="s">
        <v>16</v>
      </c>
      <c r="E1899" t="s">
        <v>240</v>
      </c>
      <c r="F1899" s="4"/>
      <c r="G1899">
        <v>1977</v>
      </c>
      <c r="H1899">
        <v>4</v>
      </c>
      <c r="I1899">
        <v>23</v>
      </c>
      <c r="J1899" t="s">
        <v>126</v>
      </c>
      <c r="K1899">
        <v>311.54000000000002</v>
      </c>
      <c r="L1899">
        <v>1</v>
      </c>
      <c r="M1899">
        <v>311.54000000000002</v>
      </c>
      <c r="N1899" t="s">
        <v>31</v>
      </c>
      <c r="O1899" t="s">
        <v>26</v>
      </c>
      <c r="P1899" t="s">
        <v>74</v>
      </c>
    </row>
    <row r="1900" spans="1:16" x14ac:dyDescent="0.25">
      <c r="A1900" t="s">
        <v>2664</v>
      </c>
      <c r="B1900" s="4">
        <v>45831</v>
      </c>
      <c r="C1900" s="2">
        <v>0.97152777777777777</v>
      </c>
      <c r="D1900" t="s">
        <v>16</v>
      </c>
      <c r="E1900" t="s">
        <v>334</v>
      </c>
      <c r="J1900" t="s">
        <v>40</v>
      </c>
      <c r="K1900">
        <v>210.58</v>
      </c>
      <c r="L1900">
        <v>2</v>
      </c>
      <c r="M1900">
        <v>421.16</v>
      </c>
      <c r="O1900" t="s">
        <v>20</v>
      </c>
      <c r="P1900" t="s">
        <v>56</v>
      </c>
    </row>
    <row r="1901" spans="1:16" x14ac:dyDescent="0.25">
      <c r="A1901" t="s">
        <v>2665</v>
      </c>
      <c r="B1901" t="s">
        <v>847</v>
      </c>
      <c r="C1901" s="2">
        <v>0.73819444444444449</v>
      </c>
      <c r="D1901" t="s">
        <v>16</v>
      </c>
      <c r="E1901" t="s">
        <v>76</v>
      </c>
      <c r="G1901">
        <v>1999</v>
      </c>
      <c r="H1901">
        <v>6</v>
      </c>
      <c r="I1901">
        <v>26</v>
      </c>
      <c r="J1901" t="s">
        <v>73</v>
      </c>
      <c r="K1901">
        <v>39.29</v>
      </c>
      <c r="L1901">
        <v>3</v>
      </c>
      <c r="M1901">
        <v>117.87</v>
      </c>
      <c r="N1901" t="s">
        <v>67</v>
      </c>
      <c r="O1901" t="s">
        <v>55</v>
      </c>
      <c r="P1901" t="s">
        <v>48</v>
      </c>
    </row>
    <row r="1902" spans="1:16" x14ac:dyDescent="0.25">
      <c r="A1902" t="s">
        <v>2666</v>
      </c>
      <c r="B1902" s="1">
        <v>45866</v>
      </c>
      <c r="C1902" s="3">
        <v>0.81074074074074076</v>
      </c>
      <c r="D1902" t="s">
        <v>16</v>
      </c>
      <c r="E1902" t="s">
        <v>151</v>
      </c>
      <c r="G1902">
        <v>1980</v>
      </c>
      <c r="H1902">
        <v>5</v>
      </c>
      <c r="I1902">
        <v>19</v>
      </c>
      <c r="J1902" t="s">
        <v>104</v>
      </c>
      <c r="K1902">
        <v>253.47</v>
      </c>
      <c r="L1902">
        <v>1</v>
      </c>
      <c r="M1902">
        <v>253.47</v>
      </c>
      <c r="N1902" t="s">
        <v>19</v>
      </c>
      <c r="O1902" t="s">
        <v>89</v>
      </c>
      <c r="P1902" t="s">
        <v>33</v>
      </c>
    </row>
    <row r="1903" spans="1:16" x14ac:dyDescent="0.25">
      <c r="A1903" t="s">
        <v>2667</v>
      </c>
      <c r="B1903" s="1">
        <v>45859</v>
      </c>
      <c r="C1903" s="5">
        <v>0.8618055555555556</v>
      </c>
      <c r="D1903" t="s">
        <v>16</v>
      </c>
      <c r="E1903" t="s">
        <v>154</v>
      </c>
      <c r="G1903">
        <v>1975</v>
      </c>
      <c r="H1903">
        <v>12</v>
      </c>
      <c r="I1903">
        <v>13</v>
      </c>
      <c r="J1903" t="s">
        <v>85</v>
      </c>
      <c r="K1903">
        <v>44.96</v>
      </c>
      <c r="L1903">
        <v>0</v>
      </c>
      <c r="M1903">
        <v>-39</v>
      </c>
      <c r="N1903" t="s">
        <v>31</v>
      </c>
      <c r="O1903" t="s">
        <v>89</v>
      </c>
      <c r="P1903" t="s">
        <v>48</v>
      </c>
    </row>
    <row r="1904" spans="1:16" x14ac:dyDescent="0.25">
      <c r="A1904" t="s">
        <v>2668</v>
      </c>
      <c r="B1904" s="4">
        <v>45675</v>
      </c>
      <c r="C1904" s="3">
        <v>0.70043981481481477</v>
      </c>
      <c r="D1904" t="s">
        <v>16</v>
      </c>
      <c r="E1904" t="s">
        <v>494</v>
      </c>
      <c r="F1904" s="4"/>
      <c r="G1904">
        <v>1973</v>
      </c>
      <c r="H1904">
        <v>12</v>
      </c>
      <c r="I1904">
        <v>4</v>
      </c>
      <c r="J1904" t="s">
        <v>40</v>
      </c>
      <c r="K1904">
        <v>216.88</v>
      </c>
      <c r="L1904">
        <v>3</v>
      </c>
      <c r="M1904">
        <v>650.64</v>
      </c>
      <c r="N1904" t="s">
        <v>19</v>
      </c>
      <c r="O1904" t="s">
        <v>26</v>
      </c>
    </row>
    <row r="1905" spans="1:16" x14ac:dyDescent="0.25">
      <c r="A1905" t="s">
        <v>2669</v>
      </c>
      <c r="B1905" s="4">
        <v>45764</v>
      </c>
      <c r="C1905" s="3">
        <v>0.58899305555555559</v>
      </c>
      <c r="D1905" t="s">
        <v>16</v>
      </c>
      <c r="E1905" t="s">
        <v>136</v>
      </c>
      <c r="F1905" s="4"/>
      <c r="G1905">
        <v>1980</v>
      </c>
      <c r="H1905">
        <v>3</v>
      </c>
      <c r="I1905">
        <v>17</v>
      </c>
      <c r="J1905" t="s">
        <v>202</v>
      </c>
      <c r="K1905">
        <v>73.2</v>
      </c>
      <c r="L1905">
        <v>3</v>
      </c>
      <c r="M1905">
        <v>219.6</v>
      </c>
      <c r="N1905" t="s">
        <v>25</v>
      </c>
      <c r="O1905" t="s">
        <v>37</v>
      </c>
      <c r="P1905" t="s">
        <v>48</v>
      </c>
    </row>
    <row r="1906" spans="1:16" x14ac:dyDescent="0.25">
      <c r="A1906" t="s">
        <v>2670</v>
      </c>
      <c r="B1906" s="4">
        <v>45822</v>
      </c>
      <c r="C1906" s="2">
        <v>0.96458333333333335</v>
      </c>
      <c r="D1906" t="s">
        <v>16</v>
      </c>
      <c r="E1906" t="s">
        <v>173</v>
      </c>
      <c r="F1906" s="4"/>
      <c r="G1906">
        <v>2010</v>
      </c>
      <c r="H1906">
        <v>8</v>
      </c>
      <c r="I1906">
        <v>6</v>
      </c>
      <c r="J1906" t="s">
        <v>199</v>
      </c>
      <c r="K1906">
        <v>211.82</v>
      </c>
      <c r="L1906">
        <v>2</v>
      </c>
      <c r="M1906">
        <v>423.64</v>
      </c>
      <c r="N1906" t="s">
        <v>64</v>
      </c>
      <c r="O1906" t="s">
        <v>89</v>
      </c>
      <c r="P1906" t="s">
        <v>105</v>
      </c>
    </row>
    <row r="1907" spans="1:16" x14ac:dyDescent="0.25">
      <c r="A1907" t="s">
        <v>2671</v>
      </c>
      <c r="B1907" s="4">
        <v>45815</v>
      </c>
      <c r="C1907" s="2">
        <v>0.57916666666666672</v>
      </c>
      <c r="D1907" t="s">
        <v>16</v>
      </c>
      <c r="E1907" t="s">
        <v>548</v>
      </c>
      <c r="G1907">
        <v>2001</v>
      </c>
      <c r="H1907">
        <v>7</v>
      </c>
      <c r="I1907">
        <v>20</v>
      </c>
      <c r="J1907" t="s">
        <v>164</v>
      </c>
      <c r="K1907">
        <v>362.79</v>
      </c>
      <c r="L1907">
        <v>2</v>
      </c>
      <c r="M1907">
        <v>725.58</v>
      </c>
      <c r="N1907" t="s">
        <v>41</v>
      </c>
      <c r="O1907" t="s">
        <v>47</v>
      </c>
      <c r="P1907" t="s">
        <v>56</v>
      </c>
    </row>
    <row r="1908" spans="1:16" x14ac:dyDescent="0.25">
      <c r="A1908" t="s">
        <v>2672</v>
      </c>
      <c r="B1908" s="4">
        <v>45688</v>
      </c>
      <c r="C1908" s="5">
        <v>0.67013888888888884</v>
      </c>
      <c r="D1908" t="s">
        <v>16</v>
      </c>
      <c r="E1908" t="s">
        <v>237</v>
      </c>
      <c r="G1908">
        <v>2000</v>
      </c>
      <c r="H1908">
        <v>2</v>
      </c>
      <c r="I1908">
        <v>28</v>
      </c>
      <c r="J1908" t="s">
        <v>141</v>
      </c>
      <c r="K1908">
        <v>138.22999999999999</v>
      </c>
      <c r="L1908">
        <v>3</v>
      </c>
      <c r="M1908">
        <v>414.69</v>
      </c>
      <c r="N1908" t="s">
        <v>64</v>
      </c>
      <c r="O1908" t="s">
        <v>20</v>
      </c>
      <c r="P1908" t="s">
        <v>105</v>
      </c>
    </row>
    <row r="1909" spans="1:16" x14ac:dyDescent="0.25">
      <c r="A1909" t="s">
        <v>2673</v>
      </c>
      <c r="B1909" t="s">
        <v>2674</v>
      </c>
      <c r="C1909" s="3">
        <v>0.76498842592592597</v>
      </c>
      <c r="D1909" t="s">
        <v>16</v>
      </c>
      <c r="E1909" t="s">
        <v>98</v>
      </c>
      <c r="F1909" s="4"/>
      <c r="G1909">
        <v>1978</v>
      </c>
      <c r="H1909">
        <v>5</v>
      </c>
      <c r="I1909">
        <v>20</v>
      </c>
      <c r="J1909" t="s">
        <v>202</v>
      </c>
      <c r="K1909">
        <v>314.2</v>
      </c>
      <c r="L1909">
        <v>2</v>
      </c>
      <c r="M1909">
        <v>628.4</v>
      </c>
      <c r="O1909" t="s">
        <v>89</v>
      </c>
      <c r="P1909" t="s">
        <v>27</v>
      </c>
    </row>
    <row r="1910" spans="1:16" x14ac:dyDescent="0.25">
      <c r="A1910" t="s">
        <v>2675</v>
      </c>
      <c r="B1910" s="4">
        <v>45713</v>
      </c>
      <c r="C1910" s="5">
        <v>0.74097222222222225</v>
      </c>
      <c r="D1910" t="s">
        <v>16</v>
      </c>
      <c r="E1910" t="s">
        <v>109</v>
      </c>
      <c r="F1910" s="4"/>
      <c r="G1910">
        <v>2005</v>
      </c>
      <c r="H1910">
        <v>7</v>
      </c>
      <c r="I1910">
        <v>11</v>
      </c>
      <c r="J1910" t="s">
        <v>126</v>
      </c>
      <c r="K1910">
        <v>239.11</v>
      </c>
      <c r="L1910">
        <v>1</v>
      </c>
      <c r="M1910">
        <v>239.11</v>
      </c>
      <c r="N1910" t="s">
        <v>19</v>
      </c>
      <c r="O1910" t="s">
        <v>47</v>
      </c>
      <c r="P1910" t="s">
        <v>27</v>
      </c>
    </row>
    <row r="1911" spans="1:16" x14ac:dyDescent="0.25">
      <c r="A1911" t="s">
        <v>2676</v>
      </c>
      <c r="B1911" s="4">
        <v>45954</v>
      </c>
      <c r="C1911" s="3">
        <v>0.57989583333333339</v>
      </c>
      <c r="D1911" t="s">
        <v>16</v>
      </c>
      <c r="E1911" t="s">
        <v>2677</v>
      </c>
      <c r="F1911" s="4"/>
      <c r="G1911">
        <v>2006</v>
      </c>
      <c r="H1911">
        <v>9</v>
      </c>
      <c r="I1911">
        <v>27</v>
      </c>
      <c r="J1911" t="s">
        <v>116</v>
      </c>
      <c r="K1911">
        <v>156.91</v>
      </c>
      <c r="L1911">
        <v>1</v>
      </c>
      <c r="M1911">
        <v>156.91</v>
      </c>
      <c r="N1911" t="s">
        <v>64</v>
      </c>
      <c r="O1911" t="s">
        <v>55</v>
      </c>
      <c r="P1911" t="s">
        <v>21</v>
      </c>
    </row>
    <row r="1912" spans="1:16" x14ac:dyDescent="0.25">
      <c r="A1912" t="s">
        <v>2678</v>
      </c>
      <c r="B1912" s="4">
        <v>45708</v>
      </c>
      <c r="C1912" s="5">
        <v>0.79791666666666672</v>
      </c>
      <c r="D1912" t="s">
        <v>16</v>
      </c>
      <c r="E1912" t="s">
        <v>2679</v>
      </c>
      <c r="F1912" s="4"/>
      <c r="G1912">
        <v>1988</v>
      </c>
      <c r="H1912">
        <v>6</v>
      </c>
      <c r="I1912">
        <v>16</v>
      </c>
      <c r="J1912" t="s">
        <v>259</v>
      </c>
      <c r="K1912">
        <v>136.35</v>
      </c>
      <c r="L1912">
        <v>1</v>
      </c>
      <c r="M1912">
        <v>136.35</v>
      </c>
      <c r="N1912" t="s">
        <v>31</v>
      </c>
      <c r="O1912" t="s">
        <v>89</v>
      </c>
      <c r="P1912" t="s">
        <v>33</v>
      </c>
    </row>
    <row r="1913" spans="1:16" x14ac:dyDescent="0.25">
      <c r="A1913" t="s">
        <v>2680</v>
      </c>
      <c r="B1913" t="s">
        <v>1144</v>
      </c>
      <c r="C1913" s="5">
        <v>0.75972222222222219</v>
      </c>
      <c r="D1913" t="s">
        <v>16</v>
      </c>
      <c r="E1913" t="s">
        <v>140</v>
      </c>
      <c r="F1913" s="4"/>
      <c r="G1913">
        <v>1983</v>
      </c>
      <c r="H1913">
        <v>4</v>
      </c>
      <c r="I1913">
        <v>18</v>
      </c>
      <c r="J1913" t="s">
        <v>126</v>
      </c>
      <c r="K1913">
        <v>215.07</v>
      </c>
      <c r="L1913">
        <v>2</v>
      </c>
      <c r="M1913">
        <v>430.14</v>
      </c>
      <c r="N1913" t="s">
        <v>64</v>
      </c>
      <c r="O1913" t="s">
        <v>26</v>
      </c>
    </row>
    <row r="1914" spans="1:16" x14ac:dyDescent="0.25">
      <c r="A1914" t="s">
        <v>2681</v>
      </c>
      <c r="B1914" s="4">
        <v>45673</v>
      </c>
      <c r="C1914" s="2">
        <v>0.69722222222222219</v>
      </c>
      <c r="D1914" t="s">
        <v>16</v>
      </c>
      <c r="E1914" t="s">
        <v>389</v>
      </c>
      <c r="G1914">
        <v>2007</v>
      </c>
      <c r="H1914">
        <v>3</v>
      </c>
      <c r="I1914">
        <v>6</v>
      </c>
      <c r="J1914" t="s">
        <v>126</v>
      </c>
      <c r="K1914">
        <v>185.81</v>
      </c>
      <c r="L1914">
        <v>3</v>
      </c>
      <c r="M1914">
        <v>557.42999999999995</v>
      </c>
      <c r="N1914" t="s">
        <v>19</v>
      </c>
      <c r="O1914" t="s">
        <v>55</v>
      </c>
    </row>
    <row r="1915" spans="1:16" x14ac:dyDescent="0.25">
      <c r="A1915" t="s">
        <v>2682</v>
      </c>
      <c r="B1915" s="4">
        <v>45698</v>
      </c>
      <c r="C1915" s="2">
        <v>0.87291666666666667</v>
      </c>
      <c r="D1915" t="s">
        <v>16</v>
      </c>
      <c r="E1915" t="s">
        <v>562</v>
      </c>
      <c r="J1915" t="s">
        <v>45</v>
      </c>
      <c r="K1915">
        <v>252.84</v>
      </c>
      <c r="L1915">
        <v>2</v>
      </c>
      <c r="M1915">
        <v>505.68</v>
      </c>
      <c r="N1915" t="s">
        <v>64</v>
      </c>
      <c r="O1915" t="s">
        <v>89</v>
      </c>
    </row>
    <row r="1916" spans="1:16" x14ac:dyDescent="0.25">
      <c r="A1916" t="s">
        <v>2683</v>
      </c>
      <c r="B1916" s="4">
        <v>45872</v>
      </c>
      <c r="C1916" s="2">
        <v>0.79722222222222228</v>
      </c>
      <c r="D1916" t="s">
        <v>16</v>
      </c>
      <c r="E1916" t="s">
        <v>109</v>
      </c>
      <c r="F1916" s="1"/>
      <c r="G1916">
        <v>1993</v>
      </c>
      <c r="H1916">
        <v>8</v>
      </c>
      <c r="I1916">
        <v>3</v>
      </c>
      <c r="J1916" t="s">
        <v>85</v>
      </c>
      <c r="K1916">
        <v>150.24</v>
      </c>
      <c r="L1916">
        <v>1</v>
      </c>
      <c r="M1916">
        <v>150.24</v>
      </c>
      <c r="N1916" t="s">
        <v>64</v>
      </c>
      <c r="O1916" t="s">
        <v>55</v>
      </c>
      <c r="P1916" t="s">
        <v>56</v>
      </c>
    </row>
    <row r="1917" spans="1:16" x14ac:dyDescent="0.25">
      <c r="A1917" t="s">
        <v>2684</v>
      </c>
      <c r="B1917" s="4">
        <v>45927</v>
      </c>
      <c r="C1917" s="3">
        <v>0.46108796296296295</v>
      </c>
      <c r="D1917" t="s">
        <v>16</v>
      </c>
      <c r="E1917" t="s">
        <v>328</v>
      </c>
      <c r="F1917" s="1"/>
      <c r="G1917">
        <v>1974</v>
      </c>
      <c r="H1917">
        <v>9</v>
      </c>
      <c r="I1917">
        <v>15</v>
      </c>
      <c r="J1917" t="s">
        <v>164</v>
      </c>
      <c r="K1917">
        <v>323.67</v>
      </c>
      <c r="L1917">
        <v>1</v>
      </c>
      <c r="M1917">
        <v>323.67</v>
      </c>
      <c r="O1917" t="s">
        <v>32</v>
      </c>
    </row>
    <row r="1918" spans="1:16" x14ac:dyDescent="0.25">
      <c r="A1918" t="s">
        <v>2685</v>
      </c>
      <c r="B1918" s="4">
        <v>45938</v>
      </c>
      <c r="C1918" s="5">
        <v>0.9145833333333333</v>
      </c>
      <c r="D1918" t="s">
        <v>16</v>
      </c>
      <c r="E1918" t="s">
        <v>66</v>
      </c>
      <c r="F1918" s="1"/>
      <c r="G1918">
        <v>1992</v>
      </c>
      <c r="H1918">
        <v>10</v>
      </c>
      <c r="I1918">
        <v>21</v>
      </c>
      <c r="J1918" t="s">
        <v>45</v>
      </c>
      <c r="K1918">
        <v>343.85</v>
      </c>
      <c r="L1918">
        <v>1</v>
      </c>
      <c r="M1918">
        <v>343.85</v>
      </c>
      <c r="N1918" t="s">
        <v>54</v>
      </c>
      <c r="O1918" t="s">
        <v>32</v>
      </c>
      <c r="P1918" t="s">
        <v>48</v>
      </c>
    </row>
    <row r="1919" spans="1:16" x14ac:dyDescent="0.25">
      <c r="A1919" t="s">
        <v>2686</v>
      </c>
      <c r="B1919" s="1">
        <v>45831</v>
      </c>
      <c r="C1919" s="3">
        <v>0.96009259259259261</v>
      </c>
      <c r="D1919" t="s">
        <v>16</v>
      </c>
      <c r="E1919" t="s">
        <v>79</v>
      </c>
      <c r="G1919">
        <v>1975</v>
      </c>
      <c r="H1919">
        <v>8</v>
      </c>
      <c r="I1919">
        <v>24</v>
      </c>
      <c r="J1919" t="s">
        <v>116</v>
      </c>
      <c r="K1919">
        <v>316.76</v>
      </c>
      <c r="L1919">
        <v>1</v>
      </c>
      <c r="M1919">
        <v>316.76</v>
      </c>
      <c r="N1919" t="s">
        <v>25</v>
      </c>
      <c r="O1919" t="s">
        <v>89</v>
      </c>
      <c r="P1919" t="s">
        <v>21</v>
      </c>
    </row>
    <row r="1920" spans="1:16" x14ac:dyDescent="0.25">
      <c r="A1920" t="s">
        <v>2687</v>
      </c>
      <c r="B1920" s="4">
        <v>45736</v>
      </c>
      <c r="C1920" s="5">
        <v>0.64930555555555558</v>
      </c>
      <c r="D1920" t="s">
        <v>16</v>
      </c>
      <c r="E1920" t="s">
        <v>2677</v>
      </c>
      <c r="G1920">
        <v>2000</v>
      </c>
      <c r="H1920">
        <v>1</v>
      </c>
      <c r="I1920">
        <v>1</v>
      </c>
      <c r="J1920" t="s">
        <v>213</v>
      </c>
      <c r="K1920">
        <v>53.2</v>
      </c>
      <c r="L1920">
        <v>1</v>
      </c>
      <c r="M1920">
        <v>53.2</v>
      </c>
      <c r="N1920" t="s">
        <v>67</v>
      </c>
      <c r="O1920" t="s">
        <v>37</v>
      </c>
    </row>
    <row r="1921" spans="1:16" x14ac:dyDescent="0.25">
      <c r="A1921" t="s">
        <v>2688</v>
      </c>
      <c r="B1921" s="1">
        <v>45818</v>
      </c>
      <c r="C1921" s="3">
        <v>0.47506944444444443</v>
      </c>
      <c r="D1921" t="s">
        <v>16</v>
      </c>
      <c r="E1921" t="s">
        <v>411</v>
      </c>
      <c r="G1921">
        <v>1989</v>
      </c>
      <c r="H1921">
        <v>10</v>
      </c>
      <c r="I1921">
        <v>4</v>
      </c>
      <c r="J1921" t="s">
        <v>40</v>
      </c>
      <c r="K1921">
        <v>209.47</v>
      </c>
      <c r="L1921">
        <v>1</v>
      </c>
      <c r="M1921" t="s">
        <v>2689</v>
      </c>
      <c r="N1921" t="s">
        <v>54</v>
      </c>
      <c r="O1921" t="s">
        <v>32</v>
      </c>
    </row>
    <row r="1922" spans="1:16" x14ac:dyDescent="0.25">
      <c r="A1922" t="s">
        <v>2690</v>
      </c>
      <c r="B1922" s="1">
        <v>45658</v>
      </c>
      <c r="C1922" s="5">
        <v>0.85555555555555551</v>
      </c>
      <c r="D1922" t="s">
        <v>16</v>
      </c>
      <c r="E1922" t="s">
        <v>473</v>
      </c>
      <c r="G1922">
        <v>2008</v>
      </c>
      <c r="H1922">
        <v>3</v>
      </c>
      <c r="I1922">
        <v>12</v>
      </c>
      <c r="J1922" t="s">
        <v>77</v>
      </c>
      <c r="K1922">
        <v>290.33999999999997</v>
      </c>
      <c r="L1922">
        <v>1</v>
      </c>
      <c r="M1922">
        <v>290.33999999999997</v>
      </c>
      <c r="N1922" t="s">
        <v>67</v>
      </c>
      <c r="O1922" t="s">
        <v>20</v>
      </c>
      <c r="P1922" t="s">
        <v>56</v>
      </c>
    </row>
    <row r="1923" spans="1:16" x14ac:dyDescent="0.25">
      <c r="A1923" t="s">
        <v>2691</v>
      </c>
      <c r="B1923" s="1">
        <v>45789</v>
      </c>
      <c r="C1923" s="5">
        <v>0.98750000000000004</v>
      </c>
      <c r="D1923" t="s">
        <v>16</v>
      </c>
      <c r="E1923" t="s">
        <v>2692</v>
      </c>
      <c r="F1923" s="4"/>
      <c r="G1923">
        <v>1982</v>
      </c>
      <c r="H1923">
        <v>9</v>
      </c>
      <c r="I1923">
        <v>23</v>
      </c>
      <c r="J1923" t="s">
        <v>243</v>
      </c>
      <c r="K1923">
        <v>143.63999999999999</v>
      </c>
      <c r="L1923">
        <v>1</v>
      </c>
      <c r="M1923">
        <v>143.63999999999999</v>
      </c>
      <c r="N1923" t="s">
        <v>19</v>
      </c>
      <c r="O1923" t="s">
        <v>89</v>
      </c>
      <c r="P1923" t="s">
        <v>74</v>
      </c>
    </row>
    <row r="1924" spans="1:16" x14ac:dyDescent="0.25">
      <c r="A1924" t="s">
        <v>2693</v>
      </c>
      <c r="B1924" s="4">
        <v>45675</v>
      </c>
      <c r="C1924" s="5">
        <v>0.49027777777777776</v>
      </c>
      <c r="D1924" t="s">
        <v>16</v>
      </c>
      <c r="E1924" t="s">
        <v>101</v>
      </c>
      <c r="J1924" t="s">
        <v>243</v>
      </c>
      <c r="K1924">
        <v>155.29</v>
      </c>
      <c r="L1924">
        <v>1</v>
      </c>
      <c r="M1924">
        <v>155.29</v>
      </c>
      <c r="O1924" t="s">
        <v>47</v>
      </c>
      <c r="P1924" t="s">
        <v>48</v>
      </c>
    </row>
    <row r="1925" spans="1:16" x14ac:dyDescent="0.25">
      <c r="A1925" t="s">
        <v>2694</v>
      </c>
      <c r="B1925" t="s">
        <v>1775</v>
      </c>
      <c r="C1925" s="3">
        <v>0.54937499999999995</v>
      </c>
      <c r="D1925" t="s">
        <v>16</v>
      </c>
      <c r="E1925" t="s">
        <v>92</v>
      </c>
      <c r="F1925" s="1"/>
      <c r="G1925">
        <v>2009</v>
      </c>
      <c r="H1925">
        <v>8</v>
      </c>
      <c r="I1925">
        <v>28</v>
      </c>
      <c r="J1925" t="s">
        <v>104</v>
      </c>
      <c r="K1925">
        <v>311.5</v>
      </c>
      <c r="L1925">
        <v>1</v>
      </c>
      <c r="M1925">
        <v>311.5</v>
      </c>
      <c r="N1925" t="s">
        <v>64</v>
      </c>
      <c r="O1925" t="s">
        <v>26</v>
      </c>
    </row>
    <row r="1926" spans="1:16" x14ac:dyDescent="0.25">
      <c r="A1926" t="s">
        <v>2695</v>
      </c>
      <c r="B1926" s="4">
        <v>45733</v>
      </c>
      <c r="C1926" s="3">
        <v>0.50665509259259256</v>
      </c>
      <c r="D1926" t="s">
        <v>16</v>
      </c>
      <c r="E1926" t="s">
        <v>2696</v>
      </c>
      <c r="F1926" s="4"/>
      <c r="G1926">
        <v>2007</v>
      </c>
      <c r="H1926">
        <v>8</v>
      </c>
      <c r="I1926">
        <v>12</v>
      </c>
      <c r="J1926" t="s">
        <v>18</v>
      </c>
      <c r="K1926">
        <v>85.86</v>
      </c>
      <c r="L1926">
        <v>1</v>
      </c>
      <c r="M1926">
        <v>85.86</v>
      </c>
      <c r="N1926" t="s">
        <v>25</v>
      </c>
      <c r="O1926" t="s">
        <v>26</v>
      </c>
      <c r="P1926" t="s">
        <v>74</v>
      </c>
    </row>
    <row r="1927" spans="1:16" x14ac:dyDescent="0.25">
      <c r="A1927" t="s">
        <v>2697</v>
      </c>
      <c r="B1927" s="1">
        <v>45736</v>
      </c>
      <c r="C1927" s="2">
        <v>0.60486111111111107</v>
      </c>
      <c r="D1927" t="s">
        <v>16</v>
      </c>
      <c r="E1927" t="s">
        <v>161</v>
      </c>
      <c r="J1927" t="s">
        <v>40</v>
      </c>
      <c r="K1927">
        <v>223.44</v>
      </c>
      <c r="L1927">
        <v>1</v>
      </c>
      <c r="M1927">
        <v>223.44</v>
      </c>
      <c r="N1927" t="s">
        <v>25</v>
      </c>
      <c r="O1927" t="s">
        <v>47</v>
      </c>
      <c r="P1927" t="s">
        <v>48</v>
      </c>
    </row>
    <row r="1928" spans="1:16" x14ac:dyDescent="0.25">
      <c r="A1928" t="s">
        <v>2698</v>
      </c>
      <c r="B1928" s="4">
        <v>45936</v>
      </c>
      <c r="C1928" s="2">
        <v>0.6645833333333333</v>
      </c>
      <c r="D1928" t="s">
        <v>16</v>
      </c>
      <c r="E1928" t="s">
        <v>377</v>
      </c>
      <c r="G1928">
        <v>1988</v>
      </c>
      <c r="H1928">
        <v>5</v>
      </c>
      <c r="I1928">
        <v>8</v>
      </c>
      <c r="J1928" t="s">
        <v>202</v>
      </c>
      <c r="L1928">
        <v>1</v>
      </c>
      <c r="N1928" t="s">
        <v>67</v>
      </c>
      <c r="O1928" t="s">
        <v>26</v>
      </c>
      <c r="P1928" t="s">
        <v>21</v>
      </c>
    </row>
    <row r="1929" spans="1:16" x14ac:dyDescent="0.25">
      <c r="A1929" t="s">
        <v>2699</v>
      </c>
      <c r="B1929" s="4">
        <v>45676</v>
      </c>
      <c r="C1929" s="2">
        <v>0.72361111111111109</v>
      </c>
      <c r="D1929" t="s">
        <v>16</v>
      </c>
      <c r="E1929" t="s">
        <v>240</v>
      </c>
      <c r="F1929" s="4"/>
      <c r="G1929">
        <v>1996</v>
      </c>
      <c r="H1929">
        <v>4</v>
      </c>
      <c r="I1929">
        <v>9</v>
      </c>
      <c r="J1929" t="s">
        <v>129</v>
      </c>
      <c r="K1929">
        <v>161.06</v>
      </c>
      <c r="L1929">
        <v>3</v>
      </c>
      <c r="M1929">
        <v>483.18</v>
      </c>
      <c r="N1929" t="s">
        <v>41</v>
      </c>
      <c r="O1929" t="s">
        <v>26</v>
      </c>
      <c r="P1929" t="s">
        <v>74</v>
      </c>
    </row>
    <row r="1930" spans="1:16" x14ac:dyDescent="0.25">
      <c r="A1930" t="s">
        <v>2700</v>
      </c>
      <c r="B1930" t="s">
        <v>482</v>
      </c>
      <c r="C1930" s="3">
        <v>0.83723379629629635</v>
      </c>
      <c r="D1930" t="s">
        <v>16</v>
      </c>
      <c r="E1930" t="s">
        <v>256</v>
      </c>
      <c r="F1930" s="4"/>
      <c r="G1930">
        <v>2001</v>
      </c>
      <c r="H1930">
        <v>4</v>
      </c>
      <c r="I1930">
        <v>26</v>
      </c>
      <c r="J1930" t="s">
        <v>40</v>
      </c>
      <c r="K1930">
        <v>182.17</v>
      </c>
      <c r="L1930">
        <v>3</v>
      </c>
      <c r="M1930">
        <v>546.51</v>
      </c>
      <c r="N1930" t="s">
        <v>41</v>
      </c>
      <c r="O1930" t="s">
        <v>47</v>
      </c>
    </row>
    <row r="1931" spans="1:16" x14ac:dyDescent="0.25">
      <c r="A1931" t="s">
        <v>2701</v>
      </c>
      <c r="B1931" s="4">
        <v>45731</v>
      </c>
      <c r="C1931" s="2">
        <v>0.7104166666666667</v>
      </c>
      <c r="D1931" t="s">
        <v>16</v>
      </c>
      <c r="E1931" t="s">
        <v>330</v>
      </c>
      <c r="G1931">
        <v>1988</v>
      </c>
      <c r="H1931">
        <v>1</v>
      </c>
      <c r="I1931">
        <v>6</v>
      </c>
      <c r="J1931" t="s">
        <v>45</v>
      </c>
      <c r="K1931">
        <v>111.02</v>
      </c>
      <c r="L1931">
        <v>3</v>
      </c>
      <c r="M1931">
        <v>333.06</v>
      </c>
      <c r="N1931" t="s">
        <v>19</v>
      </c>
      <c r="O1931" t="s">
        <v>89</v>
      </c>
      <c r="P1931" t="s">
        <v>33</v>
      </c>
    </row>
    <row r="1932" spans="1:16" x14ac:dyDescent="0.25">
      <c r="A1932" t="s">
        <v>2702</v>
      </c>
      <c r="B1932" s="4">
        <v>45954</v>
      </c>
      <c r="C1932" s="2">
        <v>0.71805555555555556</v>
      </c>
      <c r="D1932" t="s">
        <v>16</v>
      </c>
      <c r="E1932" t="s">
        <v>923</v>
      </c>
      <c r="F1932" s="4"/>
      <c r="G1932">
        <v>1987</v>
      </c>
      <c r="H1932">
        <v>8</v>
      </c>
      <c r="I1932">
        <v>3</v>
      </c>
      <c r="J1932" t="s">
        <v>259</v>
      </c>
      <c r="K1932">
        <v>315.20999999999998</v>
      </c>
      <c r="L1932">
        <v>1</v>
      </c>
      <c r="M1932">
        <v>315.20999999999998</v>
      </c>
      <c r="O1932" t="s">
        <v>47</v>
      </c>
      <c r="P1932" t="s">
        <v>33</v>
      </c>
    </row>
    <row r="1933" spans="1:16" x14ac:dyDescent="0.25">
      <c r="A1933" t="s">
        <v>2703</v>
      </c>
      <c r="B1933" s="1">
        <v>45858</v>
      </c>
      <c r="C1933" s="2">
        <v>0.64027777777777772</v>
      </c>
      <c r="D1933" t="s">
        <v>16</v>
      </c>
      <c r="E1933" t="s">
        <v>95</v>
      </c>
      <c r="F1933" s="4"/>
      <c r="G1933">
        <v>1986</v>
      </c>
      <c r="H1933">
        <v>2</v>
      </c>
      <c r="I1933">
        <v>28</v>
      </c>
      <c r="J1933" t="s">
        <v>259</v>
      </c>
      <c r="K1933">
        <v>108.61</v>
      </c>
      <c r="L1933">
        <v>2</v>
      </c>
      <c r="M1933">
        <v>217.22</v>
      </c>
      <c r="N1933" t="s">
        <v>64</v>
      </c>
      <c r="O1933" t="s">
        <v>26</v>
      </c>
      <c r="P1933" t="s">
        <v>48</v>
      </c>
    </row>
    <row r="1934" spans="1:16" x14ac:dyDescent="0.25">
      <c r="A1934" t="s">
        <v>2704</v>
      </c>
      <c r="B1934" s="4">
        <v>45671</v>
      </c>
      <c r="C1934" s="3">
        <v>0.93630787037037033</v>
      </c>
      <c r="D1934" t="s">
        <v>16</v>
      </c>
      <c r="E1934" t="s">
        <v>1427</v>
      </c>
      <c r="G1934">
        <v>1991</v>
      </c>
      <c r="H1934">
        <v>12</v>
      </c>
      <c r="I1934">
        <v>12</v>
      </c>
      <c r="J1934" t="s">
        <v>73</v>
      </c>
      <c r="K1934">
        <v>53.41</v>
      </c>
      <c r="L1934">
        <v>2</v>
      </c>
      <c r="M1934">
        <v>106.82</v>
      </c>
      <c r="N1934" t="s">
        <v>19</v>
      </c>
      <c r="O1934" t="s">
        <v>37</v>
      </c>
      <c r="P1934" t="s">
        <v>21</v>
      </c>
    </row>
    <row r="1935" spans="1:16" x14ac:dyDescent="0.25">
      <c r="A1935" t="s">
        <v>2705</v>
      </c>
      <c r="B1935" s="4">
        <v>45766</v>
      </c>
      <c r="C1935" s="5">
        <v>0.7104166666666667</v>
      </c>
      <c r="D1935" t="s">
        <v>16</v>
      </c>
      <c r="E1935" t="s">
        <v>332</v>
      </c>
      <c r="F1935" s="4"/>
      <c r="G1935">
        <v>1986</v>
      </c>
      <c r="H1935">
        <v>3</v>
      </c>
      <c r="I1935">
        <v>25</v>
      </c>
      <c r="J1935" t="s">
        <v>164</v>
      </c>
      <c r="K1935">
        <v>240.46</v>
      </c>
      <c r="L1935">
        <v>3</v>
      </c>
      <c r="M1935">
        <v>721.38</v>
      </c>
      <c r="N1935" t="s">
        <v>67</v>
      </c>
      <c r="O1935" t="s">
        <v>32</v>
      </c>
      <c r="P1935" t="s">
        <v>27</v>
      </c>
    </row>
    <row r="1936" spans="1:16" x14ac:dyDescent="0.25">
      <c r="A1936" t="s">
        <v>2706</v>
      </c>
      <c r="B1936" s="4">
        <v>45667</v>
      </c>
      <c r="C1936" s="2">
        <v>0.58472222222222225</v>
      </c>
      <c r="D1936" t="s">
        <v>16</v>
      </c>
      <c r="E1936" t="s">
        <v>50</v>
      </c>
      <c r="F1936" s="1"/>
      <c r="G1936">
        <v>2009</v>
      </c>
      <c r="H1936">
        <v>4</v>
      </c>
      <c r="I1936">
        <v>25</v>
      </c>
      <c r="J1936" t="s">
        <v>110</v>
      </c>
      <c r="K1936">
        <v>113.77</v>
      </c>
      <c r="L1936">
        <v>2</v>
      </c>
      <c r="M1936">
        <v>227.54</v>
      </c>
      <c r="N1936" t="s">
        <v>64</v>
      </c>
      <c r="O1936" t="s">
        <v>89</v>
      </c>
      <c r="P1936" t="s">
        <v>27</v>
      </c>
    </row>
    <row r="1937" spans="1:16" x14ac:dyDescent="0.25">
      <c r="A1937" t="s">
        <v>2707</v>
      </c>
      <c r="B1937" s="4">
        <v>45977</v>
      </c>
      <c r="C1937" s="5">
        <v>0.97638888888888886</v>
      </c>
      <c r="D1937" t="s">
        <v>16</v>
      </c>
      <c r="E1937" t="s">
        <v>237</v>
      </c>
      <c r="F1937" s="1"/>
      <c r="G1937">
        <v>1980</v>
      </c>
      <c r="H1937">
        <v>7</v>
      </c>
      <c r="I1937">
        <v>24</v>
      </c>
      <c r="J1937" t="s">
        <v>53</v>
      </c>
      <c r="K1937">
        <v>100.77</v>
      </c>
      <c r="L1937">
        <v>2</v>
      </c>
      <c r="M1937">
        <v>201.54</v>
      </c>
      <c r="N1937" t="s">
        <v>25</v>
      </c>
      <c r="O1937" t="s">
        <v>89</v>
      </c>
    </row>
    <row r="1938" spans="1:16" x14ac:dyDescent="0.25">
      <c r="A1938" t="s">
        <v>2708</v>
      </c>
      <c r="B1938" s="4">
        <v>45862</v>
      </c>
      <c r="C1938" s="5">
        <v>0.92847222222222225</v>
      </c>
      <c r="D1938" t="s">
        <v>16</v>
      </c>
      <c r="E1938" t="s">
        <v>425</v>
      </c>
      <c r="G1938">
        <v>1999</v>
      </c>
      <c r="H1938">
        <v>10</v>
      </c>
      <c r="I1938">
        <v>4</v>
      </c>
      <c r="J1938" t="s">
        <v>18</v>
      </c>
      <c r="K1938">
        <v>95.02</v>
      </c>
      <c r="L1938">
        <v>1</v>
      </c>
      <c r="M1938">
        <v>95.02</v>
      </c>
      <c r="N1938" t="s">
        <v>19</v>
      </c>
      <c r="O1938" t="s">
        <v>61</v>
      </c>
    </row>
    <row r="1939" spans="1:16" x14ac:dyDescent="0.25">
      <c r="A1939" t="s">
        <v>2709</v>
      </c>
      <c r="B1939" s="1">
        <v>45868</v>
      </c>
      <c r="C1939" s="2">
        <v>0.97638888888888886</v>
      </c>
      <c r="D1939" t="s">
        <v>16</v>
      </c>
      <c r="E1939" t="s">
        <v>458</v>
      </c>
      <c r="F1939" s="1"/>
      <c r="G1939">
        <v>2005</v>
      </c>
      <c r="H1939">
        <v>2</v>
      </c>
      <c r="I1939">
        <v>24</v>
      </c>
      <c r="J1939" t="s">
        <v>243</v>
      </c>
      <c r="K1939">
        <v>121.19</v>
      </c>
      <c r="L1939">
        <v>2</v>
      </c>
      <c r="M1939">
        <v>242.38</v>
      </c>
      <c r="N1939" t="s">
        <v>31</v>
      </c>
      <c r="O1939" t="s">
        <v>32</v>
      </c>
      <c r="P1939" t="s">
        <v>105</v>
      </c>
    </row>
    <row r="1940" spans="1:16" x14ac:dyDescent="0.25">
      <c r="A1940" t="s">
        <v>2710</v>
      </c>
      <c r="B1940" t="s">
        <v>1146</v>
      </c>
      <c r="C1940" s="3">
        <v>0.82171296296296292</v>
      </c>
      <c r="D1940" t="s">
        <v>16</v>
      </c>
      <c r="E1940" t="s">
        <v>79</v>
      </c>
      <c r="F1940" s="4"/>
      <c r="G1940">
        <v>1995</v>
      </c>
      <c r="H1940">
        <v>11</v>
      </c>
      <c r="I1940">
        <v>4</v>
      </c>
      <c r="J1940" t="s">
        <v>45</v>
      </c>
      <c r="K1940">
        <v>94.94</v>
      </c>
      <c r="L1940">
        <v>2</v>
      </c>
      <c r="M1940">
        <v>189.88</v>
      </c>
      <c r="N1940" t="s">
        <v>31</v>
      </c>
      <c r="O1940" t="s">
        <v>47</v>
      </c>
      <c r="P1940" t="s">
        <v>74</v>
      </c>
    </row>
    <row r="1941" spans="1:16" x14ac:dyDescent="0.25">
      <c r="A1941" t="s">
        <v>2711</v>
      </c>
      <c r="B1941" s="1">
        <v>45814</v>
      </c>
      <c r="C1941" s="3">
        <v>0.5210069444444444</v>
      </c>
      <c r="D1941" t="s">
        <v>16</v>
      </c>
      <c r="E1941" t="s">
        <v>66</v>
      </c>
      <c r="J1941" t="s">
        <v>45</v>
      </c>
      <c r="K1941">
        <v>162.71</v>
      </c>
      <c r="L1941">
        <v>1</v>
      </c>
      <c r="M1941">
        <v>162.71</v>
      </c>
      <c r="N1941" t="s">
        <v>54</v>
      </c>
      <c r="O1941" t="s">
        <v>61</v>
      </c>
      <c r="P1941" t="s">
        <v>105</v>
      </c>
    </row>
    <row r="1942" spans="1:16" x14ac:dyDescent="0.25">
      <c r="A1942" t="s">
        <v>2712</v>
      </c>
      <c r="B1942" t="s">
        <v>1655</v>
      </c>
      <c r="C1942" s="5">
        <v>0.49861111111111112</v>
      </c>
      <c r="D1942" t="s">
        <v>16</v>
      </c>
      <c r="E1942" t="s">
        <v>222</v>
      </c>
      <c r="J1942" t="s">
        <v>45</v>
      </c>
      <c r="K1942">
        <v>175.03</v>
      </c>
      <c r="L1942">
        <v>2</v>
      </c>
      <c r="M1942">
        <v>350.06</v>
      </c>
      <c r="N1942" t="s">
        <v>64</v>
      </c>
      <c r="O1942" t="s">
        <v>20</v>
      </c>
      <c r="P1942" t="s">
        <v>74</v>
      </c>
    </row>
    <row r="1943" spans="1:16" x14ac:dyDescent="0.25">
      <c r="A1943" t="s">
        <v>2713</v>
      </c>
      <c r="B1943" t="s">
        <v>791</v>
      </c>
      <c r="C1943" s="5">
        <v>0.64652777777777781</v>
      </c>
      <c r="D1943" t="s">
        <v>16</v>
      </c>
      <c r="E1943" t="s">
        <v>330</v>
      </c>
      <c r="F1943" s="4"/>
      <c r="G1943">
        <v>1982</v>
      </c>
      <c r="H1943">
        <v>10</v>
      </c>
      <c r="I1943">
        <v>6</v>
      </c>
      <c r="J1943" t="s">
        <v>178</v>
      </c>
      <c r="K1943">
        <v>321.8</v>
      </c>
      <c r="L1943">
        <v>2</v>
      </c>
      <c r="M1943">
        <v>643.6</v>
      </c>
      <c r="N1943" t="s">
        <v>64</v>
      </c>
      <c r="O1943" t="s">
        <v>89</v>
      </c>
      <c r="P1943" t="s">
        <v>105</v>
      </c>
    </row>
    <row r="1944" spans="1:16" x14ac:dyDescent="0.25">
      <c r="A1944" t="s">
        <v>2714</v>
      </c>
      <c r="B1944" t="s">
        <v>2715</v>
      </c>
      <c r="C1944" s="3">
        <v>0.44921296296296298</v>
      </c>
      <c r="D1944" t="s">
        <v>16</v>
      </c>
      <c r="E1944" t="s">
        <v>166</v>
      </c>
      <c r="F1944" s="1"/>
      <c r="G1944">
        <v>1978</v>
      </c>
      <c r="H1944">
        <v>7</v>
      </c>
      <c r="I1944">
        <v>9</v>
      </c>
      <c r="J1944" t="s">
        <v>243</v>
      </c>
      <c r="K1944">
        <v>151.01</v>
      </c>
      <c r="L1944">
        <v>2</v>
      </c>
      <c r="M1944">
        <v>302.02</v>
      </c>
      <c r="N1944" t="s">
        <v>19</v>
      </c>
      <c r="O1944" t="s">
        <v>55</v>
      </c>
      <c r="P1944" t="s">
        <v>105</v>
      </c>
    </row>
    <row r="1945" spans="1:16" x14ac:dyDescent="0.25">
      <c r="A1945" t="s">
        <v>2716</v>
      </c>
      <c r="B1945" t="s">
        <v>1283</v>
      </c>
      <c r="C1945" s="2">
        <v>0.72569444444444442</v>
      </c>
      <c r="D1945" t="s">
        <v>16</v>
      </c>
      <c r="E1945" t="s">
        <v>2717</v>
      </c>
      <c r="F1945" s="4"/>
      <c r="G1945">
        <v>1985</v>
      </c>
      <c r="H1945">
        <v>12</v>
      </c>
      <c r="I1945">
        <v>23</v>
      </c>
      <c r="J1945" t="s">
        <v>129</v>
      </c>
      <c r="K1945">
        <v>169.57</v>
      </c>
      <c r="L1945">
        <v>2</v>
      </c>
      <c r="M1945">
        <v>339.14</v>
      </c>
      <c r="N1945" t="s">
        <v>41</v>
      </c>
      <c r="O1945" t="s">
        <v>55</v>
      </c>
      <c r="P1945" t="s">
        <v>27</v>
      </c>
    </row>
    <row r="1946" spans="1:16" x14ac:dyDescent="0.25">
      <c r="A1946" t="s">
        <v>2718</v>
      </c>
      <c r="B1946" s="4">
        <v>45801</v>
      </c>
      <c r="C1946" s="5">
        <v>0.80277777777777781</v>
      </c>
      <c r="D1946" t="s">
        <v>16</v>
      </c>
      <c r="E1946" t="s">
        <v>699</v>
      </c>
      <c r="F1946" s="4"/>
      <c r="G1946">
        <v>1992</v>
      </c>
      <c r="H1946">
        <v>3</v>
      </c>
      <c r="I1946">
        <v>11</v>
      </c>
      <c r="J1946" t="s">
        <v>73</v>
      </c>
      <c r="K1946">
        <v>42.06</v>
      </c>
      <c r="L1946">
        <v>3</v>
      </c>
      <c r="M1946">
        <v>126.18</v>
      </c>
      <c r="O1946" t="s">
        <v>37</v>
      </c>
      <c r="P1946" t="s">
        <v>105</v>
      </c>
    </row>
    <row r="1947" spans="1:16" x14ac:dyDescent="0.25">
      <c r="A1947" t="s">
        <v>2719</v>
      </c>
      <c r="B1947" s="4">
        <v>45956</v>
      </c>
      <c r="C1947" s="5">
        <v>0.61388888888888893</v>
      </c>
      <c r="D1947" t="s">
        <v>16</v>
      </c>
      <c r="E1947" t="s">
        <v>882</v>
      </c>
      <c r="F1947" s="4"/>
      <c r="G1947">
        <v>2002</v>
      </c>
      <c r="H1947">
        <v>9</v>
      </c>
      <c r="I1947">
        <v>12</v>
      </c>
      <c r="J1947" t="s">
        <v>73</v>
      </c>
      <c r="K1947">
        <v>47.95</v>
      </c>
      <c r="L1947">
        <v>1</v>
      </c>
      <c r="M1947">
        <v>47.95</v>
      </c>
      <c r="O1947" t="s">
        <v>26</v>
      </c>
      <c r="P1947" t="s">
        <v>21</v>
      </c>
    </row>
    <row r="1948" spans="1:16" x14ac:dyDescent="0.25">
      <c r="A1948" t="s">
        <v>2720</v>
      </c>
      <c r="B1948" s="1">
        <v>45731</v>
      </c>
      <c r="C1948" s="5">
        <v>0.69027777777777777</v>
      </c>
      <c r="D1948" t="s">
        <v>16</v>
      </c>
      <c r="E1948" t="s">
        <v>191</v>
      </c>
      <c r="F1948" s="1"/>
      <c r="G1948">
        <v>1990</v>
      </c>
      <c r="H1948">
        <v>9</v>
      </c>
      <c r="I1948">
        <v>1</v>
      </c>
      <c r="J1948" t="s">
        <v>77</v>
      </c>
      <c r="K1948">
        <v>82.67</v>
      </c>
      <c r="L1948">
        <v>3</v>
      </c>
      <c r="M1948">
        <v>248.01</v>
      </c>
      <c r="N1948" t="s">
        <v>25</v>
      </c>
      <c r="O1948" t="s">
        <v>37</v>
      </c>
    </row>
    <row r="1949" spans="1:16" x14ac:dyDescent="0.25">
      <c r="A1949" t="s">
        <v>2721</v>
      </c>
      <c r="B1949" s="4">
        <v>45945</v>
      </c>
      <c r="C1949" s="3">
        <v>0.82496527777777773</v>
      </c>
      <c r="D1949" t="s">
        <v>16</v>
      </c>
      <c r="E1949" t="s">
        <v>101</v>
      </c>
      <c r="F1949" s="1"/>
      <c r="G1949">
        <v>1970</v>
      </c>
      <c r="H1949">
        <v>1</v>
      </c>
      <c r="I1949">
        <v>9</v>
      </c>
      <c r="J1949" t="s">
        <v>259</v>
      </c>
      <c r="K1949">
        <v>195.6</v>
      </c>
      <c r="L1949">
        <v>1</v>
      </c>
      <c r="M1949">
        <v>195.6</v>
      </c>
      <c r="N1949" t="s">
        <v>54</v>
      </c>
      <c r="O1949" t="s">
        <v>20</v>
      </c>
      <c r="P1949" t="s">
        <v>56</v>
      </c>
    </row>
    <row r="1950" spans="1:16" x14ac:dyDescent="0.25">
      <c r="A1950" t="s">
        <v>2722</v>
      </c>
      <c r="B1950" s="4">
        <v>45896</v>
      </c>
      <c r="C1950" s="3">
        <v>0.55318287037037039</v>
      </c>
      <c r="D1950" t="s">
        <v>16</v>
      </c>
      <c r="E1950" t="s">
        <v>23</v>
      </c>
      <c r="F1950" s="1"/>
      <c r="G1950">
        <v>1980</v>
      </c>
      <c r="H1950">
        <v>2</v>
      </c>
      <c r="I1950">
        <v>3</v>
      </c>
      <c r="J1950" t="s">
        <v>18</v>
      </c>
      <c r="K1950">
        <v>78.760000000000005</v>
      </c>
      <c r="L1950">
        <v>1</v>
      </c>
      <c r="M1950">
        <v>78.760000000000005</v>
      </c>
      <c r="N1950" t="s">
        <v>67</v>
      </c>
      <c r="O1950" t="s">
        <v>37</v>
      </c>
      <c r="P1950" t="s">
        <v>21</v>
      </c>
    </row>
    <row r="1951" spans="1:16" x14ac:dyDescent="0.25">
      <c r="A1951" t="s">
        <v>2723</v>
      </c>
      <c r="B1951" s="4">
        <v>45914</v>
      </c>
      <c r="C1951" s="2">
        <v>0.60416666666666663</v>
      </c>
      <c r="D1951" t="s">
        <v>16</v>
      </c>
      <c r="E1951" t="s">
        <v>131</v>
      </c>
      <c r="F1951" s="1"/>
      <c r="G1951">
        <v>1973</v>
      </c>
      <c r="H1951">
        <v>4</v>
      </c>
      <c r="I1951">
        <v>11</v>
      </c>
      <c r="J1951" t="s">
        <v>145</v>
      </c>
      <c r="K1951">
        <v>163.52000000000001</v>
      </c>
      <c r="L1951">
        <v>2</v>
      </c>
      <c r="M1951">
        <v>327.04000000000002</v>
      </c>
      <c r="N1951" t="s">
        <v>41</v>
      </c>
      <c r="O1951" t="s">
        <v>20</v>
      </c>
      <c r="P1951" t="s">
        <v>33</v>
      </c>
    </row>
    <row r="1952" spans="1:16" x14ac:dyDescent="0.25">
      <c r="A1952" t="s">
        <v>2724</v>
      </c>
      <c r="C1952" s="5">
        <v>0.99583333333333335</v>
      </c>
      <c r="D1952" t="s">
        <v>16</v>
      </c>
      <c r="E1952" t="s">
        <v>473</v>
      </c>
      <c r="F1952" s="4"/>
      <c r="G1952">
        <v>2007</v>
      </c>
      <c r="H1952">
        <v>3</v>
      </c>
      <c r="I1952">
        <v>5</v>
      </c>
      <c r="J1952" t="s">
        <v>30</v>
      </c>
      <c r="K1952" t="s">
        <v>2725</v>
      </c>
      <c r="L1952">
        <v>1</v>
      </c>
      <c r="M1952">
        <v>308.02</v>
      </c>
      <c r="N1952" t="s">
        <v>31</v>
      </c>
      <c r="O1952" t="s">
        <v>55</v>
      </c>
    </row>
    <row r="1953" spans="1:16" x14ac:dyDescent="0.25">
      <c r="A1953" t="s">
        <v>2726</v>
      </c>
      <c r="B1953" s="4">
        <v>45701</v>
      </c>
      <c r="C1953" s="2">
        <v>0.43472222222222223</v>
      </c>
      <c r="D1953" t="s">
        <v>16</v>
      </c>
      <c r="E1953" t="s">
        <v>307</v>
      </c>
      <c r="G1953">
        <v>1978</v>
      </c>
      <c r="H1953">
        <v>10</v>
      </c>
      <c r="I1953">
        <v>12</v>
      </c>
      <c r="J1953" t="s">
        <v>129</v>
      </c>
      <c r="K1953">
        <v>187.42</v>
      </c>
      <c r="L1953">
        <v>2</v>
      </c>
      <c r="M1953">
        <v>374.84</v>
      </c>
      <c r="N1953" t="s">
        <v>25</v>
      </c>
      <c r="O1953" t="s">
        <v>61</v>
      </c>
      <c r="P1953" t="s">
        <v>74</v>
      </c>
    </row>
    <row r="1954" spans="1:16" x14ac:dyDescent="0.25">
      <c r="A1954" t="s">
        <v>2727</v>
      </c>
      <c r="B1954" s="4">
        <v>45802</v>
      </c>
      <c r="C1954" s="5">
        <v>0.5229166666666667</v>
      </c>
      <c r="D1954" t="s">
        <v>16</v>
      </c>
      <c r="E1954" t="s">
        <v>107</v>
      </c>
      <c r="F1954" s="4"/>
      <c r="G1954">
        <v>1990</v>
      </c>
      <c r="H1954">
        <v>3</v>
      </c>
      <c r="I1954">
        <v>4</v>
      </c>
      <c r="J1954" t="s">
        <v>53</v>
      </c>
      <c r="K1954">
        <v>119.55</v>
      </c>
      <c r="L1954">
        <v>1</v>
      </c>
      <c r="M1954">
        <v>119.55</v>
      </c>
      <c r="N1954" t="s">
        <v>41</v>
      </c>
      <c r="O1954" t="s">
        <v>37</v>
      </c>
    </row>
    <row r="1955" spans="1:16" x14ac:dyDescent="0.25">
      <c r="A1955" t="s">
        <v>2728</v>
      </c>
      <c r="B1955" s="4">
        <v>45967</v>
      </c>
      <c r="C1955" s="5">
        <v>0.4284722222222222</v>
      </c>
      <c r="D1955" t="s">
        <v>16</v>
      </c>
      <c r="E1955" t="s">
        <v>218</v>
      </c>
      <c r="G1955">
        <v>2009</v>
      </c>
      <c r="H1955">
        <v>7</v>
      </c>
      <c r="I1955">
        <v>11</v>
      </c>
      <c r="J1955" t="s">
        <v>129</v>
      </c>
      <c r="K1955">
        <v>164.9</v>
      </c>
      <c r="L1955">
        <v>1</v>
      </c>
      <c r="M1955">
        <v>164.9</v>
      </c>
      <c r="N1955" t="s">
        <v>67</v>
      </c>
      <c r="O1955" t="s">
        <v>61</v>
      </c>
    </row>
    <row r="1956" spans="1:16" x14ac:dyDescent="0.25">
      <c r="A1956" t="s">
        <v>2729</v>
      </c>
      <c r="B1956" s="1">
        <v>45887</v>
      </c>
      <c r="C1956" s="2">
        <v>0.81944444444444442</v>
      </c>
      <c r="D1956" t="s">
        <v>16</v>
      </c>
      <c r="E1956" t="s">
        <v>299</v>
      </c>
      <c r="F1956" s="4"/>
      <c r="G1956">
        <v>1979</v>
      </c>
      <c r="H1956">
        <v>7</v>
      </c>
      <c r="I1956">
        <v>19</v>
      </c>
      <c r="J1956" t="s">
        <v>40</v>
      </c>
      <c r="K1956">
        <v>210.76</v>
      </c>
      <c r="L1956">
        <v>-1</v>
      </c>
      <c r="M1956">
        <v>-210.76</v>
      </c>
      <c r="N1956" t="s">
        <v>67</v>
      </c>
      <c r="O1956" t="s">
        <v>55</v>
      </c>
    </row>
    <row r="1957" spans="1:16" x14ac:dyDescent="0.25">
      <c r="A1957" t="s">
        <v>2730</v>
      </c>
      <c r="B1957" s="1">
        <v>45874</v>
      </c>
      <c r="C1957" s="2">
        <v>0.54236111111111107</v>
      </c>
      <c r="D1957" t="s">
        <v>16</v>
      </c>
      <c r="E1957" t="s">
        <v>628</v>
      </c>
      <c r="G1957">
        <v>1999</v>
      </c>
      <c r="H1957">
        <v>8</v>
      </c>
      <c r="I1957">
        <v>2</v>
      </c>
      <c r="J1957" t="s">
        <v>104</v>
      </c>
      <c r="K1957">
        <v>300.63</v>
      </c>
      <c r="L1957">
        <v>1</v>
      </c>
      <c r="M1957">
        <v>300.63</v>
      </c>
      <c r="N1957" t="s">
        <v>64</v>
      </c>
      <c r="O1957" t="s">
        <v>89</v>
      </c>
      <c r="P1957" t="s">
        <v>105</v>
      </c>
    </row>
    <row r="1958" spans="1:16" x14ac:dyDescent="0.25">
      <c r="A1958" t="s">
        <v>2731</v>
      </c>
      <c r="B1958" t="s">
        <v>941</v>
      </c>
      <c r="C1958" s="5">
        <v>0.52152777777777781</v>
      </c>
      <c r="D1958" t="s">
        <v>16</v>
      </c>
      <c r="E1958" t="s">
        <v>458</v>
      </c>
      <c r="G1958">
        <v>1975</v>
      </c>
      <c r="H1958">
        <v>12</v>
      </c>
      <c r="I1958">
        <v>27</v>
      </c>
      <c r="J1958" t="s">
        <v>199</v>
      </c>
      <c r="K1958">
        <v>175.11</v>
      </c>
      <c r="L1958">
        <v>1</v>
      </c>
      <c r="M1958">
        <v>175.11</v>
      </c>
      <c r="N1958" t="s">
        <v>67</v>
      </c>
      <c r="O1958" t="s">
        <v>61</v>
      </c>
    </row>
    <row r="1959" spans="1:16" x14ac:dyDescent="0.25">
      <c r="A1959" t="s">
        <v>2732</v>
      </c>
      <c r="B1959" t="s">
        <v>2715</v>
      </c>
      <c r="C1959" s="2">
        <v>0.54166666666666663</v>
      </c>
      <c r="D1959" t="s">
        <v>16</v>
      </c>
      <c r="E1959" t="s">
        <v>181</v>
      </c>
      <c r="F1959" s="4"/>
      <c r="G1959">
        <v>2010</v>
      </c>
      <c r="H1959">
        <v>7</v>
      </c>
      <c r="I1959">
        <v>1</v>
      </c>
      <c r="J1959" t="s">
        <v>202</v>
      </c>
      <c r="K1959">
        <v>-356.3</v>
      </c>
      <c r="L1959">
        <v>1</v>
      </c>
      <c r="M1959">
        <v>-356.3</v>
      </c>
      <c r="N1959" t="s">
        <v>31</v>
      </c>
      <c r="O1959" t="s">
        <v>47</v>
      </c>
      <c r="P1959" t="s">
        <v>48</v>
      </c>
    </row>
    <row r="1960" spans="1:16" x14ac:dyDescent="0.25">
      <c r="A1960" t="s">
        <v>2733</v>
      </c>
      <c r="B1960" s="1">
        <v>45719</v>
      </c>
      <c r="C1960" s="5">
        <v>0.64097222222222228</v>
      </c>
      <c r="D1960" t="s">
        <v>16</v>
      </c>
      <c r="E1960" t="s">
        <v>229</v>
      </c>
      <c r="G1960">
        <v>1975</v>
      </c>
      <c r="H1960">
        <v>3</v>
      </c>
      <c r="I1960">
        <v>17</v>
      </c>
      <c r="J1960" t="s">
        <v>53</v>
      </c>
      <c r="K1960">
        <v>94.21</v>
      </c>
      <c r="L1960">
        <v>1</v>
      </c>
      <c r="M1960">
        <v>80.209999999999994</v>
      </c>
      <c r="N1960" t="s">
        <v>19</v>
      </c>
      <c r="O1960" t="s">
        <v>20</v>
      </c>
    </row>
    <row r="1961" spans="1:16" x14ac:dyDescent="0.25">
      <c r="A1961" t="s">
        <v>2734</v>
      </c>
      <c r="B1961" s="4">
        <v>45798</v>
      </c>
      <c r="C1961" s="5">
        <v>0.8979166666666667</v>
      </c>
      <c r="D1961" t="s">
        <v>16</v>
      </c>
      <c r="E1961" t="s">
        <v>420</v>
      </c>
      <c r="F1961" s="4"/>
      <c r="G1961">
        <v>2000</v>
      </c>
      <c r="H1961">
        <v>1</v>
      </c>
      <c r="I1961">
        <v>26</v>
      </c>
      <c r="J1961" t="s">
        <v>110</v>
      </c>
      <c r="K1961">
        <v>129.96</v>
      </c>
      <c r="L1961">
        <v>2</v>
      </c>
      <c r="M1961">
        <v>259.92</v>
      </c>
      <c r="N1961" t="s">
        <v>41</v>
      </c>
      <c r="O1961" t="s">
        <v>47</v>
      </c>
      <c r="P1961" t="s">
        <v>27</v>
      </c>
    </row>
    <row r="1962" spans="1:16" x14ac:dyDescent="0.25">
      <c r="A1962" t="s">
        <v>2735</v>
      </c>
      <c r="B1962" t="s">
        <v>2736</v>
      </c>
      <c r="C1962" s="2">
        <v>0.98333333333333328</v>
      </c>
      <c r="D1962" t="s">
        <v>16</v>
      </c>
      <c r="E1962" t="s">
        <v>76</v>
      </c>
      <c r="F1962" s="4"/>
      <c r="G1962">
        <v>2001</v>
      </c>
      <c r="H1962">
        <v>4</v>
      </c>
      <c r="I1962">
        <v>5</v>
      </c>
      <c r="J1962" t="s">
        <v>77</v>
      </c>
      <c r="K1962">
        <v>318.39999999999998</v>
      </c>
      <c r="L1962">
        <v>3</v>
      </c>
      <c r="M1962">
        <v>955.2</v>
      </c>
      <c r="N1962" t="s">
        <v>64</v>
      </c>
      <c r="O1962" t="s">
        <v>20</v>
      </c>
      <c r="P1962" t="s">
        <v>27</v>
      </c>
    </row>
    <row r="1963" spans="1:16" x14ac:dyDescent="0.25">
      <c r="A1963" t="s">
        <v>2737</v>
      </c>
      <c r="B1963" s="1">
        <v>45846</v>
      </c>
      <c r="C1963" s="2">
        <v>0.45763888888888887</v>
      </c>
      <c r="D1963" t="s">
        <v>16</v>
      </c>
      <c r="E1963" t="s">
        <v>131</v>
      </c>
      <c r="G1963">
        <v>1980</v>
      </c>
      <c r="H1963">
        <v>7</v>
      </c>
      <c r="I1963">
        <v>3</v>
      </c>
      <c r="J1963" t="s">
        <v>18</v>
      </c>
      <c r="K1963">
        <v>97.15</v>
      </c>
      <c r="L1963">
        <v>2</v>
      </c>
      <c r="M1963">
        <v>194.3</v>
      </c>
      <c r="N1963" t="s">
        <v>25</v>
      </c>
      <c r="O1963" t="s">
        <v>61</v>
      </c>
      <c r="P1963" t="s">
        <v>74</v>
      </c>
    </row>
    <row r="1964" spans="1:16" x14ac:dyDescent="0.25">
      <c r="A1964" t="s">
        <v>2738</v>
      </c>
      <c r="B1964" s="1">
        <v>45641</v>
      </c>
      <c r="C1964" s="3">
        <v>0.42996527777777777</v>
      </c>
      <c r="D1964" t="s">
        <v>16</v>
      </c>
      <c r="E1964" t="s">
        <v>420</v>
      </c>
      <c r="F1964" s="4"/>
      <c r="G1964">
        <v>1990</v>
      </c>
      <c r="H1964">
        <v>7</v>
      </c>
      <c r="I1964">
        <v>5</v>
      </c>
      <c r="J1964" t="s">
        <v>199</v>
      </c>
      <c r="K1964" t="s">
        <v>2739</v>
      </c>
      <c r="L1964">
        <v>2</v>
      </c>
      <c r="M1964">
        <v>482.16</v>
      </c>
      <c r="N1964" t="s">
        <v>54</v>
      </c>
      <c r="O1964" t="s">
        <v>32</v>
      </c>
      <c r="P1964" t="s">
        <v>33</v>
      </c>
    </row>
    <row r="1965" spans="1:16" x14ac:dyDescent="0.25">
      <c r="A1965" t="s">
        <v>2740</v>
      </c>
      <c r="B1965" t="s">
        <v>1279</v>
      </c>
      <c r="C1965" s="3">
        <v>0.93973379629629628</v>
      </c>
      <c r="D1965" t="s">
        <v>16</v>
      </c>
      <c r="E1965" t="s">
        <v>166</v>
      </c>
      <c r="F1965" s="4"/>
      <c r="G1965">
        <v>2008</v>
      </c>
      <c r="H1965">
        <v>4</v>
      </c>
      <c r="I1965">
        <v>16</v>
      </c>
      <c r="J1965" t="s">
        <v>110</v>
      </c>
      <c r="K1965">
        <v>98.44</v>
      </c>
      <c r="L1965">
        <v>1</v>
      </c>
      <c r="M1965">
        <v>98.44</v>
      </c>
      <c r="N1965" t="s">
        <v>41</v>
      </c>
      <c r="O1965" t="s">
        <v>20</v>
      </c>
      <c r="P1965" t="s">
        <v>21</v>
      </c>
    </row>
    <row r="1966" spans="1:16" x14ac:dyDescent="0.25">
      <c r="A1966" t="s">
        <v>2741</v>
      </c>
      <c r="B1966" t="s">
        <v>2742</v>
      </c>
      <c r="C1966" s="2">
        <v>0.73472222222222228</v>
      </c>
      <c r="D1966" t="s">
        <v>16</v>
      </c>
      <c r="E1966" t="s">
        <v>158</v>
      </c>
      <c r="F1966" s="4"/>
      <c r="G1966">
        <v>1972</v>
      </c>
      <c r="H1966">
        <v>7</v>
      </c>
      <c r="I1966">
        <v>23</v>
      </c>
      <c r="J1966" t="s">
        <v>259</v>
      </c>
      <c r="K1966" t="s">
        <v>2743</v>
      </c>
      <c r="L1966">
        <v>1</v>
      </c>
      <c r="M1966">
        <v>188.49</v>
      </c>
      <c r="N1966" t="s">
        <v>31</v>
      </c>
      <c r="O1966" t="s">
        <v>89</v>
      </c>
    </row>
    <row r="1967" spans="1:16" x14ac:dyDescent="0.25">
      <c r="A1967" t="s">
        <v>2744</v>
      </c>
      <c r="B1967" s="4">
        <v>45653</v>
      </c>
      <c r="C1967" s="3">
        <v>0.60351851851851857</v>
      </c>
      <c r="D1967" t="s">
        <v>16</v>
      </c>
      <c r="E1967" t="s">
        <v>222</v>
      </c>
      <c r="F1967" s="4"/>
      <c r="G1967">
        <v>2004</v>
      </c>
      <c r="H1967">
        <v>12</v>
      </c>
      <c r="I1967">
        <v>14</v>
      </c>
      <c r="J1967" t="s">
        <v>40</v>
      </c>
      <c r="K1967">
        <v>220.28</v>
      </c>
      <c r="L1967">
        <v>1</v>
      </c>
      <c r="M1967">
        <v>220.28</v>
      </c>
      <c r="N1967" t="s">
        <v>31</v>
      </c>
      <c r="O1967" t="s">
        <v>37</v>
      </c>
      <c r="P1967" t="s">
        <v>105</v>
      </c>
    </row>
    <row r="1968" spans="1:16" x14ac:dyDescent="0.25">
      <c r="A1968" t="s">
        <v>2745</v>
      </c>
      <c r="B1968" s="4">
        <v>45694</v>
      </c>
      <c r="C1968" s="5">
        <v>0.67222222222222228</v>
      </c>
      <c r="D1968" t="s">
        <v>16</v>
      </c>
      <c r="E1968" t="s">
        <v>520</v>
      </c>
      <c r="F1968" s="4"/>
      <c r="G1968">
        <v>1974</v>
      </c>
      <c r="H1968">
        <v>4</v>
      </c>
      <c r="I1968">
        <v>26</v>
      </c>
      <c r="J1968" t="s">
        <v>129</v>
      </c>
      <c r="K1968">
        <v>167.57</v>
      </c>
      <c r="L1968">
        <v>0</v>
      </c>
      <c r="M1968">
        <v>0</v>
      </c>
      <c r="N1968" t="s">
        <v>31</v>
      </c>
      <c r="O1968" t="s">
        <v>47</v>
      </c>
    </row>
    <row r="1969" spans="1:16" x14ac:dyDescent="0.25">
      <c r="A1969" t="s">
        <v>2746</v>
      </c>
      <c r="B1969" s="1">
        <v>45798</v>
      </c>
      <c r="C1969" s="5">
        <v>0.51249999999999996</v>
      </c>
      <c r="D1969" t="s">
        <v>16</v>
      </c>
      <c r="E1969" t="s">
        <v>919</v>
      </c>
      <c r="F1969" s="4"/>
      <c r="G1969">
        <v>1975</v>
      </c>
      <c r="H1969">
        <v>12</v>
      </c>
      <c r="I1969">
        <v>26</v>
      </c>
      <c r="J1969" t="s">
        <v>40</v>
      </c>
      <c r="K1969" t="s">
        <v>2747</v>
      </c>
      <c r="L1969">
        <v>2</v>
      </c>
      <c r="M1969">
        <v>400.54</v>
      </c>
      <c r="N1969" t="s">
        <v>19</v>
      </c>
      <c r="O1969" t="s">
        <v>32</v>
      </c>
    </row>
    <row r="1970" spans="1:16" x14ac:dyDescent="0.25">
      <c r="A1970" t="s">
        <v>2748</v>
      </c>
      <c r="B1970" s="4">
        <v>45937</v>
      </c>
      <c r="C1970" s="3">
        <v>0.51657407407407407</v>
      </c>
      <c r="D1970" t="s">
        <v>16</v>
      </c>
      <c r="E1970" t="s">
        <v>582</v>
      </c>
      <c r="F1970" s="4"/>
      <c r="G1970">
        <v>1994</v>
      </c>
      <c r="H1970">
        <v>7</v>
      </c>
      <c r="I1970">
        <v>22</v>
      </c>
      <c r="J1970" t="s">
        <v>145</v>
      </c>
      <c r="K1970">
        <v>159.13</v>
      </c>
      <c r="L1970">
        <v>1</v>
      </c>
      <c r="M1970">
        <v>159.13</v>
      </c>
      <c r="N1970" t="s">
        <v>19</v>
      </c>
      <c r="O1970" t="s">
        <v>32</v>
      </c>
      <c r="P1970" t="s">
        <v>48</v>
      </c>
    </row>
    <row r="1971" spans="1:16" x14ac:dyDescent="0.25">
      <c r="A1971" t="s">
        <v>2749</v>
      </c>
      <c r="B1971" s="4">
        <v>45962</v>
      </c>
      <c r="C1971" s="2">
        <v>0.70208333333333328</v>
      </c>
      <c r="D1971" t="s">
        <v>16</v>
      </c>
      <c r="E1971" t="s">
        <v>324</v>
      </c>
      <c r="F1971" s="1"/>
      <c r="G1971">
        <v>1994</v>
      </c>
      <c r="H1971">
        <v>7</v>
      </c>
      <c r="I1971">
        <v>25</v>
      </c>
      <c r="J1971" t="s">
        <v>126</v>
      </c>
      <c r="K1971">
        <v>172.44</v>
      </c>
      <c r="L1971">
        <v>2</v>
      </c>
      <c r="M1971">
        <v>344.88</v>
      </c>
      <c r="N1971" t="s">
        <v>19</v>
      </c>
      <c r="O1971" t="s">
        <v>26</v>
      </c>
      <c r="P1971" t="s">
        <v>56</v>
      </c>
    </row>
    <row r="1972" spans="1:16" x14ac:dyDescent="0.25">
      <c r="A1972" t="s">
        <v>2750</v>
      </c>
      <c r="B1972" s="4">
        <v>45796</v>
      </c>
      <c r="C1972" s="2">
        <v>0.70694444444444449</v>
      </c>
      <c r="D1972" t="s">
        <v>16</v>
      </c>
      <c r="E1972" t="s">
        <v>232</v>
      </c>
      <c r="J1972" t="s">
        <v>85</v>
      </c>
      <c r="K1972">
        <v>235.61</v>
      </c>
      <c r="L1972">
        <v>2</v>
      </c>
      <c r="M1972">
        <v>471.22</v>
      </c>
      <c r="N1972" t="s">
        <v>54</v>
      </c>
      <c r="O1972" t="s">
        <v>61</v>
      </c>
      <c r="P1972" t="s">
        <v>48</v>
      </c>
    </row>
    <row r="1973" spans="1:16" x14ac:dyDescent="0.25">
      <c r="A1973" t="s">
        <v>2751</v>
      </c>
      <c r="B1973" s="4">
        <v>45894</v>
      </c>
      <c r="C1973" s="2">
        <v>0.73472222222222228</v>
      </c>
      <c r="D1973" t="s">
        <v>16</v>
      </c>
      <c r="E1973" t="s">
        <v>279</v>
      </c>
      <c r="G1973">
        <v>1982</v>
      </c>
      <c r="H1973">
        <v>1</v>
      </c>
      <c r="I1973">
        <v>4</v>
      </c>
      <c r="J1973" t="s">
        <v>53</v>
      </c>
      <c r="K1973">
        <v>118.8</v>
      </c>
      <c r="L1973">
        <v>3</v>
      </c>
      <c r="M1973">
        <v>356.4</v>
      </c>
      <c r="N1973" t="s">
        <v>25</v>
      </c>
      <c r="O1973" t="s">
        <v>47</v>
      </c>
    </row>
    <row r="1974" spans="1:16" x14ac:dyDescent="0.25">
      <c r="A1974" t="s">
        <v>2752</v>
      </c>
      <c r="B1974" s="1">
        <v>45833</v>
      </c>
      <c r="C1974" s="2">
        <v>0.96805555555555556</v>
      </c>
      <c r="D1974" t="s">
        <v>16</v>
      </c>
      <c r="E1974" t="s">
        <v>201</v>
      </c>
      <c r="F1974" s="1"/>
      <c r="G1974">
        <v>1989</v>
      </c>
      <c r="H1974">
        <v>6</v>
      </c>
      <c r="I1974">
        <v>15</v>
      </c>
      <c r="J1974" t="s">
        <v>30</v>
      </c>
      <c r="K1974">
        <v>270.58999999999997</v>
      </c>
      <c r="L1974">
        <v>1</v>
      </c>
      <c r="M1974">
        <v>270.58999999999997</v>
      </c>
      <c r="N1974" t="s">
        <v>31</v>
      </c>
      <c r="O1974" t="s">
        <v>26</v>
      </c>
      <c r="P1974" t="s">
        <v>33</v>
      </c>
    </row>
    <row r="1975" spans="1:16" x14ac:dyDescent="0.25">
      <c r="A1975" t="s">
        <v>2753</v>
      </c>
      <c r="C1975" s="5">
        <v>0.94444444444444442</v>
      </c>
      <c r="D1975" t="s">
        <v>16</v>
      </c>
      <c r="E1975" t="s">
        <v>187</v>
      </c>
      <c r="F1975" s="1"/>
      <c r="G1975">
        <v>1995</v>
      </c>
      <c r="H1975">
        <v>12</v>
      </c>
      <c r="I1975">
        <v>21</v>
      </c>
      <c r="J1975" t="s">
        <v>53</v>
      </c>
      <c r="K1975">
        <v>104.55</v>
      </c>
      <c r="L1975">
        <v>3</v>
      </c>
      <c r="M1975">
        <v>313.64999999999998</v>
      </c>
      <c r="O1975" t="s">
        <v>32</v>
      </c>
      <c r="P1975" t="s">
        <v>33</v>
      </c>
    </row>
    <row r="1976" spans="1:16" x14ac:dyDescent="0.25">
      <c r="A1976" t="s">
        <v>2754</v>
      </c>
      <c r="B1976" t="s">
        <v>505</v>
      </c>
      <c r="C1976" s="2">
        <v>0.4861111111111111</v>
      </c>
      <c r="D1976" t="s">
        <v>16</v>
      </c>
      <c r="E1976" t="s">
        <v>50</v>
      </c>
      <c r="G1976">
        <v>1977</v>
      </c>
      <c r="H1976">
        <v>2</v>
      </c>
      <c r="I1976">
        <v>26</v>
      </c>
      <c r="J1976" t="s">
        <v>24</v>
      </c>
      <c r="K1976">
        <v>232.31</v>
      </c>
      <c r="L1976">
        <v>3</v>
      </c>
      <c r="M1976">
        <v>696.93</v>
      </c>
      <c r="O1976" t="s">
        <v>37</v>
      </c>
    </row>
    <row r="1977" spans="1:16" x14ac:dyDescent="0.25">
      <c r="A1977" t="s">
        <v>2755</v>
      </c>
      <c r="B1977" s="4">
        <v>45875</v>
      </c>
      <c r="C1977" s="5">
        <v>0.5493055555555556</v>
      </c>
      <c r="D1977" t="s">
        <v>16</v>
      </c>
      <c r="E1977" t="s">
        <v>95</v>
      </c>
      <c r="F1977" s="4"/>
      <c r="G1977">
        <v>2006</v>
      </c>
      <c r="H1977">
        <v>7</v>
      </c>
      <c r="I1977">
        <v>26</v>
      </c>
      <c r="J1977" t="s">
        <v>85</v>
      </c>
      <c r="K1977" t="s">
        <v>2756</v>
      </c>
      <c r="L1977">
        <v>2</v>
      </c>
      <c r="M1977">
        <v>698.76</v>
      </c>
      <c r="N1977" t="s">
        <v>64</v>
      </c>
      <c r="O1977" t="s">
        <v>20</v>
      </c>
      <c r="P1977" t="s">
        <v>21</v>
      </c>
    </row>
    <row r="1978" spans="1:16" x14ac:dyDescent="0.25">
      <c r="A1978" t="s">
        <v>2757</v>
      </c>
      <c r="B1978" t="s">
        <v>2758</v>
      </c>
      <c r="C1978" s="5">
        <v>0.91666666666666663</v>
      </c>
      <c r="D1978" t="s">
        <v>16</v>
      </c>
      <c r="E1978" t="s">
        <v>138</v>
      </c>
      <c r="G1978">
        <v>2007</v>
      </c>
      <c r="H1978">
        <v>12</v>
      </c>
      <c r="I1978">
        <v>25</v>
      </c>
      <c r="J1978" t="s">
        <v>53</v>
      </c>
      <c r="L1978">
        <v>2</v>
      </c>
      <c r="N1978" t="s">
        <v>41</v>
      </c>
      <c r="O1978" t="s">
        <v>32</v>
      </c>
      <c r="P1978" t="s">
        <v>33</v>
      </c>
    </row>
    <row r="1979" spans="1:16" x14ac:dyDescent="0.25">
      <c r="A1979" t="s">
        <v>2759</v>
      </c>
      <c r="B1979" s="1">
        <v>45642</v>
      </c>
      <c r="C1979" s="2">
        <v>0.64583333333333337</v>
      </c>
      <c r="D1979" t="s">
        <v>16</v>
      </c>
      <c r="E1979" t="s">
        <v>338</v>
      </c>
      <c r="F1979" s="1"/>
      <c r="G1979">
        <v>2009</v>
      </c>
      <c r="H1979">
        <v>3</v>
      </c>
      <c r="I1979">
        <v>5</v>
      </c>
      <c r="J1979" t="s">
        <v>213</v>
      </c>
      <c r="K1979">
        <v>315.13</v>
      </c>
      <c r="L1979">
        <v>1</v>
      </c>
      <c r="M1979">
        <v>315.13</v>
      </c>
      <c r="N1979" t="s">
        <v>54</v>
      </c>
      <c r="O1979" t="s">
        <v>47</v>
      </c>
      <c r="P1979" t="s">
        <v>48</v>
      </c>
    </row>
    <row r="1980" spans="1:16" x14ac:dyDescent="0.25">
      <c r="A1980" t="s">
        <v>2760</v>
      </c>
      <c r="C1980" s="2">
        <v>0.69861111111111107</v>
      </c>
      <c r="D1980" t="s">
        <v>16</v>
      </c>
      <c r="E1980" t="s">
        <v>2761</v>
      </c>
      <c r="J1980" t="s">
        <v>36</v>
      </c>
      <c r="K1980">
        <v>113.29</v>
      </c>
      <c r="L1980">
        <v>2</v>
      </c>
      <c r="M1980">
        <v>226.58</v>
      </c>
      <c r="N1980" t="s">
        <v>25</v>
      </c>
      <c r="O1980" t="s">
        <v>20</v>
      </c>
      <c r="P1980" t="s">
        <v>56</v>
      </c>
    </row>
    <row r="1981" spans="1:16" x14ac:dyDescent="0.25">
      <c r="A1981" t="s">
        <v>2762</v>
      </c>
      <c r="B1981" t="s">
        <v>689</v>
      </c>
      <c r="C1981" s="2">
        <v>0.93263888888888891</v>
      </c>
      <c r="D1981" t="s">
        <v>16</v>
      </c>
      <c r="E1981" t="s">
        <v>140</v>
      </c>
      <c r="F1981" s="1"/>
      <c r="G1981">
        <v>1976</v>
      </c>
      <c r="H1981">
        <v>7</v>
      </c>
      <c r="I1981">
        <v>22</v>
      </c>
      <c r="J1981" t="s">
        <v>213</v>
      </c>
      <c r="K1981">
        <v>287.79000000000002</v>
      </c>
      <c r="L1981">
        <v>1</v>
      </c>
      <c r="M1981">
        <v>287.79000000000002</v>
      </c>
      <c r="N1981" t="s">
        <v>67</v>
      </c>
      <c r="O1981" t="s">
        <v>55</v>
      </c>
      <c r="P1981" t="s">
        <v>56</v>
      </c>
    </row>
    <row r="1982" spans="1:16" x14ac:dyDescent="0.25">
      <c r="A1982" t="s">
        <v>2763</v>
      </c>
      <c r="B1982" t="s">
        <v>606</v>
      </c>
      <c r="C1982" s="2">
        <v>0.96875</v>
      </c>
      <c r="D1982" t="s">
        <v>16</v>
      </c>
      <c r="E1982" t="s">
        <v>166</v>
      </c>
      <c r="F1982" s="4"/>
      <c r="G1982">
        <v>2003</v>
      </c>
      <c r="H1982">
        <v>9</v>
      </c>
      <c r="I1982">
        <v>3</v>
      </c>
      <c r="J1982" t="s">
        <v>110</v>
      </c>
      <c r="K1982">
        <v>124.81</v>
      </c>
      <c r="L1982">
        <v>2</v>
      </c>
      <c r="M1982">
        <v>249.62</v>
      </c>
      <c r="O1982" t="s">
        <v>32</v>
      </c>
      <c r="P1982" t="s">
        <v>74</v>
      </c>
    </row>
    <row r="1983" spans="1:16" x14ac:dyDescent="0.25">
      <c r="A1983" t="s">
        <v>2764</v>
      </c>
      <c r="B1983" s="4">
        <v>45836</v>
      </c>
      <c r="C1983" s="5">
        <v>0.98472222222222228</v>
      </c>
      <c r="D1983" t="s">
        <v>16</v>
      </c>
      <c r="E1983" t="s">
        <v>52</v>
      </c>
      <c r="F1983" s="1"/>
      <c r="G1983">
        <v>2007</v>
      </c>
      <c r="H1983">
        <v>3</v>
      </c>
      <c r="I1983">
        <v>20</v>
      </c>
      <c r="J1983" t="s">
        <v>213</v>
      </c>
      <c r="K1983">
        <v>216.44</v>
      </c>
      <c r="L1983">
        <v>3</v>
      </c>
      <c r="M1983">
        <v>649.32000000000005</v>
      </c>
      <c r="O1983" t="s">
        <v>55</v>
      </c>
      <c r="P1983" t="s">
        <v>56</v>
      </c>
    </row>
    <row r="1984" spans="1:16" x14ac:dyDescent="0.25">
      <c r="A1984" t="s">
        <v>2765</v>
      </c>
      <c r="B1984" s="4">
        <v>45954</v>
      </c>
      <c r="C1984" s="2">
        <v>0.80138888888888893</v>
      </c>
      <c r="D1984" t="s">
        <v>16</v>
      </c>
      <c r="E1984" t="s">
        <v>63</v>
      </c>
      <c r="F1984" s="4"/>
      <c r="G1984">
        <v>1971</v>
      </c>
      <c r="H1984">
        <v>5</v>
      </c>
      <c r="I1984">
        <v>11</v>
      </c>
      <c r="J1984" t="s">
        <v>77</v>
      </c>
      <c r="K1984">
        <v>-37.65</v>
      </c>
      <c r="L1984">
        <v>1</v>
      </c>
      <c r="M1984">
        <v>-37.65</v>
      </c>
      <c r="N1984" t="s">
        <v>54</v>
      </c>
      <c r="O1984" t="s">
        <v>32</v>
      </c>
      <c r="P1984" t="s">
        <v>27</v>
      </c>
    </row>
    <row r="1985" spans="1:16" x14ac:dyDescent="0.25">
      <c r="A1985" t="s">
        <v>2766</v>
      </c>
      <c r="B1985" s="4">
        <v>45861</v>
      </c>
      <c r="C1985" s="3">
        <v>0.9412962962962963</v>
      </c>
      <c r="D1985" t="s">
        <v>16</v>
      </c>
      <c r="E1985" t="s">
        <v>222</v>
      </c>
      <c r="G1985">
        <v>1987</v>
      </c>
      <c r="H1985">
        <v>2</v>
      </c>
      <c r="I1985">
        <v>6</v>
      </c>
      <c r="J1985" t="s">
        <v>104</v>
      </c>
      <c r="K1985">
        <v>222.55</v>
      </c>
      <c r="L1985">
        <v>1</v>
      </c>
      <c r="M1985">
        <v>222.55</v>
      </c>
      <c r="N1985" t="s">
        <v>25</v>
      </c>
      <c r="O1985" t="s">
        <v>89</v>
      </c>
      <c r="P1985" t="s">
        <v>48</v>
      </c>
    </row>
    <row r="1986" spans="1:16" x14ac:dyDescent="0.25">
      <c r="A1986" t="s">
        <v>2767</v>
      </c>
      <c r="B1986" t="s">
        <v>2288</v>
      </c>
      <c r="C1986" s="5">
        <v>0.70763888888888893</v>
      </c>
      <c r="D1986" t="s">
        <v>16</v>
      </c>
      <c r="E1986" t="s">
        <v>206</v>
      </c>
      <c r="F1986" s="1"/>
      <c r="G1986">
        <v>1978</v>
      </c>
      <c r="H1986">
        <v>1</v>
      </c>
      <c r="I1986">
        <v>19</v>
      </c>
      <c r="J1986" t="s">
        <v>164</v>
      </c>
      <c r="K1986">
        <v>305.73</v>
      </c>
      <c r="L1986">
        <v>1</v>
      </c>
      <c r="M1986">
        <v>305.73</v>
      </c>
      <c r="N1986" t="s">
        <v>19</v>
      </c>
      <c r="O1986" t="s">
        <v>61</v>
      </c>
      <c r="P1986" t="s">
        <v>27</v>
      </c>
    </row>
    <row r="1987" spans="1:16" x14ac:dyDescent="0.25">
      <c r="A1987" t="s">
        <v>2768</v>
      </c>
      <c r="B1987" s="4">
        <v>45760</v>
      </c>
      <c r="C1987" s="2">
        <v>0.93194444444444446</v>
      </c>
      <c r="D1987" t="s">
        <v>16</v>
      </c>
      <c r="E1987" t="s">
        <v>2692</v>
      </c>
      <c r="G1987">
        <v>1991</v>
      </c>
      <c r="H1987">
        <v>12</v>
      </c>
      <c r="I1987">
        <v>12</v>
      </c>
      <c r="J1987" t="s">
        <v>116</v>
      </c>
      <c r="K1987">
        <v>114.66</v>
      </c>
      <c r="L1987">
        <v>1</v>
      </c>
      <c r="M1987">
        <v>114.66</v>
      </c>
      <c r="N1987" t="s">
        <v>64</v>
      </c>
      <c r="O1987" t="s">
        <v>61</v>
      </c>
      <c r="P1987" t="s">
        <v>105</v>
      </c>
    </row>
    <row r="1988" spans="1:16" x14ac:dyDescent="0.25">
      <c r="A1988" t="s">
        <v>2769</v>
      </c>
      <c r="B1988" s="1">
        <v>45731</v>
      </c>
      <c r="C1988" s="3">
        <v>0.79953703703703705</v>
      </c>
      <c r="D1988" t="s">
        <v>16</v>
      </c>
      <c r="E1988" t="s">
        <v>640</v>
      </c>
      <c r="F1988" s="4"/>
      <c r="G1988">
        <v>2000</v>
      </c>
      <c r="H1988">
        <v>11</v>
      </c>
      <c r="I1988">
        <v>24</v>
      </c>
      <c r="J1988" t="s">
        <v>164</v>
      </c>
      <c r="K1988">
        <v>328.7</v>
      </c>
      <c r="L1988">
        <v>1</v>
      </c>
      <c r="M1988">
        <v>328.7</v>
      </c>
      <c r="O1988" t="s">
        <v>37</v>
      </c>
    </row>
    <row r="1989" spans="1:16" x14ac:dyDescent="0.25">
      <c r="A1989" t="s">
        <v>2770</v>
      </c>
      <c r="B1989" s="1">
        <v>45644</v>
      </c>
      <c r="C1989" s="5">
        <v>0.4597222222222222</v>
      </c>
      <c r="D1989" t="s">
        <v>16</v>
      </c>
      <c r="E1989" t="s">
        <v>194</v>
      </c>
      <c r="J1989" t="s">
        <v>213</v>
      </c>
      <c r="K1989">
        <v>142.72</v>
      </c>
      <c r="L1989">
        <v>2</v>
      </c>
      <c r="M1989">
        <v>285.44</v>
      </c>
      <c r="N1989" t="s">
        <v>67</v>
      </c>
      <c r="O1989" t="s">
        <v>26</v>
      </c>
      <c r="P1989" t="s">
        <v>21</v>
      </c>
    </row>
    <row r="1990" spans="1:16" x14ac:dyDescent="0.25">
      <c r="A1990" t="s">
        <v>2771</v>
      </c>
      <c r="B1990" s="4">
        <v>45978</v>
      </c>
      <c r="C1990" s="5">
        <v>0.54374999999999996</v>
      </c>
      <c r="D1990" t="s">
        <v>16</v>
      </c>
      <c r="E1990" t="s">
        <v>52</v>
      </c>
      <c r="F1990" s="4"/>
      <c r="G1990">
        <v>2004</v>
      </c>
      <c r="H1990">
        <v>9</v>
      </c>
      <c r="I1990">
        <v>16</v>
      </c>
      <c r="J1990" t="s">
        <v>141</v>
      </c>
      <c r="K1990">
        <v>116.44</v>
      </c>
      <c r="L1990">
        <v>-1</v>
      </c>
      <c r="M1990">
        <v>-116.44</v>
      </c>
      <c r="O1990" t="s">
        <v>20</v>
      </c>
      <c r="P1990" t="s">
        <v>48</v>
      </c>
    </row>
    <row r="1991" spans="1:16" x14ac:dyDescent="0.25">
      <c r="A1991" t="s">
        <v>2772</v>
      </c>
      <c r="B1991" t="s">
        <v>1326</v>
      </c>
      <c r="C1991" s="3">
        <v>0.87682870370370369</v>
      </c>
      <c r="D1991" t="s">
        <v>16</v>
      </c>
      <c r="E1991" t="s">
        <v>218</v>
      </c>
      <c r="F1991" s="4"/>
      <c r="G1991">
        <v>2007</v>
      </c>
      <c r="H1991">
        <v>10</v>
      </c>
      <c r="I1991">
        <v>3</v>
      </c>
      <c r="J1991" t="s">
        <v>104</v>
      </c>
      <c r="K1991">
        <v>319.39</v>
      </c>
      <c r="L1991">
        <v>3</v>
      </c>
      <c r="M1991">
        <v>958.17</v>
      </c>
      <c r="N1991" t="s">
        <v>41</v>
      </c>
      <c r="O1991" t="s">
        <v>47</v>
      </c>
      <c r="P1991" t="s">
        <v>33</v>
      </c>
    </row>
    <row r="1992" spans="1:16" x14ac:dyDescent="0.25">
      <c r="A1992" t="s">
        <v>2773</v>
      </c>
      <c r="B1992" s="4">
        <v>45750</v>
      </c>
      <c r="C1992" s="2">
        <v>0.65625</v>
      </c>
      <c r="D1992" t="s">
        <v>16</v>
      </c>
      <c r="E1992" t="s">
        <v>218</v>
      </c>
      <c r="F1992" s="4"/>
      <c r="G1992">
        <v>1970</v>
      </c>
      <c r="H1992">
        <v>9</v>
      </c>
      <c r="I1992">
        <v>17</v>
      </c>
      <c r="J1992" t="s">
        <v>145</v>
      </c>
      <c r="K1992">
        <v>180.25</v>
      </c>
      <c r="L1992">
        <v>3</v>
      </c>
      <c r="M1992">
        <v>540.75</v>
      </c>
      <c r="N1992" t="s">
        <v>31</v>
      </c>
      <c r="O1992" t="s">
        <v>55</v>
      </c>
    </row>
    <row r="1993" spans="1:16" x14ac:dyDescent="0.25">
      <c r="A1993" t="s">
        <v>2774</v>
      </c>
      <c r="B1993" s="1">
        <v>45846</v>
      </c>
      <c r="C1993" s="3">
        <v>0.60549768518518521</v>
      </c>
      <c r="D1993" t="s">
        <v>16</v>
      </c>
      <c r="E1993" t="s">
        <v>163</v>
      </c>
      <c r="G1993">
        <v>2005</v>
      </c>
      <c r="H1993">
        <v>2</v>
      </c>
      <c r="I1993">
        <v>24</v>
      </c>
      <c r="J1993" t="s">
        <v>116</v>
      </c>
      <c r="K1993">
        <v>93.98</v>
      </c>
      <c r="L1993">
        <v>1</v>
      </c>
      <c r="M1993">
        <v>93.98</v>
      </c>
      <c r="O1993" t="s">
        <v>89</v>
      </c>
      <c r="P1993" t="s">
        <v>48</v>
      </c>
    </row>
    <row r="1994" spans="1:16" x14ac:dyDescent="0.25">
      <c r="A1994" t="s">
        <v>2775</v>
      </c>
      <c r="B1994" s="4">
        <v>45832</v>
      </c>
      <c r="C1994" s="2">
        <v>0.47638888888888886</v>
      </c>
      <c r="D1994" t="s">
        <v>16</v>
      </c>
      <c r="E1994" t="s">
        <v>324</v>
      </c>
      <c r="J1994" t="s">
        <v>24</v>
      </c>
      <c r="K1994">
        <v>255.39</v>
      </c>
      <c r="L1994">
        <v>1</v>
      </c>
      <c r="M1994">
        <v>255.39</v>
      </c>
      <c r="N1994" t="s">
        <v>31</v>
      </c>
      <c r="O1994" t="s">
        <v>26</v>
      </c>
      <c r="P1994" t="s">
        <v>105</v>
      </c>
    </row>
    <row r="1995" spans="1:16" x14ac:dyDescent="0.25">
      <c r="A1995" t="s">
        <v>2776</v>
      </c>
      <c r="B1995" s="1">
        <v>45675</v>
      </c>
      <c r="C1995" s="3">
        <v>0.94021990740740746</v>
      </c>
      <c r="D1995" t="s">
        <v>16</v>
      </c>
      <c r="E1995" t="s">
        <v>764</v>
      </c>
      <c r="G1995">
        <v>1999</v>
      </c>
      <c r="H1995">
        <v>2</v>
      </c>
      <c r="I1995">
        <v>20</v>
      </c>
      <c r="J1995" t="s">
        <v>116</v>
      </c>
      <c r="K1995">
        <v>119.93</v>
      </c>
      <c r="L1995">
        <v>1</v>
      </c>
      <c r="M1995">
        <v>119.93</v>
      </c>
      <c r="N1995" t="s">
        <v>67</v>
      </c>
      <c r="O1995" t="s">
        <v>32</v>
      </c>
      <c r="P1995" t="s">
        <v>56</v>
      </c>
    </row>
    <row r="1996" spans="1:16" x14ac:dyDescent="0.25">
      <c r="A1996" t="s">
        <v>2777</v>
      </c>
      <c r="B1996" s="4">
        <v>45675</v>
      </c>
      <c r="C1996" s="3">
        <v>0.49843749999999998</v>
      </c>
      <c r="D1996" t="s">
        <v>16</v>
      </c>
      <c r="E1996" t="s">
        <v>281</v>
      </c>
      <c r="F1996" s="1"/>
      <c r="G1996">
        <v>1978</v>
      </c>
      <c r="H1996">
        <v>4</v>
      </c>
      <c r="I1996">
        <v>6</v>
      </c>
      <c r="J1996" t="s">
        <v>45</v>
      </c>
      <c r="K1996">
        <v>129.6</v>
      </c>
      <c r="L1996">
        <v>1</v>
      </c>
      <c r="M1996">
        <v>129.6</v>
      </c>
      <c r="N1996" t="s">
        <v>19</v>
      </c>
      <c r="O1996" t="s">
        <v>89</v>
      </c>
      <c r="P1996" t="s">
        <v>27</v>
      </c>
    </row>
    <row r="1997" spans="1:16" x14ac:dyDescent="0.25">
      <c r="A1997" t="s">
        <v>2778</v>
      </c>
      <c r="B1997" t="s">
        <v>1600</v>
      </c>
      <c r="C1997" s="3">
        <v>0.90239583333333329</v>
      </c>
      <c r="D1997" t="s">
        <v>16</v>
      </c>
      <c r="E1997" t="s">
        <v>232</v>
      </c>
      <c r="G1997">
        <v>1991</v>
      </c>
      <c r="H1997">
        <v>12</v>
      </c>
      <c r="I1997">
        <v>12</v>
      </c>
      <c r="J1997" t="s">
        <v>30</v>
      </c>
      <c r="K1997">
        <v>315.60000000000002</v>
      </c>
      <c r="L1997">
        <v>2</v>
      </c>
      <c r="M1997">
        <v>631.20000000000005</v>
      </c>
      <c r="N1997" t="s">
        <v>25</v>
      </c>
      <c r="O1997" t="s">
        <v>37</v>
      </c>
      <c r="P1997" t="s">
        <v>56</v>
      </c>
    </row>
    <row r="1998" spans="1:16" x14ac:dyDescent="0.25">
      <c r="A1998" t="s">
        <v>2779</v>
      </c>
      <c r="B1998" s="4">
        <v>45727</v>
      </c>
      <c r="C1998" s="5">
        <v>0.69236111111111109</v>
      </c>
      <c r="D1998" t="s">
        <v>16</v>
      </c>
      <c r="E1998" t="s">
        <v>2780</v>
      </c>
      <c r="F1998" s="4"/>
      <c r="G1998">
        <v>2004</v>
      </c>
      <c r="H1998">
        <v>8</v>
      </c>
      <c r="I1998">
        <v>6</v>
      </c>
      <c r="J1998" t="s">
        <v>178</v>
      </c>
      <c r="K1998" t="s">
        <v>2781</v>
      </c>
      <c r="L1998">
        <v>2</v>
      </c>
      <c r="M1998">
        <v>458.94</v>
      </c>
      <c r="N1998" t="s">
        <v>67</v>
      </c>
      <c r="O1998" t="s">
        <v>20</v>
      </c>
      <c r="P1998" t="s">
        <v>21</v>
      </c>
    </row>
    <row r="1999" spans="1:16" x14ac:dyDescent="0.25">
      <c r="A1999" t="s">
        <v>2782</v>
      </c>
      <c r="B1999" s="4">
        <v>45825</v>
      </c>
      <c r="C1999" s="5">
        <v>0.78611111111111109</v>
      </c>
      <c r="D1999" t="s">
        <v>16</v>
      </c>
      <c r="E1999" t="s">
        <v>659</v>
      </c>
      <c r="F1999" s="4"/>
      <c r="G1999">
        <v>1997</v>
      </c>
      <c r="H1999">
        <v>11</v>
      </c>
      <c r="I1999">
        <v>9</v>
      </c>
      <c r="J1999" t="s">
        <v>213</v>
      </c>
      <c r="K1999">
        <v>318.14</v>
      </c>
      <c r="L1999">
        <v>1</v>
      </c>
      <c r="M1999">
        <v>318.14</v>
      </c>
      <c r="N1999" t="s">
        <v>25</v>
      </c>
      <c r="O1999" t="s">
        <v>61</v>
      </c>
      <c r="P1999" t="s">
        <v>48</v>
      </c>
    </row>
    <row r="2000" spans="1:16" x14ac:dyDescent="0.25">
      <c r="A2000" t="s">
        <v>2783</v>
      </c>
      <c r="B2000" s="4">
        <v>45649</v>
      </c>
      <c r="C2000" s="3">
        <v>0.52314814814814814</v>
      </c>
      <c r="D2000" t="s">
        <v>16</v>
      </c>
      <c r="E2000" t="s">
        <v>95</v>
      </c>
      <c r="F2000" s="4"/>
      <c r="G2000">
        <v>1996</v>
      </c>
      <c r="H2000">
        <v>11</v>
      </c>
      <c r="I2000">
        <v>1</v>
      </c>
      <c r="J2000" t="s">
        <v>116</v>
      </c>
      <c r="K2000">
        <v>189.9</v>
      </c>
      <c r="L2000">
        <v>1</v>
      </c>
      <c r="M2000">
        <v>228.9</v>
      </c>
      <c r="N2000" t="s">
        <v>54</v>
      </c>
      <c r="O2000" t="s">
        <v>37</v>
      </c>
    </row>
    <row r="2001" spans="1:16" x14ac:dyDescent="0.25">
      <c r="A2001" t="s">
        <v>2784</v>
      </c>
      <c r="B2001" s="1">
        <v>45660</v>
      </c>
      <c r="C2001" s="3">
        <v>0.85630787037037037</v>
      </c>
      <c r="D2001" t="s">
        <v>16</v>
      </c>
      <c r="E2001" t="s">
        <v>387</v>
      </c>
      <c r="F2001" s="1"/>
      <c r="G2001">
        <v>1991</v>
      </c>
      <c r="H2001">
        <v>7</v>
      </c>
      <c r="I2001">
        <v>5</v>
      </c>
      <c r="J2001" t="s">
        <v>53</v>
      </c>
      <c r="K2001">
        <v>123.71</v>
      </c>
      <c r="L2001">
        <v>2</v>
      </c>
      <c r="M2001">
        <v>247.42</v>
      </c>
      <c r="N2001" t="s">
        <v>64</v>
      </c>
      <c r="O2001" t="s">
        <v>89</v>
      </c>
      <c r="P2001" t="s">
        <v>74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C0D781-DC0C-4910-ACF8-31366BF220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Waiter</vt:lpstr>
      <vt:lpstr>Products</vt:lpstr>
      <vt:lpstr>Pivot Table</vt:lpstr>
      <vt:lpstr>Clean Data</vt:lpstr>
      <vt:lpstr>Dashboard</vt:lpstr>
      <vt:lpstr>Burger camp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Mubeen Shaikh</dc:creator>
  <cp:lastModifiedBy>Mubeen Shaikh</cp:lastModifiedBy>
  <dcterms:created xsi:type="dcterms:W3CDTF">2025-11-21T04:25:48Z</dcterms:created>
  <dcterms:modified xsi:type="dcterms:W3CDTF">2025-11-29T05:32:39Z</dcterms:modified>
</cp:coreProperties>
</file>